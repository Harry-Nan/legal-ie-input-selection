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Scores" sheetId="2" r:id="rId5"/>
    <sheet state="visible" name="Scores by Authority" sheetId="3" r:id="rId6"/>
    <sheet state="visible" name="Review Queue" sheetId="4" r:id="rId7"/>
    <sheet state="visible" name="All Comparisons" sheetId="5" r:id="rId8"/>
    <sheet state="visible" name="Disagreement Categories" sheetId="6" r:id="rId9"/>
    <sheet state="visible" name="Document Text" sheetId="7" r:id="rId10"/>
  </sheets>
  <definedNames>
    <definedName hidden="1" localSheetId="1" name="_xlnm._FilterDatabase">Scores!$A$1:$L$6</definedName>
    <definedName hidden="1" localSheetId="2" name="_xlnm._FilterDatabase">'Scores by Authority'!$A$1:$M$36</definedName>
    <definedName hidden="1" localSheetId="3" name="_xlnm._FilterDatabase">'Review Queue'!$A$1:$AF$64</definedName>
    <definedName hidden="1" localSheetId="4" name="_xlnm._FilterDatabase">'All Comparisons'!$A$1:$T$561</definedName>
    <definedName hidden="1" localSheetId="5" name="_xlnm._FilterDatabase">'Disagreement Categories'!$A$1:$C$7</definedName>
    <definedName hidden="1" localSheetId="6" name="_xlnm._FilterDatabase">'Document Text'!$A$1:$C$141</definedName>
  </definedNames>
  <calcPr/>
  <extLst>
    <ext uri="GoogleSheetsCustomDataVersion2">
      <go:sheetsCustomData xmlns:go="http://customooxmlschemas.google.com/" r:id="rId11" roundtripDataChecksum="tdJqUbb2sZ8P3l2/tTwvtbOtNh6OdPKX9XQBjI7lB0g="/>
    </ext>
  </extLst>
</workbook>
</file>

<file path=xl/sharedStrings.xml><?xml version="1.0" encoding="utf-8"?>
<sst xmlns="http://schemas.openxmlformats.org/spreadsheetml/2006/main" count="8918" uniqueCount="2579">
  <si>
    <t>Item</t>
  </si>
  <si>
    <t>evaluation_id</t>
  </si>
  <si>
    <t>Feature</t>
  </si>
  <si>
    <t>Authority</t>
  </si>
  <si>
    <t>Value</t>
  </si>
  <si>
    <t>Annotator Agreement Manual Review Workbook</t>
  </si>
  <si>
    <t>Annotator A</t>
  </si>
  <si>
    <t>1</t>
  </si>
  <si>
    <t>document_id</t>
  </si>
  <si>
    <t>Annotator B</t>
  </si>
  <si>
    <t>authority</t>
  </si>
  <si>
    <t>(2, 3)</t>
  </si>
  <si>
    <t>feature</t>
  </si>
  <si>
    <t>Paired completed documents</t>
  </si>
  <si>
    <t>140</t>
  </si>
  <si>
    <t>annotator_1_raw</t>
  </si>
  <si>
    <t>annotator_(2, 3)_raw</t>
  </si>
  <si>
    <t>Document-feature comparisons</t>
  </si>
  <si>
    <t>560</t>
  </si>
  <si>
    <t>annotator_1_normalized</t>
  </si>
  <si>
    <t>Rows in Review Queue</t>
  </si>
  <si>
    <t>63</t>
  </si>
  <si>
    <t>annotator_(2, 3)_normalized</t>
  </si>
  <si>
    <t>annotator_1_spans</t>
  </si>
  <si>
    <t>How to review</t>
  </si>
  <si>
    <t>annotator_(2, 3)_spans</t>
  </si>
  <si>
    <t>Open Review Queue and inspect only the rows where the annotators differ.</t>
  </si>
  <si>
    <t>matched_values</t>
  </si>
  <si>
    <t>unmatched_annotator_1</t>
  </si>
  <si>
    <t>TP</t>
  </si>
  <si>
    <t>unmatched_annotator_(2, 3)</t>
  </si>
  <si>
    <t>Same underlying entity/value annotated by both annotators.</t>
  </si>
  <si>
    <t>Comparisons</t>
  </si>
  <si>
    <t>auto_category</t>
  </si>
  <si>
    <t>FP</t>
  </si>
  <si>
    <t>Value annotated only by Annotator 1.</t>
  </si>
  <si>
    <t>FN</t>
  </si>
  <si>
    <t>Full agreements</t>
  </si>
  <si>
    <t>Value annotated only by Annotator (2, 3).</t>
  </si>
  <si>
    <t>auto_TP</t>
  </si>
  <si>
    <t>Manual override</t>
  </si>
  <si>
    <t>auto_FP</t>
  </si>
  <si>
    <t>Fill ALL THREE manual_TP/manual_FP/manual_FN cells. Partial overrides are flagged INCOMPLETE.</t>
  </si>
  <si>
    <t>Agreement</t>
  </si>
  <si>
    <t>auto_FN</t>
  </si>
  <si>
    <t>Reviewed text</t>
  </si>
  <si>
    <t>auto_full_agreement</t>
  </si>
  <si>
    <t>Edit the two *_reviewed columns when differently worded annotations should be treated as the same value. These reviewed strings are used for the reviewed Cohen's kappa after rerunning the notebook.</t>
  </si>
  <si>
    <t>annotator_1_reviewed</t>
  </si>
  <si>
    <t>Exclude</t>
  </si>
  <si>
    <t>annotator_(2, 3)_reviewed</t>
  </si>
  <si>
    <t>Set exclude = Yes only when the comparison should not be part of agreement analysis.</t>
  </si>
  <si>
    <t>manual_TP</t>
  </si>
  <si>
    <t>Reviewer status</t>
  </si>
  <si>
    <t>Set reviewer_status = Reviewed when the row has been adjudicated.</t>
  </si>
  <si>
    <t>manual_FP</t>
  </si>
  <si>
    <t>manual_FN</t>
  </si>
  <si>
    <t>Precision (A1)</t>
  </si>
  <si>
    <t>exclude</t>
  </si>
  <si>
    <t>reviewer_status</t>
  </si>
  <si>
    <t>Recall (A1)</t>
  </si>
  <si>
    <t>reviewer_notes</t>
  </si>
  <si>
    <t>F1</t>
  </si>
  <si>
    <t>override_check</t>
  </si>
  <si>
    <t>final_TP</t>
  </si>
  <si>
    <t>Needs review</t>
  </si>
  <si>
    <t>final_FP</t>
  </si>
  <si>
    <t>Incomplete overrides</t>
  </si>
  <si>
    <t>final_FN</t>
  </si>
  <si>
    <t>final_full_agreement</t>
  </si>
  <si>
    <t>evidence_snippet</t>
  </si>
  <si>
    <t>Ontvanger</t>
  </si>
  <si>
    <t>ACM__ontheffing_12285_104259-ontheffingbesluit-albermarle.txt::Besluitvormend Orgaan</t>
  </si>
  <si>
    <t>ACM__ontheffing_12285_104259-ontheffingbesluit-albermarle.txt</t>
  </si>
  <si>
    <t>ACM</t>
  </si>
  <si>
    <t>Besluitvormend Orgaan</t>
  </si>
  <si>
    <t>De Autoriteit Consument en Markt</t>
  </si>
  <si>
    <t>Autoriteit Consument en Markt</t>
  </si>
  <si>
    <t>Live scores</t>
  </si>
  <si>
    <t>de autoriteit consument en markt</t>
  </si>
  <si>
    <t>autoriteit consument en markt</t>
  </si>
  <si>
    <t>The Scores sheets update TP/FP/FN, agreement, P/R/F1 from the manual overrides.</t>
  </si>
  <si>
    <t>De Autoriteit Consument en Markt [20914:20946]</t>
  </si>
  <si>
    <t>Autoriteit Consument en Markt [21249:21278]</t>
  </si>
  <si>
    <t>Span differences</t>
  </si>
  <si>
    <t>Same value at a different occurrence/span is already treated as value-level agreement and does not enter the Review Queue.</t>
  </si>
  <si>
    <t>Minor boundary/extent difference</t>
  </si>
  <si>
    <t>No</t>
  </si>
  <si>
    <t>[...] de E-wet, hoeft ACM niet verder te beoordelen of de aanvraag voldoet aan de eisen van de E-wet. Daarom honoreert ACM de aanvraag op grond van artikel 15, eerste lid, onderdeel b, van de E-wet niet. ## 5 Dictum 25. De Autoriteit Consument en Markt besluit de aanvraag van Albemarle Catalysts Company B.V. af te wijzen. 26. Van dit besluit wordt mededeling gedaan in de Staatscourant. Voorts publiceert de Autoriteit Consument en Markt dit besluit op de internetpagina van de Autoriteit Consument en Markt. Den Haag, Datum: 18 november 2013 Autoriteit Consument en Markt namens deze, w.g. dr. F.J.H. Don bestuurslid Tegen dit besluit kan degene, wiens belang rechtstreeks bij dit besluit is betrokken, binnen zes weken na bekendmaking beroep instellen bij het College van Beroep voor [...]</t>
  </si>
  <si>
    <t>ACM__vergunning_11108_gazprom-marketing-trading-ltd-besluit-vergunning-gas-2011-07-01.txt::Besluitvormend Orgaan</t>
  </si>
  <si>
    <t>ACM__vergunning_11108_gazprom-marketing-trading-ltd-besluit-vergunning-gas-2011-07-01.txt</t>
  </si>
  <si>
    <t>De Minister van Economische Zaken, Landbouw en Innovatie</t>
  </si>
  <si>
    <t>de minister van economische zaken, landbouw en innovatie</t>
  </si>
  <si>
    <t>&lt;NONE&gt;</t>
  </si>
  <si>
    <t>De Minister van Economische Zaken, Landbouw en Innovatie [13278:13334]</t>
  </si>
  <si>
    <t>One annotator omitted feature</t>
  </si>
  <si>
    <t>[...] orden op de internetpagina van de Energiekamer NMa. 31. Dit besluit treedt in werking met ingang van de dag waarop het conform artikel 3:41 van de Algemene wet bestuursrecht is bekend gemaakt. Den Haag, Datum: De Minister van Economische Zaken, Landbouw en Innovatie namens deze: Janine Verweij Clustermanager Consumentenmarkt Tegen dit besluit kan degene, wiens belang rechtstreeks bij dit besluit is betrokken, binnen zes weken na de dag van bekendmaking van dit besluit een gem [...]</t>
  </si>
  <si>
    <t>ACM__vergunning_besluit-intrekken-vergunning-elektriciteit-energie-der-nederlanden.txt::Ontvanger</t>
  </si>
  <si>
    <t>ACM__vergunning_besluit-intrekken-vergunning-elektriciteit-energie-der-nederlanden.txt</t>
  </si>
  <si>
    <t>EdN</t>
  </si>
  <si>
    <t>Energie der Nederlanden B.V.</t>
  </si>
  <si>
    <t>edn</t>
  </si>
  <si>
    <t>energie der nederlanden b.v</t>
  </si>
  <si>
    <t>EdN [4139:4142]</t>
  </si>
  <si>
    <t>Energie der Nederlanden B.V. [858:886]</t>
  </si>
  <si>
    <t>Different value selected</t>
  </si>
  <si>
    <t>[...] beschikken over een aansluiting op een net met een totale maximale doorlaatwaarde van ten hoogste 3*80 A (hierna: kleinverbruikers) 3 . 2. Bij besluit van 23 juli 2013 is de statutaire naam van Anode B.V. gewijzigd in Energie der Nederlanden B.V. (hierna: EdN) 4 3. EdN heeft de ACM in een brief van 31 augustus 2017 gevraagd om de vergunning aan EdN in te trekken. 4. In zijn brief van 31 augustus 2017 heeft de rechtsgeldige vertegenwoordiger van EdN verklaard dat EdN geen elektriciteit meer levert aan kleinverbruikers. Daarnaast heeft EdN verklaard geen kleinverbruikende klanten meer in haar portefeuille te hebben. Dat betekent dat er dus geen overdracht van klanten aan een andere, vergunninghoudende energieleverancier hoeft plaats te vinden. ## II. Juridisch Kader 5. Het is verboden om zonder vergunning elektriciteit te leveren aan kleinverbruikers. Dit is bepaald in artikel 95a, eerste lid, van de Elektriciteitswet 1998. 6. De minister kan een op basis van artikel 95d van de Elektriciteitswet 1998 verleende vergunning voor het leveren van elektriciteit aan kleinverbruikers intrekken. Dit kan de minister op basis van artikel 95f, eerste lid, van de Elektriciteitswet 1998. 7. Een vergunning kan op basis van artikel 95f, eerste lid, Elektriciteitswet 1998 worden ingetrokken als de vergunninghouder: - a. hierom vraagt; ^ Artikel 95f, eerste lid, sub a, van de Elektriciteitswet 1998 3 Besluit tot verlening vergunning met kenmerk 102461/3.BT827 4 Artikel 95a, eerste lid, van de Elektriciteitswet 1998 Besluit tot naamswijziging van vergunning met kenmerk ACM/DC/2013/202834 2511 WB Den Haag 070 722 20 00 Openbaar - b. niet meer voldoet aan de verplichting, zoals beschreven in artikel 95b van de Elektriciteitswet 1998; - c. de voorschriften of opgelegde beperkingen niet nakomt; - d. bij de aanvraag onjuiste of onvolledige gegevens heeft gegeven. De vergunning wordt ingetrokken als blijkt dat, wanneer de vergunninghouder wel de juiste en volledige gegevens had ingediend, de ACM dan een andere beschikking had afgegeven; - e. naar het oordeel van de minister om andere redenen niet langer in staat moet worden geacht de vergunde activiteit of de voorwaarden voor de vergunning na te komen; - f. de voorschriften volgens de artikelen 95k en 95I van de Elektriciteitswet 1998 niet nakomt. 8. Bij 'Besluit mandaat, volmacht en machtiging ACM' 5 heeft de minister mandaat, volmacht en machtiging verleend aan de ACM tot onder andere het nemen van besluiten die verband houden met artikel 95f, eerste lid, van de Elektriciteitswet 1998. 9. Bij 'Besluit organisatie, mandaat, volmacht en machtiging ACM 2013' 6 heeft de directie Consumenten van de ACM mandaat en machtiging gekregen voor het nemen van besluiten en het verrichten van overige handelingen die verband houden met de Elektriciteitswet 1998 voor zover deze specifiek met consumentenbelangen te maken hebben. De directeur en teammanagers van de Directie Consumenten zijn bevoegd om een beslissing te nemen op deze aanvraag. ## Ill Beoordeling 10. De ACM acht het aannemelijk dat EdN de activiteiten waarvoor het de leveringsvergunning had, niet langer beoefent. Hiermee is het belang om de verleende vergunning in stand te houden komen te vervallen. * Besluit van 2 april 2013, Stcrt. 2013, nr. 9333 Besluit van 2 april 2013, Stcrt. 2013, nr. 9697 ## IV. Besluit 11. De minister besluit de vergunning voor het leveren van elektriciteit aan kleinverbruikers 7 van EdN in te trekken 8 . 12. De openbare versie van dit besluit publiceert ACM op haar website. 13. Dit besluit treedt in werking met ingang van de dag waarop het bekend is gemaakt 9 . Den Haag, 15 september 2017 (datum f [...]</t>
  </si>
  <si>
    <t>ACM__ontheffing_wijzigingsbesluit-ontheffing-voor-het-gesloten-distributiesysteem-van-medisch-centrum-leeuwarden.txt::Ontvanger</t>
  </si>
  <si>
    <t>ACM__ontheffing_wijzigingsbesluit-ontheffing-voor-het-gesloten-distributiesysteem-van-medisch-centrum-leeuwarden.txt</t>
  </si>
  <si>
    <t>Medisch Centrum Leeuwarden B.V.</t>
  </si>
  <si>
    <t>Medisch Centrum Leeuwarden</t>
  </si>
  <si>
    <t>medisch centrum leeuwarden b.v</t>
  </si>
  <si>
    <t>medisch centrum leeuwarden</t>
  </si>
  <si>
    <t>Medisch Centrum Leeuwarden B.V. [9793:9824]</t>
  </si>
  <si>
    <t>Medisch Centrum Leeuwarden [9793:9819]</t>
  </si>
  <si>
    <t>[...] l 15, eerste lid, onderdeel c, van de E-wet. ## 4 Dictum 21. De Autoriteit Consument en Markt besluit op grond van artikel 15, eerste lid, van de E-wet de ontheffing die zij heeft verleend op 11 december 2019 aan Medisch Centrum Leeuwarden B.V. te wijzigen. 22. Het onderhavige wijzigingsbesluit beperkt zich tot wijziging van het aantal op het GDS aangesloten afnemers en de wijziging van de geografische afbakening van het GDS op de Achlumerdijk 2 te Harlingen [...]</t>
  </si>
  <si>
    <t>ACM__vergunning_12805_wijziging-tenaamstelling-eneco-business-bv-in-eneco-zakelijk-bv-elektriciteit-2014-04-08.txt::Rechtshandeling</t>
  </si>
  <si>
    <t>ACM__vergunning_12805_wijziging-tenaamstelling-eneco-business-bv-in-eneco-zakelijk-bv-elektriciteit-2014-04-08.txt</t>
  </si>
  <si>
    <t>Rechtshandeling</t>
  </si>
  <si>
    <t>naam gesteld</t>
  </si>
  <si>
    <t>wijziging</t>
  </si>
  <si>
    <t>naam gesteld [5391:5403]</t>
  </si>
  <si>
    <t>wijziging [4605:4614]</t>
  </si>
  <si>
    <t>[...] jziging aangetoond dat de bedrijfsnaam is gewijzigd in Eneco Zakelijk BV. 14. ACM komt op basis van de verklaring van de rechtsgeldige vertegenwoordigers tot het oordeel dat het onderhavige besluit zich beperkt tot een wijziging in de tenaamstelling van de vergunning en geen enkele betrekking heeft op de organisatorische, technische en financiele kwaliteit van de aanvrager. 15. ACM merkt bij randnummer 14 op dat het onderhavige besluit niet vooraf is gegaan door een toetsing op de vereiste financiele, technische en organisatorische kwaliteit als beschreven in het juridisch kader, alsmede het nalevingsgedrag inzake de overige wettelijke verplichtingen die rusten op de aanvrager. ACM heeft het recht om op ieder moment deze kwaliteiten to controleren. ## IV. Besluit 16. Gelet op artikel 95d, eerste lid, van de Elektriciteitswet 1998, het Besluit en het bovenstaande, besluit de Minister van Economische Zaken dat de leveringsvergunning welke ten name is gesteld van Eneco Business BV op naam gesteld wordt van Eneco Zakelijk BV. 17. Van dit besluit wordt mededeling gedaan in de Staatscourant. Een versie van dit besluit zal tevens gepubliceerd worden op de website van ACM. ## Autoriteit Consument &amp;amp; Markt Auto [...]</t>
  </si>
  <si>
    <t>ACM__ontheffing_besluit-ter-goedkeuring-van-de-methode-van-huntsman.txt::Rechtshandeling</t>
  </si>
  <si>
    <t>ACM__ontheffing_besluit-ter-goedkeuring-van-de-methode-van-huntsman.txt</t>
  </si>
  <si>
    <t>keurt | goed</t>
  </si>
  <si>
    <t>keurt</t>
  </si>
  <si>
    <t>goed | keurt</t>
  </si>
  <si>
    <t>keurt [38989:38994] || goed [39085:39089]</t>
  </si>
  <si>
    <t>keurt [38989:38994]</t>
  </si>
  <si>
    <t>goed</t>
  </si>
  <si>
    <t>Partially overlapping value sets</t>
  </si>
  <si>
    <t>[...] k van het HvJ van 9 oktober 2008, zaak C-239/07 (Sabatauskas e.a.) en de de Conclusie van de Adv. Gen. Kokott van 12 juni 2008, zaak C-239/07 (Sabatauskas e.a.). ## 5. Dictum 46. De Autoriteit Consument en Markt keurt de van kracht zijnde methode van Huntsman Holland B.V. voor de berekening van de tarieven goed. Den Haag, Datum: 29-1-2018 w.g. Autoriteit Consument en Markt namens deze, dr. F.J.H. Don bestuurslid Tegen dit besluit kan degene wiens belang daarbij rechtstreeks is betrokken, binnen zes weken na de d [...]</t>
  </si>
  <si>
    <t>ACM__vergunning_11108_gazprom-marketing-trading-ltd-besluit-vergunning-gas-2011-07-01.txt::Rechtshandeling</t>
  </si>
  <si>
    <t>verlenen</t>
  </si>
  <si>
    <t>De Minister van Economische Zaken, Landbouw en Innovatie | verlenen</t>
  </si>
  <si>
    <t>de minister van economische zaken, landbouw en innovatie | verlenen</t>
  </si>
  <si>
    <t>verlenen [11571:11579]</t>
  </si>
  <si>
    <t>De Minister van Economische Zaken, Landbouw en Innovatie [13278:13334] || verlenen [102:110]</t>
  </si>
  <si>
    <t>same_value_different_span</t>
  </si>
  <si>
    <t>ACM__vergunning_11108_gazprom-marketing-trading-ltd-besluit-vergunning-gas-2011-07-01.txt::Ontvanger</t>
  </si>
  <si>
    <t>Gazprom Marketing &amp;amp; Trading Retail Ltd.</t>
  </si>
  <si>
    <t>gazprom marketing &amp; trading retail ltd</t>
  </si>
  <si>
    <t>Gazprom Marketing &amp;amp; Trading Retail Ltd. [11509:11552]</t>
  </si>
  <si>
    <t>Same value + same span</t>
  </si>
  <si>
    <t>[...] eld in artikel 45, eerste lid van de Gaswet. 25. Met inachtneming van artikel 45, eerste lid van de Gaswet en het Besluit vergunning levering gas aan kleinverbruikers, besluit de Energiekamer NMa namens de Minister aan Gazprom Marketing &amp;amp; Trading Retail Ltd. een vergunning te verlenen voor het leveren van gas aan kleinverbruikers. 26. Aan de vergunning wordt het voorschrift verbonden dat Gazprom Marketing &amp;amp; Trading Retail Ltd. onverwijld opgave doet aan de directeur va [...]</t>
  </si>
  <si>
    <t>## ENERGIEKAMER NMA Nummer : ## BESLUIT 102560\_2 Betreft: Retail Ltd. Besluit tot het verlenen van een vergunning voor de levering van gas aan kleinverbruikers op grond van artikel 45, eerste lid van de Gaswet aan Gazprom Marketing &amp;amp; Trading I. 1. 2. 3. 4. 5. Aanvraag en procedure Op 21 april 2011 heeft Gazprom Marketing &amp;amp; Trading Retail Ltd. (hierna: GMTR) bij de Mededingingsautoriteit (hierna: Energiekamer NMa) een aanvraag voor een vergunning directeur van de Directie Regulering Energie en Vervoer van de Nederlandse ingediend, als bedoeld in artikel 45, eerste lid van de Gaswet. Aanleiding voor deze aanvraag is het voornemen van GMTR om gas te leveren aan kleinverbruikers, als bedoeld in artikel 43, eerste lid van de Gaswet. Op 28 april 2011 heeft de Energiekamer NMa de ontvangst van de (incomplete) aanvraag van 1 vermelding van de ontbrekende gegevens en bescheiden, is GMTR hierbij uitgenodigd om de de vergunning voor het leveren van gas aan kleinverbruikers aan GMTR bevestigd. aanvraag aan te vullen. Op 2 mei 2011 heeft GMTR (schriftelijk) de laatste ontbrekende stukken aangeleverd. Onder 2 gegevens en bescheiden. De Energiekamer NMa heeft de aanvraag per die datum in Daarmee bevat de aanvraag van GMTR de door artikel 2, tweede lid van het Besluit behandeling genomen. Tijdens de behandeling van de aanvraag heeft GMTR op verzoek van de Energiekamer NMa 45, eerste lid sub a Gaswet. tevens overige (aanvullende) gegevens verstrekt over haar kwaliteiten, als bedoeld in artikel 1 Per brief met kenmerk 102560\_2/2.B1087 2 Besluit van 2 juni 2003,Stb.2003, nr. 234, laatstelijk gewijzigd bij besluit van 5 april 2005, Stb. 2005, nr. 200 vereiste ## II. Juridisch Kader 6. Op grond van artikel 43, eerste lid van de Gaswet is het verboden om zonder vergunning gas te leveren aan afnemers die naar een op het verbruik in voorgaande jaren gegronde verwachting minder dan 170.000 m 3 gas per jaar verbruiken. 7. De Minister van Economische Zaken, Landbouw en Innovatie (hierna: de Minister) verleent op grond van artikel 45, eerste lid van de Gaswet op aanvraag een vergunning indien de aanvrager genoegzaam aantoont dat hij: 3. (b) redelijkerwijs in staat kan worden geacht de verplichtingen als opgenomen in hoofdstuk 5 van de Gaswet na te komen. 4. (a) beschikt over de benodigde organisatorische, financiële en technische kwaliteiten voor een goede uitvoering van zijn taak; 8. Bij 'Besluit mandaat, volmacht en machtiging raad van bestuur van de Nederlands Mededingingsautoriteit' 3 heeft de Minister mandaat, volmacht en machtiging verleend aan de Raad van Bestuur van de Nederlandse Mededingingsautoriteit (hierna: de Raad) tot onder andere het nemen van besluiten die verband houden met artikel 45, eerste lid, van de Gaswet. 9. Bij 'Besluit organisatie, mandaat, volmacht en machtiging NMa 2009 4 heeft de Raad op zijn beurt mandaat en machtiging verleend aan de (plaatsvervangend) directeur en de clustermanagers van de Directie Regulering Energie en Vervoer van de Nederlandse Mededingingsautoriteit voor het nemen van besluiten en het verrichten van overige handelingen die verband houden met de Elektriciteitswet 1998 en de Gaswet. De (plaatsvervangend) directeur en de clustermanagers van de Directie Regulering Energie en Vervoer zijn aldus bevoegd om het onderhavige besluit (in ondermandaat) te nemen. 10. In het 'Besluit vergunning levering gas aan kleinverbruikers' 5 (hierna: het Besluit) zijn de criteria van artikel 45, eerste lid Gaswet uitgewerkt en nadere regels gesteld met betrekking tot de inhoud van en de procedure voor aanvraag van een vergunning. Criteria voor beoordeling van de aanvraag 11. In artikel 3 van het Besluit zijn de criteria van artikel 45, eerste lid Gaswet uitgewerkt. In onderdeel III. van het onderhavige besluit met opschrift 'Beoordeling' wordt nader op deze criteria in gegaan. 3 Besluit van 1 juli 2005, Stcrt. 2005, 126, laatstelijk gewijzigd bij besluit van 10 mei 2010, Stcrt. 2010, 7606 4 Besluit van 29 september 2009, Stcrt. 2009, nr. 14819, laatstelijk gewijzigd bij besluit van 6 april 2010, 5 Besluit van 2 juni 2003, Stb. 2003, nr. 234, laatstelijk gewijzigd bij besluit van 5 april 2005, Stb. 2005, nr.200 Stcrt . 2010, nr. 9370 Inhoud van en procedure voor aanvraag 12. Een aanvraag dient op grond van artikel 2, eerste lid van het Besluit te worden ingediend bij de directeur van de Directie Regulering Energie en Vervoer. In artikel 2, tweede lid van het Besluit is bepaald welke gegevens de aanvraag ten minste dient te bevatten. Op grond van artikel 4:2, tweede lid van de Algemene wet bestuursrecht kan bij de vergunningaanvraag aanvullende informatie worden gevoegd of kan door de Energiekamer NMa hierom worden gevraagd, indien deze informatie benodigd is voor het beoordelen van de aanvraag. 6 ## III. Beoordeling ## Introductie De Energiekamer NMa beoordeelt in het hierna volgende of GMTR, conform artikel 45, eerste lid van de Gaswet, genoegzaam heeft aangetoond te beschikken over 1) de vereiste organisatorische, financiële en technische kwaliteiten, en 2) redelijkerwijs in staat kan worden geacht de verplichtingen uit hoofdstuk 5 van de Gaswet na te komen. Organisatorische, financiële en technische kwaliteiten (artikel 45, eerste lid onder a Gaswet) 13. In artikel 3, tweede lid onder a tot en met d van het Besluit is bepaald wanneer de aanvrager beschikt over de benodigde organisatorische, financiële en technische kwaliteiten voor een goede uitvoering van zijn taak. ## Overbrugging uitgaven en inkomsten (sub a) 14. Op grond van artikel 3, tweede lid onder a van het Besluit is vereist dat de aanvrager financieel in staat is om de termijn tussen uitgaven voor inkoop van gas en transportcapaciteit en de inkomsten van kleinverbruikers te overbruggen. Op basis van de verstrekte gegevens en bescheiden is de Energiekamer NMa van oordeel dat GMTR genoegzaam heeft aangetoond aan dit vereiste te voldoen. ## Administratieve organisatie en controle (sub b) 15. Op grond van artikel 3, tweede lid onder b van het Besluit is vereist dat de aanvrager beschikt over een goede administratieve organisatie, met inbegrip van de financiële administratie, en over een goede interne of externe controle hierop. Op basis van de verstrekte gegevens en bescheiden is de Energiekamer NMa van oordeel dat GMTR genoegzaam heeft aangetoond aan dit vereiste te voldoen. ## Non-faillissement (sub c) / geen surseance van betaling (sub d) 16. Op grond van artikel 3, tweede lid onder c en d van het Besluit is vereist dat de aanvrager niet in staat van faillissement verkeert en hem geen surseance van betaling is verleend. GMTR heeft in dit verband informatie verstrekt van Companies House, een uitvoerend agentschap in Engeland van het 'Department for Business, Innnovation and Skills' dat verantwoordelijk is 6 Besluit van 2 juni 2003, Stb. 2003, nr. 234, p.7 voor de registratie van bedrijfsinformatie zoals vastgelegd in de 'Companies Act 2006' en aanverwante wetgeving. Hieruit is gebleken dat GMTR niet in staat van faillissement verkeert en dat voor GMTR geen surseance van betaling is aangevraagd. Op basis van de gegevens en bescheiden is de Energiekamer van oordeel dat GMTR genoegzaam heeft aangetoond aan voornoemd vereiste te voldoen. Nakoming van de verplichtingen in hoofdstuk 5 Gaswet (artikel 45, eerste lid onder b Gaswet) 17. In artikel 3, eerste lid van het Besluit is bepaald wanneer de aanvrager redelijkerwijs in staat kan worden geacht te verplichtingen als opgenomen in hoofdstuk 5 van de Gaswet na te komen. ## Inkoop- en transportcontracten 18. Op grond van artikel 3, eerste lid van het Besluit is vereist dat de aanvrager over zodanige inkoop- en transportcontracten (hierna: gasinkoop contracten) beschikt dat hij, gelet op de verwachten afzet, in staat zal zijn om op betrouwbare wijze zorg te dragen voor de levering van gas aan iedere kleinverbruiker die daarom verzoekt. GMTR heeft ten behoeve van de dienstverlening voor gas een overeenkomst gesloten met [VERTROUWELIJK] voor [VERTROUWELIJK]. Deze overeenkomst ziet op de verkoop en de levering van gas en aanverwante diensten. De Energiekamer NMa is van oordeel dat voornoemde overeenkomst waarborgt dat GMTR, gelet op haar afzetprognoses, [VERTROUWELIJK] in staat zal zijn om op een betrouwbare wijze zorg te dragen voor de levering van gas aan iedere kleinverbruiker die daarom verzoekt. Op basis van de gegevens en bescheiden is de Energiekamer NMa aldus van oordeel dat GMTR [VERTROUWELIJK] genoegzaam heeft aangetoond aan dit vereiste te voldoen. 19. Met betrekking tot de gasinkoop [VERTROUWELIJK] heeft GMTR verklaard [VERTROUWELIJK]. [VERTROUWELIJK] De Energiekamer NMa ziet aanleiding tot het opnemen van een specifiek voorschrift in de vergunning teneinde erop toe te zien dat GMTR [VERTROUWELIJK] gelet op de te verwachte afzet, in staat zal zijn om op betrouwbare wijze zorg te dragen voor de levering van gas aan iedere kleinverbruiker die daarom verzoekt. ## Redelijke voorwaarden 21. In artikel 3, derde lid van het Besluit is bepaald dat een aanvrager redelijke voorwaarden hanteert, indien deze voldoen aan de vereisten als opgenomen in de onderdelen a tot en met d van dit artikel. ## Offertes en overeenkomsten (sub a) /betalingsregeling (sub b)/ regeling voor het opzeggen en ontbinden (sub c) 22. Op grond van artikel 3, derde lid onderdeel a van het Besluit is vereist dat de aanvrager duidelijke offertes en overeenkomsten hanteert, waarin de hoogte van de tarieven en de opbouw hiervan is aangegeven. Op grond van artikel 3, derde lid onderdeel b en c van het Besluit is voorts vereist dat de aanvrager een transparante en redelijke betalingsregeling hanteert, alsmede een transparante en redelijke regeling voor het opzeggen en ontbinden van overeenkomsten. GMTR heeft in dit verband onder meer voorbeelden verstrekt van offertes, overeenkomsten en voorwaarden voor de levering van gas aan kleinverbruikers. Op basis van de gegevens en bescheiden is de Energiekamer NMa van oordeel dat GMTR genoegzaam heeft aangetoond aan de voornoemde vereisten te voldoen. ## Klachten- en geschillenregeling (sub d) 23. Op grond van artikel 3, derde lid onderdeel d van het Besluit is vereist dat de aanvrager in staat is om klachten en geschillen op adequate wijze te behandelen. GMTR heeft in dit verband een toereikende beschrijving van haar interne klachtenprocedure overgelegd, alsmede een bewijs van registratie bij de Geschillencommissie Energie en Water. Op basis van de gegevens en bescheiden is de Energiekamer NMa van oordeel dat GMTR genoegzaam heeft aangetoond aan de voornoemde vereisten te voldoen. ## IV. Besluit 24. De Energiekamer NMa is - onder verwijzing naar onderdeel III. van onderhavig besluit - van oordeel dat Gazprom Marketing &amp;amp; Trading Retail Ltd. genoegzaam heeft aangetoond te beschikken over de benodigde organisatorische, financiële en technische kwaliteiten voor de goede uitvoering van zijn taak, alsmede redelijkerwijs in staat kan worden geacht om de verplichtingen als opgenomen in hoofdstuk 5 van de Gaswet na te komen, als bedoeld in artikel 45, eerste lid van de Gaswet. 25. Met inachtneming van artikel 45, eerste lid van de Gaswet en het Besluit vergunning levering gas aan kleinverbruikers, besluit de Energiekamer NMa namens de Minister aan Gazprom Marketing &amp;amp; Trading Retail Ltd. een vergunning te verlenen voor het leveren van gas aan kleinverbruikers. 26. Aan de vergunning wordt het voorschrift verbonden dat Gazprom Marketing &amp;amp; Trading Retail Ltd. onverwijld opgave doet aan de directeur van de Energiekamer NMa van wijzigingen in de bij aanvraag verstrekte gegevens en bescheiden. Hieronder wordt verstaan tenminste de artikel 2, tweede lid, sub b, e, f en g, van het Besluit opgenomen gegevens en bescheiden, alsmede de overige (aanvullende) gegevens omtrent haar (verwachte) financiële, technische en organisatorische kwaliteiten. 27. Aan de vergunning wordt voorts het voorschrift verbonden dat GMTR [VERTROUWELIJK] dient aan te tonen [VERTROUWELIJK] in staat te zullen zijn op een betrouwbare wijze zorg te dragen voor de levering van gas aan iedere kleinverbruiker die daarom verzoekt. 28. Aan de vergunning wordt tenslotte het voorschrift verbonden dat Gazprom Marketing &amp;amp; Trading Retail Ltd. jaarlijks binnen één maand na vaststelling haar jaarrekening als bedoeld in artikel 2:361 e.v. BW aan de directeur van de Directie Regulering Energie en Vervoer toezendt. 29. Hierbij wordt gewezen op de bevoegdheid van de Minister om, conform artikel 47, eerste lid van de Gaswet, de vergunning van Gazprom Marketing &amp;amp; Trading Retail Ltd. in te trekken, onder meer in het geval de in de vergunning opgenomen voorschriften niet worden nagekomen. 30. Van dit besluit wordt mededeling gedaan in de Staatscourant. Een versie van dit besluit zal tevens gepubliceerd worden op de internetpagina van de Energiekamer NMa. 31. Dit besluit treedt in werking met ingang van de dag waarop het conform artikel 3:41 van de Algemene wet bestuursrecht is bekend gemaakt. Den Haag, Datum: De Minister van Economische Zaken, Landbouw en Innovatie namens deze: Janine Verweij Clustermanager Consumentenmarkt Tegen dit besluit kan degene, wiens belang rechtstreeks bij dit besluit is betrokken, binnen zes weken na de dag van bekendmaking van dit besluit een gem [...]</t>
  </si>
  <si>
    <t>ACM__vergunning_12805_wijziging-tenaamstelling-eneco-business-bv-in-eneco-zakelijk-bv-elektriciteit-2014-04-08.txt::Rechtsobject</t>
  </si>
  <si>
    <t>Rechtsobject</t>
  </si>
  <si>
    <t>leveringsvergunning</t>
  </si>
  <si>
    <t>tenaamstelling van de vergunning</t>
  </si>
  <si>
    <t>leveringsvergunning [5320:5339]</t>
  </si>
  <si>
    <t>tenaamstelling van de vergunning [4621:4653]</t>
  </si>
  <si>
    <t>[...] nd dat de bedrijfsnaam is gewijzigd in Eneco Zakelijk BV. 14. ACM komt op basis van de verklaring van de rechtsgeldige vertegenwoordigers tot het oordeel dat het onderhavige besluit zich beperkt tot een wijziging in de tenaamstelling van de vergunning en geen enkele betrekking heeft op de organisatorische, technische en financiele kwaliteit van de aanvrager. 15. ACM merkt bij randnummer 14 op dat het onderhavige besluit niet vooraf is gegaan door een toetsing op de vereiste financiele, technische en organisatorische kwaliteit als beschreven in het juridisch kader, alsmede het nalevingsgedrag inzake de overige wettelijke verplichtingen die rusten op de aanvrager. ACM heeft het recht om op ieder moment deze kwaliteiten to controleren. ## IV. Besluit 16. Gelet op artikel 95d, eerste lid, van de Elektriciteitswet 1998, het Besluit en het bovenstaande, besluit de Minister van Economische Zaken dat de leveringsvergunning welke ten name is gesteld van Eneco Business BV op naam gesteld wordt van Eneco Zakelijk BV. 17. Van dit besluit wordt mededeling gedaan in de Staatscourant. Een versie van dit besluit zal tevens gepubliceerd worden op [...]</t>
  </si>
  <si>
    <t>ANVS__PUC_3976_32_1.txt::Ontvanger</t>
  </si>
  <si>
    <t>ANVS__PUC_3976_32_1.txt</t>
  </si>
  <si>
    <t>ANVS</t>
  </si>
  <si>
    <t>Tata Steel IJmuiden B.V.</t>
  </si>
  <si>
    <t>Corus Staal B.V.</t>
  </si>
  <si>
    <t>tata steel ijmuiden b.v</t>
  </si>
  <si>
    <t>corus staal b.v</t>
  </si>
  <si>
    <t>Tata Steel IJmuiden B.V. [1810:1834]</t>
  </si>
  <si>
    <t>Corus Staal B.V. [200:216]</t>
  </si>
  <si>
    <t>ACM__vergunning_11108_gazprom-marketing-trading-ltd-besluit-vergunning-gas-2011-07-01.txt::Rechtsobject</t>
  </si>
  <si>
    <t>vergunning</t>
  </si>
  <si>
    <t>vergunning [11557:11567]</t>
  </si>
  <si>
    <t>No. 2010/1950-07 DE MINISTER VAN VOLKSHUISVESTING RUIMTELIJKE ORDENING EN MILIEUBEHEER Mede namens de minister van Sociale Zaken en Werkgelegenheid; Gezien de brief d.d. 1 september 2010 van Corus Staal B.V. (hierna te noemen Tata Steel IJmuiden B.V.) te Velsen-Noord (gemeente Velsen), strekkende tot wijziging van een vergunning als bedoeld in artikel 29 van de Kernenergiewet en als bedoeld in hoofdstuk 4, artikel 23, van het Besluit stralingsbescherming; Gelet op de artikelen 29-31 en 34 van de Kernenergiewet en het bepaalde in hoofdstuk 4 van het Besluit stralingsbescherming; Gelet op de d.d. 7 mei 1998, onder nr. 98/469 S, AI/CK/VCR/KEW, verleende vergunning, laatstelijk gewijzigd d.d. 18 juni 2009, onder nr. 2009/0991-06; Overwegende, dat de naam van de vergunninghouder is gewijzigd; Overwegende, dat de in de aanvraag bedoelde handelingen voorkomen in bijlage 1 (gerechtvaardigde handelingen en werkzaamheden) van de Regeling bekendmaking rechtvaardiging gebruik van ioniserende straling; Overwegende, dat de aanvrager reeds eerder een overeenkomstige vergunning met betrekking tot dezelfde plaats was verleend en niet is te verwachten dat door gebruikmaking van de vergunning nadeliger gevolgen voor mensen, dieren, planten en goederen kunnen worden veroorzaakt dan bij de eerder verleende vergunning in aanmerking is genomen; Gelet op artikel 20.5 van de Wet milieubeheer; Overwegende, dat om redenen van continuïteit van werkzaamheden in het onderhavige geval een zo spoedig mogelijke inwerkingtreding van deze vergunning noodzakelijk is. B E S L U I T : De d.d. 7 mei 1998, onder nr. 98/469 S, AI/CK/VCR/KEW, verleende vergunning, laatstelijk gewijzigd d.d. 18 juni 2009, onder nr. 2009/0991-06, wordt gewijzigd, zodat deze thans luidt als volgt: Aan Tata Steel IJmuiden B.V., Wenckebachstraat 1 te Velsen-Noord (gemeente Velsen), wordt vergunning verleend voor: - -het verrichten van handelingen met ioniserende straling uitzendende toestellen. - -het verrichten van handelingen met radioac [...]</t>
  </si>
  <si>
    <t>vergunning [119:129]</t>
  </si>
  <si>
    <t>ANVS__PUC_1559_32_1.txt::Ontvanger</t>
  </si>
  <si>
    <t>ANVS__PUC_1559_32_1.txt</t>
  </si>
  <si>
    <t>Same value, different occurrence/span</t>
  </si>
  <si>
    <t>de Technische Universiteit Eindhoven</t>
  </si>
  <si>
    <t>Technische Universiteit Eindhoven</t>
  </si>
  <si>
    <t>de technische universiteit eindhoven</t>
  </si>
  <si>
    <t>technische universiteit eindhoven</t>
  </si>
  <si>
    <t>de Technische Universiteit Eindhoven [3015:3051]</t>
  </si>
  <si>
    <t>Technische Universiteit Eindhoven [329:362]</t>
  </si>
  <si>
    <t>## ENERGIEKAMER NMA Nummer : ## BESLUIT 102560\_2 Betreft: Retail Ltd. Besluit tot het verlenen van een vergunning voor de levering van gas aan kleinverbruikers op grond van artikel 45, eerste lid van de Gaswet aan Gazprom Marketing &amp;amp; Trading I. 1. 2. 3. 4. 5. Aanvraag en procedure Op 21 april 2011 heeft Gazprom Marketing &amp;amp; Trading Retail Ltd. (hierna: GMTR) bij de Mededingingsautoriteit (hierna: Energiekamer NMa) een aanvraag voor een vergunning directeur van de Directie Regulering Energie en Vervoer van de Nederlandse ingediend, als bedoeld in artikel 45, eerste lid van de Gaswet. Aanleiding voor deze aanvraag is het voornemen van GMTR om gas te leveren aan kleinverbruikers, als bedoeld in artikel 43, eerste lid van de Gaswet. Op 28 april 2011 heeft de Energiekamer NMa de ontvangst van de (incomplete) aanvraag van 1 vermelding van de ontbrekende gegevens en bescheiden, is GMTR hierbij uitgenodigd om de de vergunning voor het leveren van gas aan kleinverbruikers aan GMTR bevestigd. aanvraag aan te vullen. Op 2 mei 2011 heeft GMTR (schriftelijk) de laatste ontbrekende stukken aangeleverd. Onder 2 gegevens en bescheiden. De Energiekamer NMa heeft de aanvraag per die datum in Daarmee bevat de aanvraag van GMTR de door artikel 2, tweede lid van het Besluit behandeling genomen. Tijdens de behandeling van de aanvraag heeft GMTR op verzoek van de Energiekamer NMa 45, eerste lid sub a Gaswet. tevens overige (aanvullende) gegevens verstrekt over haar kwaliteiten, als bedoeld in artikel 1 Per brief met kenmerk 102560\_2/2.B1087 2 Besluit van 2 juni 2003,Stb.2003, nr. 234, laatstelijk gewijzigd bij besluit van 5 april 2005, Stb. 2005, nr. 200 vereiste ## II. Juridisch Kader 6. Op grond van artikel 43, eerste lid van de Gaswet is het verboden om zonder vergunning gas te leveren aan afnemers die naar een op het verbruik in voorgaande jaren gegronde verwachting minder dan 170.000 m 3 gas per jaar verbruiken. 7. De Minister van Economische Zaken, Landbouw en Innovatie (hierna: de Minister) verleent op grond van artikel 45, eerste lid van de Gaswet op aanvraag een vergunning indien de aanvrager genoegzaam aantoont dat hij: 3. (b) redelijkerwijs in staat kan worden geacht de verplichtingen als opgenomen in hoofdstuk 5 van de Gaswet na te komen. 4. (a) beschikt over de benodigde organisatorische, financiële en technische kwaliteiten voor een goede uitvoering van zijn taak; 8. Bij 'Besluit mandaat, volmacht en machtiging raad van bestuur van de Nederlands Mededingingsautoriteit' 3 heeft de Minister mandaat, volmacht en machtiging verleend aan de Raad van Bestuur van de Nederlandse Mededingingsautoriteit (hierna: de Raad) tot onder andere het nemen van besluiten die verband houden met artikel 45, eerste lid, van de Gaswet. 9. Bij 'Besluit organisatie, mandaat, volmacht en machtiging NMa 2009 4 heeft de Raad op zijn beurt mandaat en machtiging verleend aan de (plaatsvervangend) directeur en de clustermanagers van de Directie Regulering Energie en Vervoer van de Nederlandse Mededingingsautoriteit voor het nemen van besluiten en het verrichten van overige handelingen die verband houden met de Elektriciteitswet 1998 en de Gaswet. De (plaatsvervangend) directeur en de clustermanagers van de Directie Regulering Energie en Vervoer zijn aldus bevoegd om het onderhavige besluit (in ondermandaat) te nemen. 10. In het 'Besluit vergunning levering gas aan kleinverbruikers' 5 (hierna: het Besluit) zijn de criteria van artikel 45, eerste lid Gaswet uitgewerkt en nadere regels gesteld met betrekking tot de inhoud van en de procedure voor aanvraag van een vergunning. Criteria voor beoordeling van de aanvraag 11. In artikel 3 van het Besluit zijn de criteria van artikel 45, eerste lid Gaswet uitgewerkt. In onderdeel III. van het onderhavige besluit met opschrift 'Beoordeling' wordt nader op deze criteria in gegaan. 3 Besluit van 1 juli 2005, Stcrt. 2005, 126, laatstelijk gewijzigd bij besluit van 10 mei 2010, Stcrt. 2010, 7606 4 Besluit van 29 september 2009, Stcrt. 2009, nr. 14819, laatstelijk gewijzigd bij besluit van 6 april 2010, 5 Besluit van 2 juni 2003, Stb. 2003, nr. 234, laatstelijk gewijzigd bij besluit van 5 april 2005, Stb. 2005, nr.200 Stcrt . 2010, nr. 9370 Inhoud van en procedure voor aanvraag 12. Een aanvraag dient op grond van artikel 2, eerste lid van het Besluit te worden ingediend bij de directeur van de Directie Regulering Energie en Vervoer. In artikel 2, tweede lid van het Besluit is bepaald welke gegevens de aanvraag ten minste dient te bevatten. Op grond van artikel 4:2, tweede lid van de Algemene wet bestuursrecht kan bij de vergunningaanvraag aanvullende informatie worden gevoegd of kan door de Energiekamer NMa hierom worden gevraagd, indien deze informatie benodigd is voor het beoordelen van de aanvraag. 6 ## III. Beoordeling ## Introductie De Energiekamer NMa beoordeelt in het hierna volgende of GMTR, conform artikel 45, eerste lid van de Gaswet, genoegzaam heeft aangetoond te beschikken over 1) de vereiste organisatorische, financiële en technische kwaliteiten, en 2) redelijkerwijs in staat kan worden geacht de verplichtingen uit hoofdstuk 5 van de Gaswet na te komen. Organisatorische, financiële en technische kwaliteiten (artikel 45, eerste lid onder a Gaswet) 13. In artikel 3, tweede lid onder a tot en met d van het Besluit is bepaald wanneer de aanvrager beschikt over de benodigde organisatorische, financiële en technische kwaliteiten voor een goede uitvoering van zijn taak. ## Overbrugging uitgaven en inkomsten (sub a) 14. Op grond van artikel 3, tweede lid onder a van het Besluit is vereist dat de aanvrager financieel in staat is om de termijn tussen uitgaven voor inkoop van gas en transportcapaciteit en de inkomsten van kleinverbruikers te overbruggen. Op basis van de verstrekte gegevens en bescheiden is de Energiekamer NMa van oordeel dat GMTR genoegzaam heeft aangetoond aan dit vereiste te voldoen. ## Administratieve organisatie en controle (sub b) 15. Op grond van artikel 3, tweede lid onder b van het Besluit is vereist dat de aanvrager beschikt over een goede administratieve organisatie, met inbegrip van de financiële administratie, en over een goede interne of externe controle hierop. Op basis van de verstrekte gegevens en bescheiden is de Energiekamer NMa van oordeel dat GMTR genoegzaam heeft aangetoond aan dit vereiste te voldoen. ## Non-faillissement (sub c) / geen surseance van betaling (sub d) 16. Op grond van artikel 3, tweede lid onder c en d van het Besluit is vereist dat de aanvrager niet in staat van faillissement verkeert en hem geen surseance van betaling is verleend. GMTR heeft in dit verband informatie verstrekt van Companies House, een uitvoerend agentschap in Engeland van het 'Department for Business, Innnovation and Skills' dat verantwoordelijk is 6 Besluit van 2 juni 2003, Stb. 2003, nr. 234, p.7 voor de registratie van bedrijfsinformatie zoals vastgelegd in de 'Companies Act 2006' en aanverwante wetgeving. Hieruit is gebleken dat GMTR niet in staat van faillissement verkeert en dat voor GMTR geen surseance van betaling is aangevraagd. Op basis van de gegevens en bescheiden is de Energiekamer van oordeel dat GMTR genoegzaam heeft aangetoond aan voornoemd vereiste te voldoen. Nakoming van de verplichtingen in hoofdstuk 5 Gaswet (artikel 45, eerste lid onder b Gaswet) 17. In artikel 3, eerste lid van het Besluit is bepaald wanneer de aanvrager redelijkerwijs in staat kan worden geacht te verplichtingen als opgenomen in hoofdstuk 5 van de Gaswet na te komen. ## Inkoop- en transportcontracten 18. Op grond van artikel 3, eerste lid van het Besluit is vereist dat de aanvrager over zodanige inkoop- en transportcontracten (hierna: gasinkoop contracten) beschikt dat hij, gelet op de verwachten afzet, in staat zal zijn om op betrouwbare wijze zorg te dragen voor de levering van gas aan iedere kleinverbruiker die daarom verzoekt. GMTR heeft ten behoeve van de dienstverlening voor gas een overeenkomst gesloten met [VERTROUWELIJK] voor [VERTROUWELIJK]. Deze overeenkomst ziet op de verkoop en de levering van gas en aanverwante diensten. De Energiekamer NMa is van oordeel dat voornoemde overeenkomst waarborgt dat GMTR, gelet op haar afzetprognoses, [VERTROUWELIJK] in staat zal zijn om op een betrouwbare wijze zorg te dragen voor de levering van gas aan iedere kleinverbruiker die daarom verzoekt. Op basis van de gegevens en bescheiden is de Energiekamer NMa aldus van oordeel dat GMTR [VERTROUWELIJK] genoegzaam heeft aangetoond aan dit vereiste te voldoen. 19. Met betrekking tot de gasinkoop [VERTROUWELIJK] heeft GMTR verklaard [VERTROUWELIJK]. [VERTROUWELIJK] De Energiekamer NMa ziet aanleiding tot het opnemen van een specifiek voorschrift in de vergunning teneinde erop toe te zien dat GMTR [VERTROUWELIJK] gelet op de te verwachte afzet, in staat zal zijn om op betrouwbare wijze zorg te dragen voor de levering van gas aan iedere kleinverbruiker die daarom verzoekt. ## Redelijke voorwaarden 21. In artikel 3, derde lid van het Besluit is bepaald dat een aanvrager redelijke voorwaarden hanteert, indien deze voldoen aan de vereisten als opgenomen in de onderdelen a tot en met d van dit artikel. ## Offertes en overeenkomsten (sub a) /betalingsregeling (sub b)/ regeling voor het opzeggen en ontbinden (sub c) 22. Op grond van artikel 3, derde lid onderdeel a van het Besluit is vereist dat de aanvrager duidelijke offertes en overeenkomsten hanteert, waarin de hoogte van de tarieven en de opbouw hiervan is aangegeven. Op grond van artikel 3, derde lid onderdeel b en c van het Besluit is voorts vereist dat de aanvrager een transparante en redelijke betalingsregeling hanteert, alsmede een transparante en redelijke regeling voor het opzeggen en ontbinden van overeenkomsten. GMTR heeft in dit verband onder meer voorbeelden verstrekt van offertes, overeenkomsten en voorwaarden voor de levering van gas aan kleinverbruikers. Op basis van de gegevens en bescheiden is de Energiekamer NMa van oordeel dat GMTR genoegzaam heeft aangetoond aan de voornoemde vereisten te voldoen. ## Klachten- en geschillenregeling (sub d) 23. Op grond van artikel 3, derde lid onderdeel d van het Besluit is vereist dat de aanvrager in staat is om klachten en geschillen op adequate wijze te behandelen. GMTR heeft in dit verband een toereikende beschrijving van haar interne klachtenprocedure overgelegd, alsmede een bewijs van registratie bij de Geschillencommissie Energie en Water. Op basis van de gegevens en bescheiden is de Energiekamer NMa van oordeel dat GMTR genoegzaam heeft aangetoond aan de voornoemde vereisten te voldoen. ## IV. Besluit 24. De Energiekamer NMa is - onder verwijzing naar onderdeel III. van onderhavig besluit - van oordeel dat Gazprom Marketing &amp;amp; Trading Retail Ltd. genoegzaam heeft aangetoond te beschikken over de benodigde organisatorische, financiële en technische kwaliteiten voor de goede uitvoering van zijn taak, alsmede redelijkerwijs in staat kan worden geacht om de verplichtingen als opgenomen in hoofdstuk 5 van de Gaswet na te komen, als bedoeld in artikel 45, eerste lid van de Gaswet. 25. Met inachtneming van artikel 45, eerste lid van de Gaswet en het Besluit vergunning levering gas aan kleinverbruikers, besluit de Energiekamer NMa namens de Minister aan Gazprom Marketing &amp;amp; Trading Retail Ltd. een vergunning te verlenen voor het leveren van gas aan kleinverbruikers. 26. Aan de vergunning wordt het voorschrift verbonden dat Gazprom Marketing &amp;amp; Trading Retail Ltd. onverwijld opgave doet aan de directeur van de Energiekam [...]</t>
  </si>
  <si>
    <t>ACM__vergunning_11836_102574-kas-energie-nederland-bv-vergunning-elektriciteit.txt::Ontvanger</t>
  </si>
  <si>
    <t>ACM__vergunning_11836_102574-kas-energie-nederland-bv-vergunning-elektriciteit.txt</t>
  </si>
  <si>
    <t>KEN</t>
  </si>
  <si>
    <t>ken</t>
  </si>
  <si>
    <t>KEN [10459:10462]</t>
  </si>
  <si>
    <t>[...] 2004/84161 ## DE STAATSSECRETARIS VAN SOCIALE ZAKEN EN WERKGELEGENHEID Mede namens de Staatssecretaris van Volkshuisvesting, Ruimtelijke Ordening en Milieubeheer; Gezien de aanvraag d.d. 18 november 2004 van de Technische Universiteit Eindhoven te Eindhoven, om wijziging van een vergunning als bedoeld in hoofdstuk 4, artikel 23, van het Besluit stralingsbescherming; Gelet op artikel 34 van de Kernenergiewet en het bepaalde in hoofdstuk 4 van het Besluit stralingsbescherming; Gelet op de verleende vergunningen: - -d.d. 27 november 1981, nr. 64649, DGMH/S; - -d.d. 1 juli 2004, nr. 2004/46248, AI/IO/BES; Overwegende, dat de vergunning wordt aangevraagd tegen de achtergrond van het navolgende feitencomplex. De aanvrager beschikt over een viertal vergunningen als bedoeld in artikel 29 en 34 van de Kernenergiewet, waaronder een complexvergunning onder nummer 64649, DGMH/S, d.d. 27 november 1981. In deze vergunning zijn alle regelingen vastgelegd die betrekking hebben op de interne organisatie en de uitvoering van de stralingsbescherming. Verder is de vergunning qua bewoording en systematiek gebaseerd op het vroegere Besluit stralenbescherming Kernenergiewet. Om alle aspecten met betrekking tot de bescherming van mensen, dieren, planten en goederen en het Besluit stralingsbescherming goed te kunnen beoordelen zullen zoveel mogelijk alle handelingen in één vergunning worden ondergebracht. De aanvrager geeft ook aan dat wordt gestreefd om voor 1 juli 2005 een allesomvattende aanvraag in te dienen; Overwegende, dat alle handelingen met de versneller vallen binnen de verantwoordelijkheid van de Stralingsbeschermingseenheid van de Technische Universiteit Eindhoven, vastgelegd in de specifieke regeling in bijlage A5 SBD 02-1050 van de aanvraag d.d. 30 september 2002; Overwegende, dat alle vastgelegde interne voorschriften en procedures bindend zijn voor allen die binnen de locatie van de Technische Universiteit Eindhoven, al dan niet in dienstverband van de Technische Universiteit Eindhoven, werkzaam zijn; Overwegende, dat het stralingshygiënisch beleid van de Technische Universiteit Eindhoven er op gericht is de blootstelling zo laag als redelijkerwijs mogelijk te doen zijn; Overwegende, dat reeds eerder een vergunning is verleend voor een versneller op dezelfde locatie en niet is te verwachten dat door het gebruik nadeliger gevolgen voor mensen, dieren, planten en goederen kunnen worden veroorzaakt dan bij de eerder verleende vergunning in aanmerking is genomen; Gelet op artikel 20.5 van de Wet milieubeheer; Overwegende, dat om redenen van continuïteit van werkzaamheden in het onderhavige geval een zo spoedig mogelijk in werking treden van de vergunning noodzakelijk is. ## B E S L U I T : De d.d. 1 juli 2004, onder nr. 2004/46248, AI/IO/BES, verleende vergunning, wordt gewijzigd zodat deze thans luidt als volgt: Aan de Technische Universiteit Eindhoven, Den Dolech 2 te Eindhoven, wordt tot 1 juli 2005 vergunning verleend voor: - -het verrichten van handelingen met een toestel; - -het verrichten van onderzoeks- en ontwikkelingswerk aan een toestel. ## In deze ve [...]</t>
  </si>
  <si>
    <t>[...] , van de Elektriciteitswet 1998. 25. Met inachtneming van artikel 95d, eerste lid, van de Elektriciteitswet 1998 en het Besluit vergunning levering elektriciteit aan kleinverbruikers, besluit ACM namens de Minister aan KEN een vergunning te verlenen voor het leveren van elektriciteit aan kleinverbruikers. 26. Aan de vergunning wordt het voorschrift verbonden dat KEN onverwijld opgave doet aan de directeur van de Directie Consumenten van [...]</t>
  </si>
  <si>
    <t>ANVS__PUC_3848_32_1.txt::Ontvanger</t>
  </si>
  <si>
    <t>ANVS__PUC_3848_32_1.txt</t>
  </si>
  <si>
    <t>ACM__vergunning_11836_102574-kas-energie-nederland-bv-vergunning-elektriciteit.txt::Besluitvormend Orgaan</t>
  </si>
  <si>
    <t>de Centrale Organisatie Voor Radioactief Afval (COVRA) N.V.</t>
  </si>
  <si>
    <t>de Centrale Organisatie Voor Radioactief Afval (COVRA)</t>
  </si>
  <si>
    <t>De Minister van Economische Zaken</t>
  </si>
  <si>
    <t>de centrale organisatie voor radioactief afval (covra) n.v</t>
  </si>
  <si>
    <t>de centrale organisatie voor radioactief afval (covra)</t>
  </si>
  <si>
    <t>de minister van economische zaken</t>
  </si>
  <si>
    <t>de Centrale Organisatie Voor Radioactief Afval (COVRA) N.V. [2196:2255]</t>
  </si>
  <si>
    <t>De Minister van Economische Zaken [11929:11962]</t>
  </si>
  <si>
    <t>de Centrale Organisatie Voor Radioactief Afval (COVRA) [2196:2250]</t>
  </si>
  <si>
    <t>[...] aag Postbus 16326 | 2500 BH Den Haag 30. Dit besluit treedt in werking met ingang van de dag waarop het conform artikel 3:41 van de Algemene wet bestuursrecht is bekend gemaakt. Den Haag, Datum: 25 juli 2013 De Minister van Economische Zaken, namens deze: Autoriteit Consument en Markt voor deze, R.J. Spencer Teammanager Directie Consumenten Tegen dit besluit kan degene, wiens belang rechtstreeks bij dit besluit is betrokken, binnen zes weken na [...]</t>
  </si>
  <si>
    <t>ACM__vergunning_11836_102574-kas-energie-nederland-bv-vergunning-elektriciteit.txt::Rechtshandeling</t>
  </si>
  <si>
    <t>verlenen [10481:10489]</t>
  </si>
  <si>
    <t>[...] swet 1998. 25. Met inachtneming van artikel 95d, eerste lid, van de Elektriciteitswet 1998 en het Besluit vergunning levering elektriciteit aan kleinverbruikers, besluit ACM namens de Minister aan KEN een vergunning te verlenen voor het leveren van elektriciteit aan kleinverbruikers. 26. Aan de vergunning wordt het voorschrift verbonden dat KEN onverwijld opgave doet aan de directeur van de Directie Consumenten van wijzigingen in de bij aanvr [...]</t>
  </si>
  <si>
    <t>ACM__vergunning_11836_102574-kas-energie-nederland-bv-vergunning-elektriciteit.txt::Rechtsobject</t>
  </si>
  <si>
    <t>[...] ende, dat om redenen van continuïteit van werkzaamheden in het onderhavige geval een zo spoedig mogelijke vervoer van de bedoelde splijtstoffen naar de plaats van bestemming noodzakelijk is. ## B E S L U I T : Aan de Centrale Organisatie Voor Radioactief Afval (COVRA) N.V., Spanjeweg 1 te Vlissingen-Oost, wordt vergunning verleend voor het vervoeren over de weg over Nederlands grondgebied en het aansluitend buiten Nederlands grondgebied (doen) brengen van de volgende zending: aantal ze [...]</t>
  </si>
  <si>
    <t>ANVS__PUC_4207_32_1.txt::Ontvanger</t>
  </si>
  <si>
    <t>ANVS__PUC_4207_32_1.txt</t>
  </si>
  <si>
    <t>de Stichting Amphia Ziekenhuis</t>
  </si>
  <si>
    <t>Stichting Amphia Ziekenhuis</t>
  </si>
  <si>
    <t>de stichting amphia ziekenhuis</t>
  </si>
  <si>
    <t>vergunning [10467:10477]</t>
  </si>
  <si>
    <t>stichting amphia ziekenhuis</t>
  </si>
  <si>
    <t>de Stichting Amphia Ziekenhuis [1059:1089]</t>
  </si>
  <si>
    <t>Stichting Amphia Ziekenhuis [221:248]</t>
  </si>
  <si>
    <t>[...] Elektriciteitswet 1998. 25. Met inachtneming van artikel 95d, eerste lid, van de Elektriciteitswet 1998 en het Besluit vergunning levering elektriciteit aan kleinverbruikers, besluit ACM namens de Minister aan KEN een vergunning te verlenen voor het leveren van elektriciteit aan kleinverbruikers. 26. Aan de vergunning wordt het voorschrift verbonden dat KEN onverwijld opgave doet aan de directeur van de Directie Consumenten van wijzigingen in [...]</t>
  </si>
  <si>
    <t>ACM__vergunning_12777_nld-energie-ua-krijgt-vergunning-van-acm-voor-leveren-gas-2014-04-01.txt::Ontvanger</t>
  </si>
  <si>
    <t>ACM__vergunning_12777_nld-energie-ua-krijgt-vergunning-van-acm-voor-leveren-gas-2014-04-01.txt</t>
  </si>
  <si>
    <t>NLD</t>
  </si>
  <si>
    <t>nld</t>
  </si>
  <si>
    <t>NLD [10511:10514]</t>
  </si>
  <si>
    <t>[...] genomen in hoofdstuk 5 van de Gaswet na te komen, als bedoeld in artikel 45, eerste lid, van de Gaswet. 25. Met inachtneming van artikel 45, eerste lid, van de Gaswet en het Besluit verleent ACM namens de Minister aan NLD een vergunning voor het leveren van gas aan kleinverbruikers. 26. Aan de vergunning wordt het voorschrift verbonden dat NLD onverwijld opgave doet aan de directeur van de Directie Consumenten van wijzigingen in de bij [...]</t>
  </si>
  <si>
    <t>ACM__vergunning_12777_nld-energie-ua-krijgt-vergunning-van-acm-voor-leveren-gas-2014-04-01.txt::Besluitvormend Orgaan</t>
  </si>
  <si>
    <t>[...] o.2011/0259-08 No. 2011/0259-08 &lt;!-- image --&gt; ## DE MINISTER VAN ECONOMISCHE ZAKEN, LANDBOUW EN INNOVATIE Gezien de aanvraag d.d. 22 februari 2011 en de daarop aanvullende informatie d.d. 26 april 2011, van de Stichting Amphia Ziekenhuis te Breda, om wijziging van een vergunning als bedoeld in artikel 29 van de Kernenergiewet en als bedoeld in hoofdstuk 4, artikel 23, van het Besluit stralingsbescherming; Gelet op de artikelen 29-31 en 34 van de Kernenergiewet en het bepaalde in hoofdstuk 4 van het Besluit stralingsbescherming; Gelet op de d.d. 14 augustus 2000, onder nr. 2000/21704, AI/CK/B/KEW, verleende vergunning, laatstelijk gewijzigd d.d. 28 mei 2010, onder nr. 2010/1000-05; Overwegende, dat de in de aanvraag bedoelde handelingen voorkomen in bijlage 1 (gerechtvaardigde handelingen en werkzaamheden) van de Regeling bekendmaking rechtvaardiging gebruik van ioniserende straling. ## BESLUIT: D i i i gewijzigd d.d. 28 mei 2010, onder nr. 2010/1000-05 wordt gewijzigd, zodat deze thans luidt als volgt: Aan de Stichting Amphia Ziekenhuis, Molengracht 21 te Breda, wordt vergunning verleend voor: - het verrichten van handelingen met radioactieve stoffen; - het verrichten van handelingen met ioniserende straling uitzendende toestellen. ## In deze ve [...]</t>
  </si>
  <si>
    <t>ANVS__PUC_1522_32_1.txt::Rechtshandeling</t>
  </si>
  <si>
    <t>De Minister van Economische Zaken [12127:12160]</t>
  </si>
  <si>
    <t>ANVS__PUC_1522_32_1.txt</t>
  </si>
  <si>
    <t>gewijzigd</t>
  </si>
  <si>
    <t>verleend</t>
  </si>
  <si>
    <t>gewijzigd [1035:1044]</t>
  </si>
  <si>
    <t>verleend [1193:1201]</t>
  </si>
  <si>
    <t>[...] esluit treedt in werking met ingang van de dag waarop het conform artikel 3:41 van de Algemene wet bestuursrecht is bekend gemaakt. 2. R.J. Spencer Teammanager Directie Consumenten Den Haag, Datum: APR. 2014 De Minister van Economische Zaken namens deze: Autoriteit Consument en Markt voor deze, Tegen dit besluit kan degene, wiens belang rechtstreeks bij dit besluit is betrokken, binnen zes weken na de dag van bekendmaking van dit besluit een gemotivee [...]</t>
  </si>
  <si>
    <t>ACM__vergunning_12777_nld-energie-ua-krijgt-vergunning-van-acm-voor-leveren-gas-2014-04-01.txt::Rechtshandeling</t>
  </si>
  <si>
    <t>verleent</t>
  </si>
  <si>
    <t>verleent [10475:10483]</t>
  </si>
  <si>
    <t>[...] n geacht om de verplichtingen als opgenomen in hoofdstuk 5 van de Gaswet na te komen, als bedoeld in artikel 45, eerste lid, van de Gaswet. 25. Met inachtneming van artikel 45, eerste lid, van de Gaswet en het Besluit verleent ACM namens de Minister aan NLD een vergunning voor het leveren van gas aan kleinverbruikers. 26. Aan de vergunning wordt het voorschrift verbonden dat NLD onverwijld opgave doet aan de directeur van de Directie Consum [...]</t>
  </si>
  <si>
    <t>ACM__vergunning_12777_nld-energie-ua-krijgt-vergunning-van-acm-voor-leveren-gas-2014-04-01.txt::Rechtsobject</t>
  </si>
  <si>
    <t>vergunning [10519:10529]</t>
  </si>
  <si>
    <t>[...] wachting van het behalen van het diploma, verbonden aan deze cursus, een tijdelijke vergunning wordt verleend. ## B E S L U I T : De d.d. 30 maart 2004, onder nr. 2004/11544, AI/IO/BES, verleende vergunning, wordt gewijzigd, zodat deze thans luidt als volgt: Aan Metaalhandel W. Ketting &amp;amp; Zn. B.V., Bakkersoordsekade 16 te Pernis, wordt tot 1 april 2005 vergunning verleend voor het verrichten van handelingen met radioactieve stoffen. ## In deze vergunning wordt verstaan onder: - -bergplaats: - -besmettingscontrole: Ruimte, uitsluitend bedoeld voor de opslag van radioactieve stof [...]</t>
  </si>
  <si>
    <t>ANVS__PUC_5845_32_1.txt::Rechtshandeling</t>
  </si>
  <si>
    <t>ANVS__PUC_5845_32_1.txt</t>
  </si>
  <si>
    <t>ingetrokken</t>
  </si>
  <si>
    <t>intrekking</t>
  </si>
  <si>
    <t>[...] in hoofdstuk 5 van de Gaswet na te komen, als bedoeld in artikel 45, eerste lid, van de Gaswet. 25. Met inachtneming van artikel 45, eerste lid, van de Gaswet en het Besluit verleent ACM namens de Minister aan NLD een vergunning voor het leveren van gas aan kleinverbruikers. 26. Aan de vergunning wordt het voorschrift verbonden dat NLD onverwijld opgave doet aan de directeur van de Directie Consumenten van wijzigingen in de bij de aanvraag ve [...]</t>
  </si>
  <si>
    <t>ACM__vergunning_12805_wijziging-tenaamstelling-eneco-business-bv-in-eneco-zakelijk-bv-elektriciteit-2014-04-08.txt::Ontvanger</t>
  </si>
  <si>
    <t>ingetrokken [281:292]</t>
  </si>
  <si>
    <t>intrekking [3383:3393]</t>
  </si>
  <si>
    <t>Eneco Business BV</t>
  </si>
  <si>
    <t>eneco business bv</t>
  </si>
  <si>
    <t>Eneco Business BV [5370:5387]</t>
  </si>
  <si>
    <t>Eneco Business BV [1347:1364]</t>
  </si>
  <si>
    <t>[...] 3. Bij besluit van 9 december 20082 is de statutaire naam van ENECO Energiehandelsbedrijf BV gewijzigd in Eneco Business BV. 4. Bij brief met dagtekening d.d. 5 maart 201e heeft de rechtsgeldige vertegenwoordiger van Eneco Business BV kenbaar gemaakt dat de statutaire naam van Eneco Business BV per 1 april 2014 zal worden gewijzigd in Eneco Zakelijk BV. ACM is daartoe verzocht de vergunning op naam to stellen van Eneco Zakelijk BV. 5. Op verzoek van ACM heeft aanvrager op 3 april 2014 een uittreksel van de Kamer van Koophandel en een afschrift van de akte van statutenwijziging verstrekt. 1 Besluit met kenmerk 101758\_5/8 2 Besluit met kenmerk 102517\_1/7 3 Brief met kenmerk14.0322.53 / 2014101001 ## BESLUIT ## P u e info@acm.nl |www.acm.nl | www.consuwijzer.nl T 070 722 20 00 | F 070 722 Postbus 16326 |2500 BH Den Haag Muzenstraat 41 | 2511 WB Den Haag 23 55 &lt;!-- image --&gt; ## Autoriteit Consument &amp;amp; Markt · 6. Daarnaast heeft de aanvrager een verklaring van de rechtsgeldige vertegenwoordiger van verstrekt dat behalve de naam er niets zal wijzigen in de financiele, organisatorische en technische kwaliteit. ## II. Juridisch Kader 7. Op grond van artikel 95a, eerste lid, van de Elektriciteitswet 1998 is het verboden om zonder vergunning elektriciteit te leveren aan afnemers die beschikken over een aansluiting op een net met een totale maximale doorlaatwaarde van ten hoogste 3*80 A. 8. De Minister van Economische Zaken (hierna: de Minister) verleent op grond van artikel 95d, eerste lid, van de Elektriciteitswet 1998 op aanvraag een vergunning indien de aanvrager genoegzaam aantoont dat hij: 3. (a) beschikt over de benodigde organisatorische, financiele en technische kwaliteiten voor een goede uitvoering van zijn taak; 4. (b) redelijkerwijs in staat kan worden geacht de verplichtingen als opgenomen in hoofdstuk 8 van de Elektriciteitswet 1998 na te komen. 9. Bij 'Besluit mandaat, volmacht en machtiging ACM' 4 heeft de Minister mandaat, volmacht en machtiging verleend aan ACM tot onder andere het nemen van besluiten die verband houden met artikel 95d, eerste lid, van de Elektriciteitswet 1998. 10. Bij Besluit organisatie, mandaat, volmacht en machtiging ACM 2013 5 is mandaat en machtiging verleend aan de directeur en de teammanagers van de Directie Consumenten van ACM voor het nemen van besluiten en het verrichten van overige handelingen die verband houden met de Elektriciteitswet 1998 voor zover deze specifiek op consumentenbelangen zien. De directeur en teammanagers van de Directie Consumenten zijn aldus bevoegd om het onderhavige besluit (in ondermandaat) te nemen. 11. In het Besluit zijn de criteria van artikel 95d, eerste lid Elektriciteitswet 1998 uitgewerkt en nadere regels gesteld met betrekking tot de inhoud van en de procedure voor de aanvraag van een vergunning. 4 Besluit van 2 april 2013, Stcrt. 2013, nr. 9333 5 Besluit van 2 april 2013, Strct. 2013, nr. 9697 ## Autoriteit Consument &amp;amp; Markt &lt;!-- image --&gt; ## III. Beoordeling 12. ACM beoordeelt de aanvraag tot wijziging van de tenaamstelling van de vergunning als volgt: 13. Aanvrager heeft door middel van een uittreksel van de Kamer van Koophandel en een akte van statutenwijziging aangetoond dat de bedrijfsnaam is gewijzigd in Eneco Zakelijk BV. 14. ACM komt op basis van de verklaring van de rechtsgeldige vertegenwoordigers tot het oordeel dat het onderhavige besluit zich beperkt tot een wijziging in de tenaamstelling van de vergunning en geen enkele betrekking heeft op de organisatorische, technische en financiele kwaliteit van de aanvrager. 15. ACM merkt bij randnummer 14 op dat het onderhavige besluit niet vooraf is gegaan door een toetsing op de vereiste financiele, technische en organisatorische kwaliteit als beschreven in het juridisch kader, alsmede het nalevingsgedrag inzake de overige wettelijke verplichtingen die rusten op de aanvrager. ACM heeft het recht om op ieder moment deze kwaliteiten to controleren. ## IV. Besluit 16. Gelet op artikel 95d, eerste lid, van de Elektriciteitswet 1998, het Besluit en het bovenstaande, besluit de Minister van Economische Zaken dat de leveringsvergunning welke ten name is gesteld van Eneco Business BV op naam gesteld wordt van Eneco Zakelijk BV. 17. Van dit besluit wordt mededeling gedaan in de Staatscourant. Een versie van dit besluit zal tevens gepubliceerd worden op de website van ACM. ## Autoriteit Consument [...]</t>
  </si>
  <si>
    <t>ACM__vergunning_12805_wijziging-tenaamstelling-eneco-business-bv-in-eneco-zakelijk-bv-elektriciteit-2014-04-08.txt::Besluitvormend Orgaan</t>
  </si>
  <si>
    <t>de Minister van Economische Zaken</t>
  </si>
  <si>
    <t>de Minister van Economische Zaken [5279:5312]</t>
  </si>
  <si>
    <t>De Minister van Economische Zaken [5838:5871]</t>
  </si>
  <si>
    <t>[...] evestigd te Rotterdam verleende vergunning met nummer 2004/84197, Al/lO/BES, laatstelijk gewijzigd op 1 september 2005 met nummer 2005/63633 voor het verrichten van handelingen met radioactieve stoffen, wordt ambtshalve ingetrokken. ## II. Documenten Het op 31 maart 2016 ontvangen ambtsbericht van Inspectie SZW maakt deel uit van de intrekkingsbeschikking. ## III. Openbaarmaking en publicatie Deze intrekkingsbeschikking wordt ingevolge artikel 8 van de Wet openbaarheid van bestuur actief openbaar gemaakt door publicatie van deze beschikking op de internetsite www.anvs.nl. Van het intrekken van bovengenoemde vergunning wordt tevens mededeling gedaan in de Staatscourant. ## IV. Inwerkingtreding Dit besluit treedt conform artikel 20.5, eerste lid, Wet milieubeheer terstond in werking. &lt;!-- image --&gt; - &amp;gt; Retouradres Postbus 16001 2500 BA Den Haag Datum 26 april 2016 Betreft Intrekking vergunning Kernenergiewet INTREKKING VAN EEN KERNENERGIEWETVERGUNNING VERLEEND AAN UNISCAN B.V. VOOR HET VERRICHTEN VAN HANDELINGEN MET RADIOACTIEVE STOFFEN Intrekking door: ## DE MINISTER VAN INFRASTRUCTUUR EN MILIEU. ## 1. Het besluit ## ANVS Stra Ii ngsbeschermi ng Aanvragen en r'lelden Bezuidenhoutseweg 67 Postbus 16001 2500 BA Den Haag www.anvs.nI - T 070-3487366 - E Postbus.Aanvragenenmelden @anvsnI Onze referentie 2016/0403-04 Bijlage(n) ## 2.1. De aanvraag Op 31 maart 2016 heb ik een brief met kenmerk A1207/82/02 ontvangen van de Inspectie SZW met betrekking op de op 17 december 2004 aan Uniscan B.V., gevestigd te Rotterdam verleende vergunning met nummer 2004/84197, Al/TO/BES, laatstelijk gewijzigd op 1 september 2005 met nummer 2005/63633. In de brief wordt gemeld dat bij een inspectie is gebleken dat de firma Uniscan B.V. niet meer bestaat. De activiteiten van Uniscan B.V. zijn in 2008 overgenomen door Teco Maritime Benelux te Spijkenisse. Hiervan is geen melding gedaan bij de overheid. Dit bedrijf heeft de betreffende bron in 2009 door de RTD af laten voeren. Ook toen heeft het betrokken bedrijf verzuimd hiervan melding te doen bij de overheid en de vergunning in te laten trekken. Bij de aanvraag zijn de volgende documenten toegevoegd: - -Mailcorrespondentie tussen Applus-RTD en Inspectie SZW. - -Overdrachtbewijs Cobalt-60 bron met referentienummer: BSH 106/04/RB/rb. - -Statusdocument Applus-RTD d.d.16 juni 2005 met opslagnummer 4039. - -Brief van Applus-RTD gericht aan Teco Maritime Benelux d.d. 26 februari 2009 met referentienummer CSH1815.09/BH/bh. - -Statusdocument Applus-RTD d.d. 18 oktober 2010 met opslagnummer 6669. ## 2.2. Gevolgde procedure De vergunning betreft handelingen met radioactieve stoffen op steeds wisselende plaatsen in geheel Nederland ten behoeve van meting van het CO 2 -niveau van gasflessen aan boord van zeeschepen. Het betreft één(1) ingekapselde bron cobalt-60 met een activiteit van maximaal 18,5 megabecquerel (MBq). De vergunde onderhavige radioactieve stoffen zijn definitief afgevoerd en van de vergunning zal geen gebruik meer worden gemaakt. Het ontdoen is geschied overeenkomstig het gestelde in artikel 37, vijfde, zevende en achtste lid, van het Besluit stralingsbescherming. ## 2.3. Besluit Op grond van bovenstaande heb ik besloten tot intrekking van de vergunning over te gaan. &lt;!-- image --&gt; ## 2. De aanvraag en de beoordeling Den Haag, De Minister van Infrastructuur en Milieu, namens deze: ir. M.J. Korse -Noordhoek MTD wnd. sectorhoofd directie [...]</t>
  </si>
  <si>
    <t>ANVS__PUC_5825_32_1.txt::Rechtshandeling</t>
  </si>
  <si>
    <t>ANVS__PUC_5825_32_1.txt</t>
  </si>
  <si>
    <t>[...] de aanvrager. ACM heeft het recht om op ieder moment deze kwaliteiten to controleren. ## IV. Besluit 16. Gelet op artikel 95d, eerste lid, van de Elektriciteitswet 1998, het Besluit en het bovenstaande, besluit de Minister van Economische Zaken dat de leveringsvergunning welke ten name is gesteld van Eneco Business BV op naam gesteld wordt van Eneco Zakelijk BV. 17. Van dit besluit wordt mededeling gedaan in de Staatscourant. Een versie van dit besluit zal tevens gepubliceerd worden op de website van ACM. ## Autoriteit Consument &amp;amp; Markt Autoriteit &lt;!-- image --&gt; 18. Dit besluit treedt in werking met ingang van de dag waarop het conform artikel 3:41 van de Algemene wet bestuursrecht is bekend gemaakt. Den Haag, Datum: 0 8 APR. 2014 De Minister van Economische Zaken, namens deze: Autoriteit Consument en Markt voor deze, R.J. Spencer Teammanager Directie Consumenten Tegen dit besluit kan degene, wiens belang rechtstreeks bij dit besluit is betrokken, binnen zes weken na [...]</t>
  </si>
  <si>
    <t>verleend | intrekking</t>
  </si>
  <si>
    <t>intrekking | verleend</t>
  </si>
  <si>
    <t>verleend [1102:1111]</t>
  </si>
  <si>
    <t>verleend [1102:1110] || intrekking [606:616] || intrekking [774:784]</t>
  </si>
  <si>
    <t>ACM__vergunning_14825_intrekking-leveringsvergunning-elektriciteit-mkb-energie-2015-10-09.txt::Ontvanger</t>
  </si>
  <si>
    <t>ACM__vergunning_14825_intrekking-leveringsvergunning-elektriciteit-mkb-energie-2015-10-09.txt</t>
  </si>
  <si>
    <t>MKB Energie</t>
  </si>
  <si>
    <t>[...] ISERENDE STRALING UITZENDENDE TOESTELLEN ## Verleend door: DE MINISTER VAN INFRASTRUCTUUR EN MILIEU. ## 1. Het besluit ## 1. Vergunning Aan Stichting Alrijne Zorggroep gevestigd te Leiderdorp wordt, onder intrekking van de op 16 september 2003 verleende vergunning met nummer 2003/383383 AI/UJB/BES, laatstelijk gewijzigd op 1 april 2015, met nummer 2015/0036-07, en onder intrekking van de op 8 mei 2002 verleende vergunning met nummer 2002/11252 AI/CK/B/KEW, laatstelijk gewijzigd op 25 februari 2015, met nummer 2015/0112-04, krachtens de artikelen 29 en 34 van de Kernenergiewet en de artikelen 23, 24 en 25 van het Besluit stralingsbescherming voor onbepaalde tijd conform de aanvraag vergunning verleend voor: ## A. RADIOACTIEVE STOFFEN ## Locatie Leiderdorp Het verrichten van handelingen ten behoeve van medische diagnostiek en therapie, uk- en referentiedoeleinden en medisch wetenschappelijk onderzoek binnen de [...]</t>
  </si>
  <si>
    <t>mkb energie</t>
  </si>
  <si>
    <t>MKB Energie [5039:5050]</t>
  </si>
  <si>
    <t>Autoriteit_Persoonsgegevens__https___www.autoriteitpersoonsgegevens.nl_system_files_file=2025-10_Besluit%20bulkvergunningaanvraag%20CWV%20Centrum%20Hoensbroek.txt::Besluitvormend Orgaan</t>
  </si>
  <si>
    <t>Autoriteit_Persoonsgegevens__https___www.autoriteitpersoonsgegevens.nl_system_files_file=2025-10_Besluit%20bulkvergunningaanvraag%20CWV%20Centrum%20Hoensbroek.txt</t>
  </si>
  <si>
    <t>AP</t>
  </si>
  <si>
    <t>Autoriteit Persoonsgegevens</t>
  </si>
  <si>
    <t>[...] t. 2013, nr. 9697. ## Autoriteit Consument &amp;amp; Markt &lt;!-- image --&gt; ## IV. Besluit 10. Gelet op artikel 95f, eerste lid, onderdeel a van de Elektriciteitswet en het bovenstaande, besluit de Minister de aan MKB Energie verleende vergunning als bedoeld in artikel 95d van de Elektriciteitswet 1998 voor het leveren van elektriciteit aan kleinverbruikers in te trekken. 11. Van dit besluit wordt mededeling gedaan in de Staatscourant. Een [...]</t>
  </si>
  <si>
    <t>autoriteit persoonsgegevens</t>
  </si>
  <si>
    <t>ACM__vergunning_14825_intrekking-leveringsvergunning-elektriciteit-mkb-energie-2015-10-09.txt::Besluitvormend Orgaan</t>
  </si>
  <si>
    <t>Autoriteit Persoonsgegevens [15630:15657]</t>
  </si>
  <si>
    <t>De Minister van Economische Zaken [5529:5562]</t>
  </si>
  <si>
    <t>[...] liceerd worden op de website van ACM. 12. Dit besluit treedt in werking met ingang van de dag waarop het conform artikel 3:41 van de Algemene wet bestuursrecht is bekend gemaakt. Den Haag, Datum: 9 OKT 2015 De Minister van Economische Zaken namens deze: Autoriteit Consument en Markt voor deze, ## R.J. Spencer Teammanager Directie Consumenten Tegen dit besluit kan degene, wiens belang rechtstreeks bij dit besluit is betrokken, binnen zes weken n [...]</t>
  </si>
  <si>
    <t>ACM__vergunning_14825_intrekking-leveringsvergunning-elektriciteit-mkb-energie-2015-10-09.txt::Rechtshandeling</t>
  </si>
  <si>
    <t>in te trekken</t>
  </si>
  <si>
    <t>in te trekken [5185:5198]</t>
  </si>
  <si>
    <t>[...] van de Elektriciteitswet en het bovenstaande, besluit de Minister de aan MKB Energie verleende vergunning als bedoeld in artikel 95d van de Elektriciteitswet 1998 voor het leveren van elektriciteit aan kleinverbruikers in te trekken. 11. Van dit besluit wordt mededeling gedaan in de Staatscourant. Een versie van dit besluit zal tevens gepubliceerd worden op de website van ACM. 12. Dit besluit treedt in werking met ingang van de dag waarop het con [...]</t>
  </si>
  <si>
    <t>[...] chrift indienen, zie www.autoriteitpersoonsgegevens.nl. onder het kopje 'Bezwaar maken tegen een besluit'. Het indienen van een bezwaarschrift schort de werking van dit besluit niet op. Den Haag, 11 september 2025 Autoriteit Persoonsgegevens, Overeenkomstig het door de Autoriteit Persoonsgegevens genomen besluit, ir. N.G. de Jong Directeur Systeemtoezicht, Beveiliging en Technologie &lt;!-- image --&gt; ## Datum 11 september 2025 ## Ons kenme [...]</t>
  </si>
  <si>
    <t>ACM__vergunning_14825_intrekking-leveringsvergunning-elektriciteit-mkb-energie-2015-10-09.txt::Rechtsobject</t>
  </si>
  <si>
    <t>Autoriteit_Persoonsgegevens__https___www.autoriteitpersoonsgegevens.nl_system_files_file=2025-01_Besluit%20vergunning%20collectief%20winkelverbod%20Rotterdam%20Zuidplein.txt::Ontvanger</t>
  </si>
  <si>
    <t>Autoriteit_Persoonsgegevens__https___www.autoriteitpersoonsgegevens.nl_system_files_file=2025-01_Besluit%20vergunning%20collectief%20winkelverbod%20Rotterdam%20Zuidplein.txt</t>
  </si>
  <si>
    <t>Centrum voor Criminaliteitspreventie en Veiligheid</t>
  </si>
  <si>
    <t>vergunning [5061:5071]</t>
  </si>
  <si>
    <t>het Centrum voor Criminaliteitspreventie en Veiligheid</t>
  </si>
  <si>
    <t>centrum voor criminaliteitspreventie en veiligheid</t>
  </si>
  <si>
    <t>het centrum voor criminaliteitspreventie en veiligheid</t>
  </si>
  <si>
    <t>Centrum voor Criminaliteitspreventie en Veiligheid [419:469]</t>
  </si>
  <si>
    <t>het Centrum voor Criminaliteitspreventie en Veiligheid [415:469]</t>
  </si>
  <si>
    <t>[...] ## Autoriteit Consument &amp;amp; Markt &lt;!-- image --&gt; ## IV. Besluit 10. Gelet op artikel 95f, eerste lid, onderdeel a van de Elektriciteitswet en het bovenstaande, besluit de Minister de aan MKB Energie verleende vergunning als bedoeld in artikel 95d van de Elektriciteitswet 1998 voor het leveren van elektriciteit aan kleinverbruikers in te trekken. 11. Van dit besluit wordt mededeling gedaan in de Staatscourant. Een versie van dit beslui [...]</t>
  </si>
  <si>
    <t>ACM__vergunning_15096_vergunning-warmte-greenspread-2014.txt::Ontvanger</t>
  </si>
  <si>
    <t>ACM__vergunning_15096_vergunning-warmte-greenspread-2014.txt</t>
  </si>
  <si>
    <t>Greenspread Warmte B.V.</t>
  </si>
  <si>
    <t>greenspread warmte b.v</t>
  </si>
  <si>
    <t>Greenspread Warmte B.V. [10272:10295]</t>
  </si>
  <si>
    <t>[...] jkerwijs in staat kan worden geacht om de verplichtingen als opgenomen in hoofdstuk 2 van de Warmtewet na te komen 19. Met inachtneming van artikel 10, eerste lid, van de Warmtewet en het Warmtebesluit, besluit ACM aan Greenspread Warmte B.V. een vergunning te verlenen voor het leveren van warmte aan verbruikers. 20. Met toepassing van de bevoegdheid opgenomen in artikel 10, derde lid, van de Warmtewet verbindt ACM aan de vergunning het voorschrift dat Gree [...]</t>
  </si>
  <si>
    <t>ACM__vergunning_15096_vergunning-warmte-greenspread-2014.txt::Besluitvormend Orgaan</t>
  </si>
  <si>
    <t>[...] an de verwerking 'Collectief Winkelverbod' door de in de bijlage genoemde winkeliers van het winkelgebied Zuidplein Rotterdam - 2024-030739 ## 1 Inleiding: aanleiding vergunningaanvraag 1. Op 23 oktober 2024 heeft het Centrum voor Criminaliteitspreventie en Veiligheid (hierna: het CCV) ingevolge artikel 33, vierde lid, aanhef en onder c, van de Uitvoeringswet Algemene verordening gegevensbescherming (UAVG) - bij de Autoriteit Persoonsgegevens (AP) een bulkvergunningaanvraag ingediend [...]</t>
  </si>
  <si>
    <t>De Minister van Economische Zaken [12026:12059]</t>
  </si>
  <si>
    <t>Autoriteit_Persoonsgegevens__https___www.autoriteitpersoonsgegevens.nl_system_files_file=2025-01_Besluit%20vergunning%20collectief%20winkelverbod%20Winterswijk.txt::Ontvanger</t>
  </si>
  <si>
    <t>Autoriteit_Persoonsgegevens__https___www.autoriteitpersoonsgegevens.nl_system_files_file=2025-01_Besluit%20vergunning%20collectief%20winkelverbod%20Winterswijk.txt</t>
  </si>
  <si>
    <t>Centrum voor Criminaliteitspreventie en Veiligheid [392:442]</t>
  </si>
  <si>
    <t>het Centrum voor Criminaliteitspreventie en Veiligheid [388:442]</t>
  </si>
  <si>
    <t>[...] ceerd worden op de website van ACM. ## Besluit 25. Dit besluit treedt in werking met ingang van de dag waarop het conform artikel 3:41 van de Algemene wet bestuursrecht is bekend gemaakt. Den Haag, Datum: De Minister van Economische Zaken namens deze: Autoriteit Consument en Markt voor deze, drs. F.E. Koel Teammanager Directie Energie Tegen dit besluit kan degene, wiens belang rechtstreeks bij dit besluit is betrokken, binnen zes weken na de dag va [...]</t>
  </si>
  <si>
    <t>ACM__vergunning_15096_vergunning-warmte-greenspread-2014.txt::Rechtshandeling</t>
  </si>
  <si>
    <t>verlenen [10314:10322]</t>
  </si>
  <si>
    <t>[...] verplichtingen als opgenomen in hoofdstuk 2 van de Warmtewet na te komen 19. Met inachtneming van artikel 10, eerste lid, van de Warmtewet en het Warmtebesluit, besluit ACM aan Greenspread Warmte B.V. een vergunning te verlenen voor het leveren van warmte aan verbruikers. 20. Met toepassing van de bevoegdheid opgenomen in artikel 10, derde lid, van de Warmtewet verbindt ACM aan de vergunning het voorschrift dat Greenspread Warmte B.V. onverwi [...]</t>
  </si>
  <si>
    <t>ACM__vergunning_15096_vergunning-warmte-greenspread-2014.txt::Rechtsobject</t>
  </si>
  <si>
    <t>vergunning [10300:10310]</t>
  </si>
  <si>
    <t>[...] n de verwerking 'Collectief Winkelverbod' door de in de bijlage genoemde winkeliers van het winkelgebied (Centrum Winterswijk) (2024-028600) ## 1 Inleiding: aanleiding vergunningaanvraag 1. Op 2 oktober 2024 heeft het Centrum voor Criminaliteitspreventie en Veiligheid (hierna: het CCV) ingevolge artikel 33, vierde lid, aanhef en onder c, van de Uitvoeringswet Algemene verordening gegevensbescherming (UAVG) - bij de Autoriteit Persoonsgegevens (AP) een bulkvergunningaanvraag ingediend [...]</t>
  </si>
  <si>
    <t>Autoriteit_Persoonsgegevens__https___www.autoriteitpersoonsgegevens.nl_system_files_file=2025-03_Besluit%20vergunning%20collectief%20winkelverbod%20Schijndel.txt::Ontvanger</t>
  </si>
  <si>
    <t>[...] geacht om de verplichtingen als opgenomen in hoofdstuk 2 van de Warmtewet na te komen 19. Met inachtneming van artikel 10, eerste lid, van de Warmtewet en het Warmtebesluit, besluit ACM aan Greenspread Warmte B.V. een vergunning te verlenen voor het leveren van warmte aan verbruikers. 20. Met toepassing van de bevoegdheid opgenomen in artikel 10, derde lid, van de Warmtewet verbindt ACM aan de vergunning het voorschrift dat Greenspread Warmte [...]</t>
  </si>
  <si>
    <t>Autoriteit_Persoonsgegevens__https___www.autoriteitpersoonsgegevens.nl_system_files_file=2025-03_Besluit%20vergunning%20collectief%20winkelverbod%20Schijndel.txt</t>
  </si>
  <si>
    <t>ACM__vergunning_17514_besluit-vergunning-elektriciteit--holthausen-clean-energy-bv-31-07-2017.txt::Ontvanger</t>
  </si>
  <si>
    <t>ACM__vergunning_17514_besluit-vergunning-elektriciteit--holthausen-clean-energy-bv-31-07-2017.txt</t>
  </si>
  <si>
    <t>Holthausen Clean Energy B.V.</t>
  </si>
  <si>
    <t>holthausen clean energy b.v</t>
  </si>
  <si>
    <t>Centrum voor Criminaliteitspreventie en Veiligheid [389:439]</t>
  </si>
  <si>
    <t>het Centrum voor Criminaliteitspreventie en Veiligheid [385:439]</t>
  </si>
  <si>
    <t>Holthausen Clean Energy B.V. [9505:9533]</t>
  </si>
  <si>
    <t>[...] rden geacht om de verplichtingen als opgenomen in hoofdstuk 8 van de Elektriciteitswet 1998 na te komen, als bedoeld in artikel 95d, eerste lid, van de Elektriciteitswet 1998. 24. De ACM verleent namens de minister aan Holthausen Clean Energy B.V. een vergunning voor het leveren van elektriciteit aan kleinverbruikers 16 . 25. Aan de vergunning wordt het voorschrift verbonden dat Holthausen Clean Energy B.V. blijvend voldoet aan de vereisten voor vergunningverlen [...]</t>
  </si>
  <si>
    <t>ACM__vergunning_17514_besluit-vergunning-elektriciteit--holthausen-clean-energy-bv-31-07-2017.txt::Besluitvormend Orgaan</t>
  </si>
  <si>
    <t>De Minister van Economische Zaken [11255:11288]</t>
  </si>
  <si>
    <t>[...] ndere redenen. 28. De openbare versie van dit besluit publiceert ACM op haar website. 29. Dit besluit treedt in werking met ingang van de dag waarop het bekend is gemaakt 19 . Den Haag, 18 juli 2017 Hoogachtend, De Minister van Economische Zaken, namens deze: Autoriteit Consument en Markt, voor deze: w.g. ir. E.J. Hummelen Teammanager Directie Consumenten 18 Artikel 95f, eerste lid, van de Elektriciteitswet 1998. 19 Artikel 3:41 van de Algemen [...]</t>
  </si>
  <si>
    <t>ACM__vergunning_17514_besluit-vergunning-elektriciteit--holthausen-clean-energy-bv-31-07-2017.txt::Rechtshandeling</t>
  </si>
  <si>
    <t>[...] n van de verwerking 'Collectief Winkelverbod' door de in de bijlage genoemde winkeliers van het winkelgebied Centrum Schijndel 2024-037030 ## 1 Inleiding: aanleiding vergunningaanvraag 1. Op 24 december 2024 heeft het Centrum voor Criminaliteitspreventie en Veiligheid (hierna: het CCV) - ingevolge artikel 33, vierde lid, aanhef en onder c, van de Uitvoeringswet Algemene verordening gegevensbescherming (UAVG) - bij de Autoriteit Persoonsgegevens (AP) een bulkvergunningaanvraag ingedie [...]</t>
  </si>
  <si>
    <t>Autoriteit_Persoonsgegevens__https___www.autoriteitpersoonsgegevens.nl_system_files_file=2025-10_Besluit%20bulkvergunningaanvraag%20Binnenstad%20Tilburg.txt::Ontvanger</t>
  </si>
  <si>
    <t>Autoriteit_Persoonsgegevens__https___www.autoriteitpersoonsgegevens.nl_system_files_file=2025-10_Besluit%20bulkvergunningaanvraag%20Binnenstad%20Tilburg.txt</t>
  </si>
  <si>
    <t>verleent [9473:9481]</t>
  </si>
  <si>
    <t>Centrum voor Criminaliteitspreventie en Veiligheid [462:512]</t>
  </si>
  <si>
    <t>het Centrum voor Criminaliteitspreventie en Veiligheid [458:512]</t>
  </si>
  <si>
    <t>[...] . kan redelijkerwijs in staat worden geacht om de verplichtingen als opgenomen in hoofdstuk 8 van de Elektriciteitswet 1998 na te komen, als bedoeld in artikel 95d, eerste lid, van de Elektriciteitswet 1998. 24. De ACM verleent namens de minister aan Holthausen Clean Energy B.V. een vergunning voor het leveren van elektriciteit aan kleinverbruikers 16 . 25. Aan de vergunning wordt het voorschrift verbonden dat Holthausen Clean Energy B.V. bli [...]</t>
  </si>
  <si>
    <t>ACM__vergunning_17514_besluit-vergunning-elektriciteit--holthausen-clean-energy-bv-31-07-2017.txt::Rechtsobject</t>
  </si>
  <si>
    <t>vergunning [9538:9548]</t>
  </si>
  <si>
    <t>[...] als opgenomen in hoofdstuk 8 van de Elektriciteitswet 1998 na te komen, als bedoeld in artikel 95d, eerste lid, van de Elektriciteitswet 1998. 24. De ACM verleent namens de minister aan Holthausen Clean Energy B.V. een vergunning voor het leveren van elektriciteit aan kleinverbruikers 16 . 25. Aan de vergunning wordt het voorschrift verbonden dat Holthausen Clean Energy B.V. blijvend voldoet aan de vereisten voor vergunningverlening. Vinden er [...]</t>
  </si>
  <si>
    <t>[...] Collectief Winkelverbod' door de in de bijlage genoemde winkeliers van het winkelgebied Binnenstad Tilburg- 2024011591/2025-002437/2025-022203 ## 1 Inleiding: aanleiding vergunningaanvraag 1. Op 10 juli 2025 heeft het Centrum voor Criminaliteitspreventie en Veiligheid (hierna: het CCV) ingevolge artikel 33, vierde lid, aanhef en onder c, van de Uitvoeringswet Algemene verordening gegevensbescherming (UAVG) - bij de Autoriteit Persoonsgegevens (AP) een bulkvergunningaanvraag ingediend [...]</t>
  </si>
  <si>
    <t>Autoriteit_Persoonsgegevens__https___www.autoriteitpersoonsgegevens.nl_system_files_file=2025-10_Besluit%20bulkvergunningaanvraag%20CWV%20Centrum%20Hoensbroek.txt::Ontvanger</t>
  </si>
  <si>
    <t>Centrum voor Criminaliteitspreventie en Veiligheid | Autoriteit Persoonsgegevens</t>
  </si>
  <si>
    <t>autoriteit persoonsgegevens | centrum voor criminaliteitspreventie en veiligheid</t>
  </si>
  <si>
    <t>Centrum voor Criminaliteitspreventie en Veiligheid [414:464] || Autoriteit Persoonsgegevens [15630:15657]</t>
  </si>
  <si>
    <t>het Centrum voor Criminaliteitspreventie en Veiligheid [410:464]</t>
  </si>
  <si>
    <t>ACM__vergunning_besluit-intrekken-vergunning-elektriciteit-energie-der-nederlanden.txt::Besluitvormend Orgaan</t>
  </si>
  <si>
    <t>De Minister van Economische Zaken [4403:4436]</t>
  </si>
  <si>
    <t>[...] e van dit besluit publiceert ACM op haar website. 13. Dit besluit treedt in werking met ingang van de dag waarop het bekend is gemaakt 9 . Den Haag, 15 september 2017 (datum feitelijke ondertekening) Hoogachtend, De Minister van Economische Zaken, namens deze: Autoriteit Consument en Markt, voor deze: w.g. mr. drs. J.L. van de Braak Teammanager Directie Consumenten Als u rechtstreeks belanghebbende bent, kunt u bezwaar maken tegen dit besluit. Stuur [...]</t>
  </si>
  <si>
    <t>ACM__vergunning_besluit-intrekken-vergunning-elektriciteit-energie-der-nederlanden.txt::Rechtshandeling</t>
  </si>
  <si>
    <t>in te trekken [4143:4156]</t>
  </si>
  <si>
    <t>[...] uit van 2 april 2013, Stcrt. 2013, nr. 9333 Besluit van 2 april 2013, Stcrt. 2013, nr. 9697 ## IV. Besluit 11. De minister besluit de vergunning voor het leveren van elektriciteit aan kleinverbruikers 7 van EdN in te trekken 8 . 12. De openbare versie van dit besluit publiceert ACM op haar website. 13. Dit besluit treedt in werking met ingang van de dag waarop het bekend is gemaakt 9 . Den Haag, 15 september 2017 (datum feitelijke onde [...]</t>
  </si>
  <si>
    <t>ACM__vergunning_besluit-intrekken-vergunning-elektriciteit-energie-der-nederlanden.txt::Rechtsobject</t>
  </si>
  <si>
    <t>vergunning [4066:4076]</t>
  </si>
  <si>
    <t>[...] g om de verleende vergunning in stand te houden komen te vervallen. * Besluit van 2 april 2013, Stcrt. 2013, nr. 9333 Besluit van 2 april 2013, Stcrt. 2013, nr. 9697 ## IV. Besluit 11. De minister besluit de vergunning voor het leveren van elektriciteit aan kleinverbruikers 7 van EdN in te trekken 8 . 12. De openbare versie van dit besluit publiceert ACM op haar website. 13. Dit besluit treedt in werking met ingang van de dag waarop [...]</t>
  </si>
  <si>
    <t>ANVS__PUC_275_32_1.txt::Ontvanger</t>
  </si>
  <si>
    <t>ANVS__PUC_275_32_1.txt</t>
  </si>
  <si>
    <t>Corus Staal B.V. [1451:1467]</t>
  </si>
  <si>
    <t>Corus Staal B.V. [364:380]</t>
  </si>
  <si>
    <t>[...] rden van de verwerking 'Collectief Winkelverbod' door de in de bijlage genoemde winkeliers van het winkelgebied Centrum Hoensbroek- 2025-022232 ## 1 Inleiding: aanleiding vergunningaanvraag 1. Op 3 juli 2025 heeft het Centrum voor Criminaliteitspreventie en Veiligheid (hierna: het CCV) ingevolge artikel 33, vierde lid, aanhef en onder c, van de Uitvoeringswet Algemene verordening gegevensbescherming (UAVG) - bij de Autoriteit Persoonsgegevens (AP) een bulkvergunningaanvraag ingediend namens de in de bijlage van het besluit genoemde winkeliers in winkelgebied Centrum Hoensbroek. Ter onderbouwing van de aanvraag, heeft het CCV een protocol en een gegevensbeschermingseffectbeoordeling (ook wel data protection impact assessment/DPIA genoemd) bijgevoegd. Deze aanvraag is bij de AP bekend onder het zaaknummer 2025-022232 en onder de zaaknaam ' Bulkvergunningaanvraag winkelgebied Centrum Hoensbroek'. ## Procesverloop - -Op 3 juli 2025 heeft de AP de bulkvergunningaanvraag voor 17 winkeliers inzake een Collectief Winkelverbod in winkelgebied Centrum Hoensbroek van het CCV ontvangen. - -Op 19 augustus 2025 heeft de AP geconstateerd dat de vergunningaanvraag incompleet was en de AP heeft op 19 augustus 2025 verzocht om de vergunningaanvraag aan te vullen. - -Vervolgens heeft het CCV op 3 september 2025 de ontbrekende informatie en documenten aangeleverd. 2. Op grond van artikel 33, vierde lid, aanhef en onder c, UAVG mogen persoonsgegevens van strafrechtelijke aard ten behoeve van derden worden verwerkt indien de AP een vergunning voor de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3. In het navolgende concludeert de AP dat er een bulkvergunning voor de verwerking van gegevens van strafrechtelijke aard ten behoeve van derden kan worden verleend aan de individuele winkeliers, genoemd in de bijlage, omdat voldoende is aangetoond dat de verwerking noodzakelijk is met het oog op een zwaarwegend belang van derden en bij de uitvoering is voorzien in zodanige waarborgen dat de persoonlijke levenssfeer van de betrokkene niet onevenredig wordt geschaad. Het vorenstaande is uitgewerkt in het aangeleverde protocol en de DPIA. &lt;!-- image --&gt; ## Datum 11 september 2025 ## 2 Procedureverloop 4. De AP heeft het Protocol (collectief) winkelverbod, versie april 2020 (hierna: modelprotocol collectief winkelverbod) en d e Data Protection Impact Assessment - Registratie en gebruik winkelverboden, versie april 2020 (hierna: model-DPIA collectief winkelverbod) beoordeeld. De AP is op basis van de hiervoor genoemde documenten en de nadere toelichting die daarop is gegeven door het CCV, tot de conclusie gekomen dat de AP in genoemde documenten geen strijdigheden ziet met de AVG en de UAVG. De AP heeft dit bevestigd in haar brief van 18 mei 2020, waarbij is aangegeven dat aan de nog af te geven vergunningen in elk geval een aantal specifieke aanvullende voorschriften worden verbonden (zie onder overwegingen 12, 13, 14, 15 en 16 van dit besluit). Na afstemming met het CCV (landelijk) heeft de AP per brief van 14 april 2022 aangegeven dat de geldigheidstermijn van het modelprotocol, model-DPIA collectief winkelverbod en alle bulkvergunningen loopt tot 31 maart 2027. 5. De lokale ondernemers hebben schriftelijk verklaard dat zij het modelprotocol collectief winkelverbod (april 2020) en model-DPIA collectief winkelverbod (april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het winkelverbod is om de criminele derving, agressie en geweld tegen te gaan binnen de detailhandel. 7. In eerste instantie krijgt iemand na een strafbaar feit een collectieve waarschuwing voor een jaar. Gedurende dit jaar kunnen de winkels nog steeds worden bezocht. Wanneer betrokkene in deze periode nogmaals in de fout gaat, wordt gedurende één of twee jaar de toegang ontzegd tot alle deelnemende ondernemingen in het betreffende winkelgebied, dan wel (wanneer sprake is van een winkelgebied met één eigenaar) tot het winkelcentrum zelf. Andere winkelgebieden en winkels van niet-deelnemende ondernemingen blijven dus toegankelijk. Uiteraard kan ook nog steeds gebruik worden gemaakt van bezorgdiensten, zodat niemand de mogelijkheid wordt ontzegd om aan de eerste levensbehoeften te komen. 8. Een individueel winkelverbod is bedoeld om een overlastgever uit een specifieke winkel te weren. Deze verboden worden (alleen zichtbaar voor de betreffende winkel en de beheerder) wel in het systeem opgenomen. Hiermee wordt het mogelijk om, wanneer blijkt dat het iemand betreft die in meerdere winkels overlast veroorzaakt, het individueel verbod te wijzigen in een collectief verbod. 9. Een collectief winkelverbod (waar eventueel een waarschuwing aan voorafgaat) levert een belangrijke bijdrage aan het tegengaan van criminele derving, agressie en geweld binnen de detailhandel. Om een collectief winkelverbod te handhaven is samenwerking tussen winkelondernemers, waarbij personen die zich schuldig maken aan overlast en/of strafbare feiten in een systeem worden geregistreerd, noodzakelijk.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 Ons kenmerk 2025-022232 &lt;!-- image --&gt; ## Datum 11 september 2025 ## Ons kenmerk 2025-022232 Artikel 1 UAVG bepaalt: ' In deze wet en de daarop berustende bepalingen wordt verstaan onder: ##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Artikel 31 UAVG bepaalt: 'Onverminderd artikel 10 van de verordening mogen persoonsgegevens van strafrechtelijke aard alleen worden verwerkt voor zover dit krachtens de artikelen 32 en 33 is toegestaan.' Artikel 33, vierde lid, aanhef en onder c, UAVG bepaalt: 'Persoonsgegevens van strafrechtelijke aard mogen ten behoeve van derden worden verwerkt: ## […] c. indien de Autoriteit persoonsgegevens met inachtneming van het vijfde lid een vergunning voor de verwerking heeft verleend .'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Artikel 6, eerste lid, aanhef en onder f, AVG bepaalt: ' De verwerking is alleen rechtmatig indien en voor zover aan ten minste een van de onderstaande voorwaarden is voldaan: ##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betrokkene niet zwaarder wegen, rekening houdend met de redelijke verwachtingen van de betrokkene op basis van zijn verhouding met de verwerkingsverantwoordelijke. […] In elk geval is een zorgvuldige beoordeling geboden om te bepalen of sprake is van een gerechtvaardigd belang, alsook om te bepalen of een betrokkene op het tijdstip en in het kader van de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De verwerking van persoonsgegevens die strikt noodzakelijk is voor fraudevoorkoming is ook een gerechtvaardigd belang van de verwerkingsverantwoordelijke in kwestie. […]'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&lt;!-- image --&gt; ## Ons kenmerk 2025-022232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verrichtte beoordeling. 12. Het conformeren aan het modelprotocol collectief winkelverbod en model-DPIA collectief winkelverbod (versie april 2020) leidt tot het op een AVG-conforme wijze bijhouden van enerzijds de opgelegde individuele winkelverboden (voor intern/eigen gebruik) en anderzijds het delen met derden van strafrechtelijke persoonsgegevens ten aanzien van opgelegde collectieve winkelverboden. In het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15. Daarnaast dienen voor het verkrijgen van een vergunning voor het voeren van en/of deelname aan de hiervoor genoemde registratie van personen aan wie een collectief winkelverbod is opgelegd, ook de aanvullende vergunningsvoorschriften (zie hieronder) in acht genomen te worden. 16. Zoals ook onder overweging 4 van dit besluit is aangegeven, zijn er aanvullende voorschriften verbonden aan deze vergunningen. De aanvullende voorschriften, zoals ook benoemd in de brief van de AP van 18 mei 2020 aan het CCV, zijn, dat: - a. de lokale ondernemers (gezamenlijke verwerkingsverantwoordelijken) jaarlijks - gecoördineerd door het CCV 1 - een evaluatie van het modelprotocol en model-DPIA 2 van het collectief winkelverbod dienen uit te voeren. De AP ontvangt op aanvraag een afschrift van deze evaluatie. - b. in aansluiting op voorschrift b de verwerkingsverantwoordelijke bij deze jaarlijkse evaluatie in elk geval expliciet zal ingaan op: 3.  (de omvang van) de deelnemerslijst (ofwel: de lijst waarin de lokale ondernemers zijn opgesomd, die deelnemen aan het collectief winkelverbod in dat bepaalde winkelgebied). 3 4.  het aantal opgelegde individuele en collectieve winkelverboden en collectieve waarschuwingen. 1 Hierdoor kan een uniforme werkwijze voor alle bij het CCV aangesloten winkeliersverenigingen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3 Deze deelnemerslijst wordt door het CCV via een website actueel gehouden, zodat kenbaar is welke winkeliers deelnemen aan het collectief verbod in een bepaald gebied. &lt;!-- image --&gt; ## Datum 11 september 2025 &lt;!-- image --&gt; -  het aantal (wegens verlopen van de looptijd of om andere redenen) verwijderde individuele en collectieve verboden en collectieve waarschuwingen. -  de meldingen van eventuele bijzondere incidenten waarbij de aard en de omvang daarvan wordt beschreven, of van andere vermeldingswaardige bijzonderheden. - c. de vergunning is - behoudens ingrijpende wetswijzigingen of wijzigingen van de gegevensverwerking - geldig tot 31 maart 2027. - d. de verwerkingsverantwoordelijke (lokale ondernemer) diens gegevens volledig conform het modelprotocol en model-DPIA zal verwerken. Dat wil zeggen dat de lokale ondernemer het modelprotocol en model-DPIA ongewijzigd overneemt en de gegevens van de opgelegde collectieve winkelverboden precies, zoals in het modelprotocol en model-DPIA omschreven wordt, gaat verwerken. ## 6 Conclusie 17. De AP is van oordeel dat de in de bijlage genoemde winkeliers - door zich te conformeren aan de reeds door de AP beoordeelde modelprotocol en model-DPIA (versie april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Den Haag, 11 september 2025 Autoriteit Persoonsgegevens, Overeenkomstig het door de Autoriteit Persoonsgegevens genomen besluit, ir. N.G. de Jong Directeur Systeemtoezicht, Beveiliging en Technologie &lt;!-- image --&gt; ## Datum 11 september 2025 ## Ons kenme [...]</t>
  </si>
  <si>
    <t>Autoriteit_Persoonsgegevens__https___www.autoriteitpersoonsgegevens.nl_system_files_file=2025-10_Besluit%20bulkvergunningaanvraag%20CWV%20Winkelcentrum%20Donderberg.txt::Ontvanger</t>
  </si>
  <si>
    <t>Autoriteit_Persoonsgegevens__https___www.autoriteitpersoonsgegevens.nl_system_files_file=2025-10_Besluit%20bulkvergunningaanvraag%20CWV%20Winkelcentrum%20Donderberg.txt</t>
  </si>
  <si>
    <t>Centrum voor Criminaliteitspreventie en Veiligheid [420:470]</t>
  </si>
  <si>
    <t>het Centrum voor Criminaliteitspreventie en Veiligheid [416:470]</t>
  </si>
  <si>
    <t>[...] N WERKGELEGENHEID Mede namens de Staatssecretaris van Volkshuisvesting, Ruimtelijke Ordening en Milieubeheer en in overeenstemming met de Minister van Economische Zaken; Gezien de aanvraag d.d. 6 februari 2003 van Corus Staal B.V. te IJmuiden strekkende tot wijziging van een vergunning als bedoeld in artikel 29 van de Kernenergiewet en als bedoeld in hoofdstuk 4, artikel 23, van het Besluit stralingsbescherming; Gelet op de artikelen 15, onder a, 29-31 en 34 van de Kernenergiewet en het bepaalde in hoofdstuk 4 van het Besluit stralingsbescherming; Gelet op de d.d. 7 mei 1998, onder nr. 98/469 S, AI/CK/VCR/KEW, verleende vergunning, laatstelijk gewijzigd d.d. 20 april 2001, onder nr. 2000/70861, AI/CK/B/KEW; Overwegende, dat de aanvrager reeds eerder een overeenkomstige vergunning met betrekking tot dezelfde plaats was verleend en niet is te verwachten dat door gebruikmaking van de vergunning nadeliger gevolgen voor mensen, dieren, planten en goederen kunnen worden veroorzaakt dan bij de eerder verleende vergunning in aanmerking is genomen. ## B E S L U I T : De d.d. 7 mei 1998, onder nr. 98/469 S, AI/CK/VCR/KEW, verleende vergunning, laatstelijk gewijzigd d.d. 20 april 2001, onder nr. 2000/70861, AI/CK/B/KEW, wordt gewijzigd zodat deze thans luidt als volgt: Aan Corus Staal B.V., Wenckebachstraat 1 te Velsen-Noord (gem. Velsen), wordt vergunning verleend voor: - -het verrichten van handelingen met radioactieve stoffen; - -het verrichten van handelingen met ioniserende straling uitzendende t [...]</t>
  </si>
  <si>
    <t>ANVS__PUC_275_32_1.txt::Besluitvormend Orgaan</t>
  </si>
  <si>
    <t>de Staatssecretaris van Sociale Zaken en Werkgelegenheid</t>
  </si>
  <si>
    <t>de staatssecretaris van sociale zaken en werkgelegenheid</t>
  </si>
  <si>
    <t>de Staatssecretaris van Sociale Zaken en Werkgelegenheid [37020:37076]</t>
  </si>
  <si>
    <t>de Staatssecretaris van Sociale Zaken en Werkgelegenheid [32556:32612]</t>
  </si>
  <si>
    <t>[...] ot dat tijdstip is een afschrift van de vergunning in de betrokken locatie aanwezig. Van het verlenen van deze vergunning wordt mededeling gedaan door plaatsing in de Staatscourant. 's-Gravenhage, 26 maart 2003 de Staatssecretaris van Sociale Zaken en Werkgelegenheid, M. Rutte namens deze: de wnd. Directeur Centraal Kantoor van de Arbeidsinspectie, dr. P.B. Koster &lt;!-- image --&gt; ## Arbeidsinspectie Centraal Kantoor Afdeling Beschikkingen 9: | AANTEKENEN Corus Staal B.V. Committee Radiological Aspects IJmuiden t.a.v. de heer J.Th. van Nes Postbus 10.000 1970 CA IJMUIDEN | Ons kenmerk AI/CK/B/KEW/gh nr. 2003/12096 | Postbus 90801 2509 LV Den Haag Anna van Hannoverstraat 4 Telefoon (070) 333 44 44 Telefax (070) 333 40 41 | |------------------------------------------------------------------------------------------------------------------------------------|---------------------------------------------|-------------------------------------------------------------------------------------------------------------| | Uw brief vN/CRAY/03-018E d.d. 6 februari 2003 | | Doorkiesnummer (070) 333 5535 | | Onderwerp | Datum | Contactpersoon | | Besluit stralingsbescherming; vergunning | 26 maart 2003 | | Naar aanleiding van de desbetreffende aanvraag strekkende tot wijziging van een vergunning ingevolge het Besluit stralingsbescherming, doe ik u hierbij, mede namens de Staatssecretaris van Volkshuisvesting, Ruimtelijke Ordening en Milieubeheer en in overeenstemming met de Minister van Economische Zaken, mijn beschikking onder datum en nummer als deze toekomen. Ik vestig er de aandacht op dat de interne situatie waarop deze vergunning betrekking heeft, slechts mag worden gewijzigd nadat de vergunning aan de nieuwe situatie is aangepast. In geval van wijziging van de naam en/of het adres van de vergunninghouder c.q. de locatie dient daarvan mededeling aan mij te worden gedaan. Tevens deel ik u mede dat voor het geval van brand de betrokken locatie aan de Wenckebachstraat 1 te Velsen-Noord (gem. Velsen) is ingedeeld in de brandklasse III in de zin van de aan de gemeenten gerichte circulaires van de Minister van Binnenlandse Zaken d.d. 14 maart 1962, d.d. 30 september 1965 en d.d. 17 februari 1982 (Dir. O.V.V./Afd. B.W., no. E.B. 62/386, EB 65/1609, respectievelijk EB 82/U 161). Bedoelde indeling houdt uitsluitend verband met de aanwezigheid van radioactieve stoffen. Dit houdt in dat bij een eventuele brandbestrijding met het oog op de radioactiviteitsgevaren mogelijk enige maatregelen van brandweertechnische aard dienen te worden genomen. In elk geval zal na de brand in verband met de controle op radioactieve besmetting van de brandweerkleding een zekere nazorg dienen plaats te vinden. In dit verband wijs ik u erop dat het raadzaam is de plaatselijke brandweer op de hoogte te brengen van de aanwezigheid van radioactief materiaal in bovengenoemde locatie. Wellicht ten overvloede wijs ik u erop dat uiteraard moet worden voldaan aan de bepalingen van het Besluit stralingsbescherming. Tenslotte maak ik u erop attent dat ingevolge artikel 50 van de Kernenergiewet, de bepalingen van hoofdstuk 20 van de Wet milieubeheer op de onderhavige beschikking van toepassing zijn. Dit houdt onder meer in dat de beschikking pas van kracht wordt met ingang van 6 weken na de dag van verzending van de beschikking. Overeenkomstig de Algemene wet bestuursrecht kan tegen dit besluit bezwaar worden gemaakt. Daartoe moet binnen zes weken na de datum van de verzending van dit besluit een bezwaarschrift worden ingediend bij de Staatssecretaris van Sociale Zaken en Werkgelegenheid (M. Rutte), t.a.v. de Arbeidsinspectie, afdeling Juridische Zaken, Postbus 90801, 2509 LV 's-Gravenhage. In het bezwaarschrift moet worden aangegeven waarom het besluit niet juist gevonden wordt. Verzocht wordt bij het bezwaarschrift een kopie van deze brief en eventuele andere op de zaak betrekking hebbende stukken te voegen. de Staatssecretaris van Sociale Zaken en Werkgelegenheid, M. Rutte namens deze: de wnd. Directeur Centraal Kantoor van de Arbeidsinspectie, dr. P.B. Koster</t>
  </si>
  <si>
    <t>ANVS__PUC_275_32_1.txt::Rechtshandeling</t>
  </si>
  <si>
    <t>[...] n de verwerking 'Collectief Winkelverbod' door de in de bijlage genoemde winkeliers van het winkelgebied Winkelcentrum Donderberg 2025-012716 ## 1 Inleiding: aanleiding vergunningaanvraag 1. Op 24 april 2025 heeft het Centrum voor Criminaliteitspreventie en Veiligheid (hierna: het CCV) ingevolge artikel 33, vierde lid, aanhef en onder c, van de Uitvoeringswet Algemene verordening gegevensbescherming (UAVG) - bij de Autoriteit Persoonsgegevens (AP) een bulkvergunningaanvraag ingediend [...]</t>
  </si>
  <si>
    <t>gewijzigd [1400:1409]</t>
  </si>
  <si>
    <t>Autoriteit_Persoonsgegevens__https___www.autoriteitpersoonsgegevens.nl_uploads_2023-09_Besluit%20vergunning%20collectief%20winkelverbod%20Breda.txt::Ontvanger</t>
  </si>
  <si>
    <t>Autoriteit_Persoonsgegevens__https___www.autoriteitpersoonsgegevens.nl_uploads_2023-09_Besluit%20vergunning%20collectief%20winkelverbod%20Breda.txt</t>
  </si>
  <si>
    <t>[...] rgunning in aanmerking is genomen. ## B E S L U I T : De d.d. 7 mei 1998, onder nr. 98/469 S, AI/CK/VCR/KEW, verleende vergunning, laatstelijk gewijzigd d.d. 20 april 2001, onder nr. 2000/70861, AI/CK/B/KEW, wordt gewijzigd zodat deze thans luidt als volgt: Aan Corus Staal B.V., Wenckebachstraat 1 te Velsen-Noord (gem. Velsen), wordt vergunning verleend voor: - -het verrichten van handelingen met radioactieve stoffen; - -het verrich [...]</t>
  </si>
  <si>
    <t>ANVS__PUC_275_32_1.txt::Rechtsobject</t>
  </si>
  <si>
    <t>vergunning [1305:1315]</t>
  </si>
  <si>
    <t>[...] or mensen, dieren, planten en goederen kunnen worden veroorzaakt dan bij de eerder verleende vergunning in aanmerking is genomen. ## B E S L U I T : De d.d. 7 mei 1998, onder nr. 98/469 S, AI/CK/VCR/KEW, verleende vergunning, laatstelijk gewijzigd d.d. 20 april 2001, onder nr. 2000/70861, AI/CK/B/KEW, wordt gewijzigd zodat deze thans luidt als volgt: Aan Corus Staal B.V., Wenckebachstraat 1 te Velsen-Noord (gem. Velsen), wordt vergunning [...]</t>
  </si>
  <si>
    <t>ANVS__PUC_1346_32_1.txt::Ontvanger</t>
  </si>
  <si>
    <t>ANVS__PUC_1346_32_1.txt</t>
  </si>
  <si>
    <t>Röntgen Technische Dienst B.V.</t>
  </si>
  <si>
    <t>röntgen technische dienst b.v</t>
  </si>
  <si>
    <t>Röntgen Technische Dienst B.V. [1239:1269]</t>
  </si>
  <si>
    <t>[...] van de verwerking 'Collectief Winkelverbod' door de in de bijlage genoemde winkeliers van het winkelgebied Breda Binnenstad - z2023-02774 ## 1 Inleiding: aanleiding vergunningaanvraag 1. Op 16 februari 2023 heeft het Centrum voor Criminaliteitspreventie en Veiligheid (hierna: het CCV) - ingevolge artikel 33, vierde lid, aanhef en onder c, van de Uitvoeringswet Algemene verordening gegevensbescherming (UAVG) - bij de Autoriteit Persoonsgegevens (AP) een bulkvergunningaanvraag ingedie [...]</t>
  </si>
  <si>
    <t>Autoriteit_Persoonsgegevens__https___www.autoriteitpersoonsgegevens.nl_uploads_imported_besluit_vergunning_collectief_winkelverbod_de_gaard_utrecht.txt::Ontvanger</t>
  </si>
  <si>
    <t>Autoriteit_Persoonsgegevens__https___www.autoriteitpersoonsgegevens.nl_uploads_imported_besluit_vergunning_collectief_winkelverbod_de_gaard_utrecht.txt</t>
  </si>
  <si>
    <t>[...] e Wet milieubeheer; Overwegende, dat om redenen van continuïteit van werkzaamheden in het onderhavige geval een zo spoedig mogelijk in werking treden van deze beschikking noodzakelijk is. ## B E S L U I T : Aan Röntgen Technische Dienst B.V., Delftweg 144 te Rotterdam, wordt tot 1 oktober 2005, vergunning verleend voor: - -het verrichten van handelingen met ioniserende straling uitzendende toestellen; - -het verrichten van handelingen met radioactieve s [...]</t>
  </si>
  <si>
    <t>ANVS__PUC_1346_32_1.txt::Besluitvormend Orgaan</t>
  </si>
  <si>
    <t>Centrum voor Criminaliteitspreventie en Veiligheid [414:464]</t>
  </si>
  <si>
    <t>de Staatssecretaris van Sociale Zaken en Werkgelegenheid [30381:30437]</t>
  </si>
  <si>
    <t>de Staatssecretaris van Sociale Zaken en Werkgelegenheid [26970:27026]</t>
  </si>
  <si>
    <t>[...] unning in de betrokken locatie aanwezig. Deze beschikking treedt terstond in werking. Van het verlenen van deze vergunning wordt mededeling gedaan door plaatsing in de Staatscourant. 's-Gravenhage, 29 juli 2004 de Staatssecretaris van Sociale Zaken en Werkgelegenheid, namens deze: de Directeur Inspectieondersteuning, P.M.A. Bruls ## Arbeidsinspectie &lt;!-- image --&gt; ## AANTEKENEN Röntgen Technische Dienst B.V. t.a.v. de heer drs. ing. A.A.A.J.M. Verkuyten Delftweg 144 3046 NC ROTTERDAM Directie Inspectieondersteuning Afdeling Beschikkingen Postbus 90801 2509 LV Den Haag Anna van Hannoverstraat 4 Telefoon (070) 333 44 44 Telefax (070) 333 40 41 Uw brief d.d. 5 juli 2004, ref.: KAM-211-04-HLP/mm Ons kenmerk AI/IO/BES/PB nr. 2004/49451 Datum 29 juli 2004 Doorkiesnummer (070) 333 5535 Onderwerp Besluit stralingsbescherming; vergunning Contactpersoon Naar aanleiding van de desbetreffende aanvraag om een vergunning ingevolge het Besluit stralingsbescherming en het Besluit Kerninstallaties, splijtstoffen en ertsen, doe ik u hierbij, mede namens de Staatssecretaris van Volkshuisvesting, Ruimtelijke Ordening en Milieubeheer en de Minister van Economische Zaken, mijn beschikking onder datum en nummer als deze toekomen. Ik vestig er de aandacht op dat de interne situatie waarop deze vergunning betrekking heeft, slechts mag worden gewijzigd nadat de vergunning aan de nieuwe situatie is aangepast. In geval van wijziging van de naam en/of het adres van de vergunninghouder dient daarvan mededeling aan mij te worden gedaan. Met betrekking tot eerdergenoemd besluit merk ik nog op, dat de bepalingen hiervan onder meer inhouden dat: - -in een register aantekening dient te worden gehouden van de door een ieder der radiologische arbeidskrachten ontvangen stralingsdoses, ook indien de radiologische handelingen minder dan twee weken omvatten, en - -alle arbeidskrachten die voor Röntgen Technische Dienst B.V. radiologische handelingen in Nederland verrichten gedurende de gehele werkdag een persoonlijk controlemiddel van een door de Staatssecretaris van Sociale Zaken en Werkgelegenheid erkende instelling dienen te dragen, - -alle arbeidskrachten, die bij het gammagrafisch onderzoek zijn betrokken, in het bezit dienen te zijn van een veiligheidsinstructie. Wellicht ten overvloede wijs ik u erop dat uiteraard moet worden voldaan aan de bepalingen van het Besluit stralingsbescherming. Tevens dient, met betrekking tot het vervoer van de radioactieve bronnen, te worden voldaan aan de bepalingen van het Besluit vervoer splijtstoffen, ertsen en radioactieve stoffen, waarin o.a. wordt verwezen naar de Bepalingen betreffende het vervoer over land van gevaarlijke stoffen (VLG) en het Reglement voor het vervoer over de spoorweg van gevaarlijke goederen (VSG). Ten slotte maak ik u erop attent dat ingevolge artikel 50 van de Kernenergiewet, de bepalingen van hoofdstuk 20 van de Wet milieubeheer op de onderhavige beschikking van toepassing zijn. Overeenkomstig de Algemene wet bestuursrecht kan tegen dit besluit bezwaar worden gemaakt. Daartoe moet binnen zes weken na de datum van de verzending van dit besluit een bezwaarschrift worden ingediend bij de Staatssecretaris van Sociale Zaken en Werkgelegenheid, t.a.v. de Arbeidsinspectie, afdeling Juridische Zaken, Postbus 90801, 2509 LV 's-Gravenhage. In het bezwaarschrift moet worden aangegeven waarom het besluit niet juist gevonden wordt. Verzocht wordt bij het bezwaarschrift een kopie van deze brief en eventuele andere op de zaak betrekking hebbende stukken te voegen. de Staatssecretaris van Sociale Zaken en Werkgelegenheid, namens deze: de Directeur Inspectieondersteuning, P.M.A. Bruls</t>
  </si>
  <si>
    <t>ANVS__PUC_1346_32_1.txt::Rechtshandeling</t>
  </si>
  <si>
    <t>verleend [1335:1344]</t>
  </si>
  <si>
    <t>verleend [1335:1343]</t>
  </si>
  <si>
    <t>[...] en van de verwerking 'Collectief Winkelverbod' door de in de bijlage genoemde winkeliers van het winkelgebied De Gaard Utrecht z2021-17385 ## 1 Inleiding: aanleiding vergunningaanvraag 1. Op 29 november 2021 heeft het Centrum voor Criminaliteitspreventie en Veiligheid (hierna: het CCV) ingevolge artikel 33, vierde lid, aanhef en onder c, van de Uitvoeringswet Algemene verordening gegevensbescherming (UAVG) - bij de Autoriteit Persoonsgegevens (AP) een bulkvergunningaanvraag ingediend [...]</t>
  </si>
  <si>
    <t>Autoriteit_Persoonsgegevens__https___www.autoriteitpersoonsgegevens.nl_uploads_imported_besluit_vergunning_collectief_winkelverbod_elzas_passage.txt::Ontvanger</t>
  </si>
  <si>
    <t>Autoriteit_Persoonsgegevens__https___www.autoriteitpersoonsgegevens.nl_uploads_imported_besluit_vergunning_collectief_winkelverbod_elzas_passage.txt</t>
  </si>
  <si>
    <t>[...] erhavige geval een zo spoedig mogelijk in werking treden van deze beschikking noodzakelijk is. ## B E S L U I T : Aan Röntgen Technische Dienst B.V., Delftweg 144 te Rotterdam, wordt tot 1 oktober 2005, vergunning verleend voor: - -het verrichten van handelingen met ioniserende straling uitzendende toestellen; - -het verrichten van handelingen met radioactieve stoffen; - -het verrichten van handelingen met splijtstoffen (verarmd urani [...]</t>
  </si>
  <si>
    <t>ANVS__PUC_1346_32_1.txt::Rechtsobject</t>
  </si>
  <si>
    <t>Centrum voor Criminaliteitspreventie en Veiligheid [405:455]</t>
  </si>
  <si>
    <t>het Centrum voor Criminaliteitspreventie en Veiligheid [401:455]</t>
  </si>
  <si>
    <t>vergunning [1324:1335]</t>
  </si>
  <si>
    <t>vergunning [1324:1334]</t>
  </si>
  <si>
    <t>[...] in het onderhavige geval een zo spoedig mogelijk in werking treden van deze beschikking noodzakelijk is. ## B E S L U I T : Aan Röntgen Technische Dienst B.V., Delftweg 144 te Rotterdam, wordt tot 1 oktober 2005, vergunning verleend voor: - -het verrichten van handelingen met ioniserende straling uitzendende toestellen; - -het verrichten van handelingen met radioactieve stoffen; - -het verrichten van handelingen met splijtstoffen (vera [...]</t>
  </si>
  <si>
    <t>ANVS__PUC_1522_32_1.txt::Ontvanger</t>
  </si>
  <si>
    <t>Metaalhandel W. Ketting &amp;amp; Zn. B.V.</t>
  </si>
  <si>
    <t>metaalhandel w. ketting &amp; zn. b.v</t>
  </si>
  <si>
    <t>Metaalhandel W. Ketting &amp;amp; Zn. B.V. [1087:1125]</t>
  </si>
  <si>
    <t>[...] derden van de verwerking 'Collectief Winkelverbod' door de in de bijlage genoemde winkeliers van het winkelgebied Elzas Passage - z2022-03808 ## 1 Inleiding: aanleiding vergunningaanvraag 1. Op 20 juni 2022 heeft het Centrum voor Criminaliteitspreventie en Veiligheid (hierna: het CCV) ingevolge artikel 33, vierde lid, aanhef en onder c, van de Uitvoeringswet Algemene verordening gegevensbescherming (UAVG) - bij de Autoriteit Persoonsgegevens (AP) een bulkvergunningaanvraag ingediend [...]</t>
  </si>
  <si>
    <t>Autoriteit_Persoonsgegevens__https___www.autoriteitpersoonsgegevens.nl_uploads_imported_boete_transavia.txt::Rechtshandeling</t>
  </si>
  <si>
    <t>Autoriteit_Persoonsgegevens__https___www.autoriteitpersoonsgegevens.nl_uploads_imported_boete_transavia.txt</t>
  </si>
  <si>
    <t>[...] aan deze cursus, een tijdelijke vergunning wordt verleend. ## B E S L U I T : De d.d. 30 maart 2004, onder nr. 2004/11544, AI/IO/BES, verleende vergunning, wordt gewijzigd, zodat deze thans luidt als volgt: Aan Metaalhandel W. Ketting &amp;amp; Zn. B.V., Bakkersoordsekade 16 te Pernis, wordt tot 1 april 2005 vergunning verleend voor het verrichten van handelingen met radioactieve stoffen. ## In deze vergunning wordt verstaan onder: - -bergplaats: - -besmettingsc [...]</t>
  </si>
  <si>
    <t>ANVS__PUC_1522_32_1.txt::Besluitvormend Orgaan</t>
  </si>
  <si>
    <t>legt</t>
  </si>
  <si>
    <t>op te leggen</t>
  </si>
  <si>
    <t>legt [61244:61249]</t>
  </si>
  <si>
    <t>op te leggen [429:441]</t>
  </si>
  <si>
    <t>de Staatssecretaris van Sociale Zaken en Werkgelegenheid [21436:21492]</t>
  </si>
  <si>
    <t>de Staatssecretaris van Sociale Zaken en Werkgelegenheid [17982:18038]</t>
  </si>
  <si>
    <t>[...] en ingetrokken. Tot dat tijdstip is een afschrift van de vergunning in de betrokken locatie aanwezig. Van het verlenen van deze vergunning wordt mededeling gedaan door plaatsing in de Staatscourant. 's-Gravenhage, de Staatssecretaris van Sociale Zaken en Werkgelegenheid, namens deze: de Directeur Inspectieondersteuning, P.M.A. Bruls ## Arbeidsinspectie &lt;!-- image --&gt; AANTEKENEN Metaalhandel W. Ketting &amp;amp; Zn. B.V. t.a.v. de heer A. Struijk Postbus 674 3195 ZH PERNIS Directie Inspectieondersteuning Afdeling Beschikkingen Postbus 90801 2509 LV Den Haag Anna van Hannoverstraat 4 Telefoon (070) 333 44 44 Telefax (070) 333 40 41 Uw brief d.d. 26 oktober 2004 Ons kenmerk AI/IO/BES/RR nr. 2004/76889 Datum 9 november 2004 Doorkiesnummer (070) 333 5535 Onderwerp Besluit stralingsbescherming; vergunning Contactpersoon Naar aanleiding van de desbetreffende aanvraag om een vergunning ingevolge het Besluit stralingsbescherming, doe ik u hierbij, mede namens de Staatssecretaris van Volkshuisvesting, Ruimtelijke Ordening en Milieubeheer, mijn beschikking onder datum en nummer als deze toekomen. Ik vestig er de aandacht op dat de interne situatie waarop deze vergunning betrekking heeft, slechts mag worden gewijzigd nadat de vergunning aan de nieuwe situatie is aangepast. In geval van wijziging van de naam en/of het adres van de vergunninghouder c.q. de locatie dient daarvan mededeling aan mij te worden gedaan. Tevens deel ik u mede dat voor het geval van brand de betrokken locatie aan de Bakkersoordsekade 16 te Pernis is ingedeeld in de brandklasse III in de zin van de aan de gemeenten gerichte circulaires van de Minister van Binnenlandse Zaken d.d. 14 maart 1962, d.d. 30 september 1965 en d.d. 17 februari 1982 (Dir. O.V.V./Afd. B.W., no. E.B. 62/386, EB 65/1609, respectievelijk EB 82/U 161). Bedoelde indeling houdt uitsluitend verband met de aanwezigheid van radioactieve stoffen. In dit verband wijs ik u erop dat het raadzaam is de plaatselijke brandweer op de hoogte te brengen van de aanwezigheid van radioactief materiaal in bovengenoemde locatie. Dit houdt in dat bij een eventuele brandbestrijding met het oog op de radioactiviteitsgevaren mogelijk enige maatregelen van brandweertechnische aard dienen te worden genomen. In elk geval zal na de brand in verband met de controle op radioactieve besmetting van de brandweerkleding een zekere nazorg dienen plaats te vinden. Wellicht ten overvloede wijs ik u erop dat uiteraard moet worden voldaan aan de bepalingen van het Besluit stralingsbescherming. Voorts maak ik u erop attent dat ingevolge artikel 50 van de Kernenergiewet, de bepalingen van hoofdstuk 20 van de Wet milieubeheer op de onderhavige beschikking van toepassing zijn. Overeenkomstig de Algemene wet bestuursrecht kan tegen dit besluit bezwaar worden gemaakt. Daartoe moet binnen zes weken na de datum van de verzending van dit besluit een bezwaarschrift worden ingediend bij de Staatssecretaris van Sociale Zaken en Werkgelegenheid (M. Rutte), t.a.v. de Arbeidsinspectie, afdeling Juridische Zaken, Postbus 90801, 2509 LV 's-Gravenhage. In het bezwaarschrift moet worden aangegeven waarom het besluit niet juist gevonden wordt. Verzocht wordt bij het bezwaarschrift een kopie van deze brief en eventuele andere op de zaak betrekking hebbende stukken te voegen. Ten slotte deel ik u mede, dat een aanvraag om verlenging van de vergunning pas in behandeling kan worden genomen, nadat ik schriftelijk van u heb vernomen, dat een functionaris van uw vennootschap het diploma ioniserende straling niveau 5A of een gelijkwaardig diploma heeft behaald. de Staatssecretaris van Sociale Zaken en Werkgelegenheid, namens deze: de Directeur Inspectieondersteuning, P.M.A. Bruls</t>
  </si>
  <si>
    <t>ANVS__PUC_1522_32_1.txt::Rechtsobject</t>
  </si>
  <si>
    <t>vergunning [1017:1027]</t>
  </si>
  <si>
    <t>vergunning [1182:1192]</t>
  </si>
  <si>
    <t>[...] olgen en dat in afwachting van het behalen van het diploma, verbonden aan deze cursus, een tijdelijke vergunning wordt verleend. ## B E S L U I T : De d.d. 30 maart 2004, onder nr. 2004/11544, AI/IO/BES, verleende vergunning, wordt gewijzigd, zodat deze thans luidt als volgt: Aan Metaalhandel W. Ketting &amp;amp; Zn. B.V., Bakkersoordsekade 16 te Pernis, wordt tot 1 april 2005 vergunning verleend voor het verrichten van handelingen met radioactieve stoffen. ## In deze vergunning wordt verstaan onder: - -bergplaats: - -besmettingscontrole: Ruimte, uitsluitend bedoeld voor de opslag van radioact [...]</t>
  </si>
  <si>
    <t>Overall</t>
  </si>
  <si>
    <t>ANVS__PUC_1559_32_1.txt::Besluitvormend Orgaan</t>
  </si>
  <si>
    <t>de Staatssecretaris van Sociale Zaken en Werkgelegenheid [17449:17505]</t>
  </si>
  <si>
    <t>de Staatssecretaris van Sociale Zaken en Werkgelegenheid [15270:15326]</t>
  </si>
  <si>
    <t>[...] len van de installatie en de ruimten. Deze beschikking treedt terstond in werking. Van het verlenen van deze vergunning wordt mededeling gedaan door plaatsing in de Staatscourant. 's-Gravenhage, 8 december 2004 de Staatssecretaris van Sociale Zaken en Werkgelegenheid, namens deze: de Directeur Inspectieondersteuning, P.M.A. Bruls ## Arbeidsinspectie ## AANTEKENEN Technische Universiteit Eindhoven College van Bestuur t.a.v. de heer ir. Chr.J. Huyskens Postbus 513 5600 MB EINDHOVEN Postbus 90801 2509 LV Den Haag Anna van Hannoverstraat 4 Telefoon (070) 333 44 44 Telefax (070) 333 40 41 Uw brief SBD 04-367 d.d. 18 november 2004 Ons kenmerk AI/IO/BES/gh nr. 2004/84161 Doorkiesnummer (070) 333 5535 Onderwerp Besluit stralingsbescherming; vergunning Datum 8 december 2004 Contactpersoon Naar aanleiding van de desbetreffende aanvraag om een vergunning ingevolge het Besluit stralingsbescherming, doe ik u hierbij, mede namens de Staatssecretaris van Volkshuisvesting, Ruimtelijke Ordening en Milieubeheer, mijn beschikking, onder datum en nummer als deze toekomen. Ik vestig er de aandacht op dat de interne situatie waarop deze vergunning, welke geldig is tot 1 juli 2005, betrekking heeft, slechts mag worden gewijzigd nadat de vergunning aan de nieuwe situatie is aangepast. In geval van wijziging van de naam en/of het adres van de vergunninghouder c.q. de locatie dient daarvan mededeling aan mij te worden gedaan. Wellicht ten overvloede wijs ik u erop dat uiteraard moet worden voldaan aan de bepalingen van het Besluit stralingsbescherming. Ten slotte maak ik u erop attent dat ingevolge artikel 50 van de Kernenergiewet, de bepalingen van hoofdstuk 20 van de Wet milieubeheer op de onderhavige beschikking van toepassing zijn. Overeenkomstig de Algemene wet bestuursrecht kan tegen dit besluit bezwaar worden gemaakt. Daartoe moet binnen zes weken na de datum van de verzending van dit besluit een bezwaarschrift worden ingediend bij de Staatssecretaris van Sociale Zaken en Werkgelegenheid, t.a.v. de Arbeidsinspectie, afdeling Juridische Zaken, Postbus 90801, 2509 LV 's-Gravenhage. In het bezwaarschrift moet worden aangegeven waarom het besluit niet juist gevonden wordt. Verzocht wordt bij het bezwaarschrift een kopie van deze brief en eventuele andere op de zaak betrekking hebbende stukken te voegen. de Staatssecretaris van Sociale Zaken en Werkgelegenheid, namens deze: de Directeur Inspectieondersteuning, P.M.A. Bruls</t>
  </si>
  <si>
    <t>[...] ROUWELIJK] ## Onderwerp Besluit tot het opleggen van een boete ## Geachte heer, mevrouw, De Autoriteit Persoonsgegevens (AP) heeft besloten om aan Transavia Airlines C.V. een bestuurlijke boete van € 400.000 op te leggen. De AP komt is tot de conclusie gekomen dat Transavia geen passende maatregelen getroffen heeft om een op het risico afgestemd beveiligingsniveau te waarborgen. Hierdoor heeft Transavia in strijd gehandeld met artikel 32, eerste en tweede lid, van de Algemene verordening gegevensbescherming. De AP licht het besluit hierna nader toe. Hoofdstuk 1 betreft een inleiding en hoofdstuk 2 bevat de feiten. De AP beoordeelt in hoofdstuk 3 of er sprake is van verwerking van persoonsgegevens, de verwerkingsverantwoordelijkheid en de overtreding. In hoofdstuk 4 wordt de (hoogte van de) bestuurlijke boete uitgewerkt en hoofdstuk 5 bevat het dictum en de rechtsmiddelenclausule. ## Autoriteit Persoonsgegevens Postbus 93374, 2509 AJ Den Haag Bezuidenhoutseweg 30, 2594 AV Den Haag T 070 8888 500 - F 070 8888 501 autoriteitpersoonsgegevens.nl &lt;!-- image --&gt; ## Datum 23 september 2021 Ons kenmerk [VERTROUWELIJK] ## 1. Inleiding ## 1.1 Betrokken organisatie Dit besluit heeft betrekking op Transavia Airlines C.V. (hierna: Transavia), gevestigd aan de Piet Guilonardweg 15, 1117 EE te Schiphol. Het bedrijf staat ingeschreven in het handelsregister onder nummer: 34069081. 1 Als luchtvaarmaatschappij verzorgt Transavia vluchten voor zakelijke reizigers en consumenten binnen Europa. Op 24 oktober 2019 heeft de AP een melding ontvangen van Transavia over een inbreuk op de beveiliging van persoonsgegevens als bedoeld in artikel 33 van de AVG. In deze melding is door Transavia aangegeven dat een kwaadwillende derde partij ongeautoriseerd toegang heeft gehad tot systemen van Transavia. Naar aanleiding hiervan heeft de AP ambtshalve onderzocht of de technische maatregelen bij Transavia met betrekking tot de toegang tot persoonsgegevens passend waren als bedoeld in artikel 5, lid 1, sub f jo. artikel 32 van de AVG. Specifiek richtte dit onderzoek zich op de toegang tot bepaalde gebruikers-accounts bij Transavia, alsmede de rechten en mogelijkheden die deze gebruikers-accounts hadden binnen de systemen van Transavia. ## 1.2 Procesverloop Op 28 november 2019 heeft de AP telefonisch contact opgenomen met Transavia over de datalekmelding van 24 oktober 2019 en de daarop volgende meldingen. Toezichthouders van de AP hebben vervolgens meermaals informatie opgevraagd bij Transavia waarop Transavia deze informatie heeft geleverd. Bij brief van 12 mei 2021 heeft de AP aan Transavia een voornemen tot handhaving verzonden en het daaraan ten grondslag gelegde rapport met bevindingen. Transavia heeft op 28 juni 2021 hierop schriftelijk een zienswijze gegeven. 1 Zie Dossierstuk 26, Inschrijving Handelsregister Transavia Airlines C.V. &lt;!-- image --&gt; Datum 23 september 2021 Ons kenmerk [VERTROUWELIJK] ## 2. Feiten ## 2.1 De inbreuk bij Transavia In de datalekmelding van 24 oktober 2019 heeft Transavia aangegeven dat een kwaadwillende derde partij (hierna ook: 'aanvaller') ongeautoriseerd toegang heeft gehad tot systemen van Transavia. 2 Transavia is volgens de melding hier op 21 oktober 2019 achter gekomen. Transavia heeft vervolgens een externe dienstverlener ingeschakeld en samen met deze dienstverlener is de aanvaller van de systemen van Transavia geweerd. Verder heeft de externe dienstverlener geanalyseerd welke systemen getroffen waren en welke gegevens betrokken waren. In het rapport opgesteld door de externe dienstverlener (hierna ook: 'forensisch rapport') is beschreven dat een aanvaller gebruik heeft gemaakt van [VERTROUWELIJK] e-mailadressen. Deze adressen zijn mogelijk te vinden op het internet. 3 De aanvaller probeerde toegang te verkrijgen tot de [VERTROUWELIJK] 4 De aanvaller heeft gebruik gemaakt van een ' password spray ' of ' credential stuffing ' aanval. Met een " password spray ' aanval gebruikt een aanvaller veel gebruikte wachtwoorden om op een geautomatiseerde manier ongeautoriseerde toegang te krijgen. Bij ' credential stuffing' aanval gebruikt een aanvaller bekende gebruikersgegevens (afkomstig uit andere datalekken van derden) om te proberen toegang te krijgen tot een systeem. Op 12 september 2019 om 9:52 uur vond een succesvolle inlogpoging plaats door de aanvaller. De gebruikte gebruikersnaam was [VERTROUWELIJK] en het wachtwoord was [VERTROUWELIJK]. Met deze inlog kon de aanvaller gebruikmaken van de [VERTROUWELIJK] gebruiker. 5 Dit is een gebruiker die werd gebruikt voor [VERTROUWELIJK]. 6 Met de [VERTROUWELIJK] gebruiker was het mogelijk om toegang te krijgen tot een Citrix omgeving van Transavia. Citrix is software die het mogelijk maakt om te telewerken. Vervolgens was het mogelijk om mogelijke [VERTROUWELIJK]-gebruikers in het [VERTROUWELIJK] domein te achterhalen. 7 Het is de aanvaller vervolgens gelukt om de authenticatiegegevens te verkrijgen van de gebruiker [VERTROUWELIJK] door wederom het wachtwoord [VERTROUWELIJK] te gebruiken. Deze gebruiker 2 Transavia France S.A.S. (zustermaatschappij van Transavia) heeft afzonderlijk gemeld bij de Franse toezichthouder volgens de datalekmelding van 24 oktober 2019 omdat er ook persoonsgegevens zouden zijn betrokken waar Transavia France S.A.S verantwoordelijk voor is. Zie Dossierstuk 1, melding van 24 oktober 2019. 3 Zie Dossierstuk 11, rapport van 5 december 2019, pagina 21. 4 Active Directory Federation Services Webservice is software van Microsoft, die organisaties in staat stelt Single Sign On Services te bewerkstellingen in een organisatie. 5 Zie Dossierstuk 11, rapport van 5 december 2019, pagina 21. 6 Zie Dossierstuk 25, Antwoorden van Transavia, datum 26 mei 2020. 7 Zie Dossierstuk 11, rapport van 5 december 2019, pagina 21. Een netwerkdomein is een groep computers (systemen) binnen een computernetwerk met als doel de systemen gecentraliseerd te beheren. &lt;!-- image --&gt; Datum 23 september 2021 ## Ons kenmerk [VERTROUWELIJK] had volgens Transavia ' de hoogste privileges in het [VERTROUWELIJK]'. 8 In principe betekent dit dat de accounts [VERTROUWELIJK] en [VERTROUWELIJK] tezamen toegang verschaften tot een groot deel van het computernetwerk van Transavia. 9 De rol van het account was bedoeld om te dienen als koppeling tussen het HR systeem van Transavia en de Active Directory (om te bepalen welke medewerkers welke rechten tot systemen behoren te krijgen). 10 Active Directory is een dienst van Microsoft die (onder andere) wordt gebruikt om rechten van gebruikers te beheren. Vervolgens verkende de aanvaller de systemen van Transavia die onderdeel zijn van het domein. In deze verkenningsfase, is er (waarschijnlijk geautomatiseerd) ingelogd op [VERTROUWELIJK] systemen. 11 In totaal is er activiteit waargenomen betreffende [VERTROUWELIJK] systemen. De externe dienstverlener heeft op [VERTROUWELIJK] systemen vast kunnen stellen dat sprake is van gegevens die zijn gekopieerd. 12 De aanvaller had mogelijk interesse in toegang tot [VERTROUWELIJK]. Toegang hiertoe verkrijgen is echter niet gelukt. 13 Dit is ook bevestigd door Transavia. 14 De aanvaller heeft op tenminste [VERTROUWELIJK] systemen [VERTROUWELIJK] logbestanden verwijderd. 15 De aanvaller heeft verder gebruik gemaakt van [VERTROUWELIJK] software. Dit is penetratie test software die bedoeld is om kwetsbaarheden te vinden in een IT-landschap. De externe dienstverlener heeft op tenminste [VERTROUWELIJK] systemen hier aanwijzingen voor gevonden. Op 21 oktober 2019 is dit type aanval door de beheerder opgemerkt en heeft de beheerder onderzoek ingesteld. Na 21 oktober 2019 zijn ook geen activiteiten meer waargenomen van de aanvaller. 16 Op basis van deze signalering is door Transavia op 22 oktober 2019 een externe dienstverlener ingeschakeld (niet de beheerder). De externe dienstverlener heeft een forensische analyse uitgevoerd. Uit de analyse bleek dat het merendeel van de activiteiten van de aanvaller gericht waren op verkenningsactiviteiten. De volgende gegevens zijn echter wel gekopieerd: Netwerk documentatie, zakelijke en diverse andere documenten alsmede zes e-mailboxen. 17 Er zijn door Transavia [VERTROUWELIJK] systemen als kritiek bestempeld. Hier zat een systeem tussen voor de uitwisseling van gegevens met [VERTROUWELIJK]. Ook zaten hier [VERTROUWELIJK] bij en een [VERTROUWELIJK]. Op een van de kritieke systemen, het [VERTROUWELIJK], zijn bepaalde logbestanden verwijderd. Hierdoor was er op dit systeem minder bewijs over wat er gebeurd is met dit systeem. 18 8 Zie Dossierstuk 38, Antwoorden van Transavia datum 24 september 2020. 9 Zie Dossierstuk 11, rapport van 5 december 2019, pagina 21. 10 Zie Dossierstuk 25, Antwoorden van Transavia, datum 26 mei 2020. 11 Zie Dossierstuk 11, rapport van 5 december 2019, pagina 21. 12 Zie Dossierstuk 11, rapport van 5 december 2019, pagina 26. 13 Zie Dossierstuk 11, rapport van 5 december 2019, pagina 25. 14 Zie Dossierstuk 25, Antwoorden van Transavia, datum 26 mei 2020. 15 Zie Dossierstuk 11, rapport van 5 december 2019, pagina 23. 16 Zie Dossierstuk 11, rapport van 5 december 2019, pagina 25. 17 Zie Dossierstuk 11, rapport van 5 december 2019, pagina 4. 18 Zie Dossierstuk 11, rapport van 5 december 2019, pagina 17. &lt;!-- image --&gt; Datum 23 september 2021 ## Ons kenmerk [VERTROUWELIJK] Op 22 november 2019 heeft Transavia opdracht gegeven aan de externe dienstverlener om de mailboxen te onderzoeken die door de aanvaller in deze inbreuk zijn gekopieerd naar een externe locatie. Het doel van het onderzoek betrof de persoonsgegevens in zes mailboxen: vijf mailboxen van medewerkers en één van een oud-medewerker. In de mailboxen bleken 49 bestanden met persoonsgegevens aanwezig. 19 Deze mailboxen waren volgens Transavia (met name) in gebruik bij [VERTROUWELIJK] medewerkers. 20 Deze bestanden zijn vervolgens geanalyseerd en op basis hiervan is besloten een mededeling te doen aan 81.000 betrokkenen, zoals verplicht in artikel 34 van de AVG indien er mogelijk sprake is van een hoog risico. 21 Deze groep betrokkenen bestond uit werknemers van Transavia en klanten van Transavia. De medewerkers wiens mailboxen waren gekopieerd, waren reeds mondeling geïnformeerd volgens Transavia. 22 Transavia geeft aan dat sinds 25 november 2019 de aanvaller definitief geen toegang meer had tot het ITlandschap van Transavia. 23 Dit is ook bevestigd door de externe dienstverlener. 24 Samenvattend heeft een onbevoegde derde partij toegang gehad tot systemen van Transavia. Bij deze toegang was het mogelijk een gebruiker met veel rechten te gebruiken, waardoor de aanvaller veel mogelijkheden had binnen deze systemen. Hierdoor is er toegang geweest tot veel systemen en zijn er ook persoonsgegevens gekopieerd naar een externe locatie. ## 2.2 Soort persoonsgegevens Er zijn twee groepen te onderscheiden persoonsgegevens in deze inbreuk: (1) persoonsgegevens die de aanvaller heeft gekopieerd naar een externe locatie en (2) persoonsgegevens waar de aanvaller toegang tot had. ## 2.2.1 Persoonsgegevens die zijn gekopieerd naar een externe locatie De volgende persoonsgegevens die zich in de mailboxen bevonden zijn door de aanvaller gekopieerd (exclusief de bestandsnamen): 25 | [VERTROUWELIJK] | [VERTROUWELIJK] | [VERTROUWELIJK] | [VERTROUWELIJK] | |-------------------|-------------------|-------------------|-------------------| | [VERTROUWELIJK] | [VERTROUWELIJK] | [VERTROUWELIJK] | [VERTROUWELIJK] | &lt;!-- image --&gt; ## Datum 23 september 2021 ## Ons kenmerk [VERTROUWELIJK] | [VERTROUWELIJK] | [VERTROUWELIJK] | [VERTROUWELIJK] | [VERTROUWELIJK] |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Uit de bovenstaande tabel blijkt dat zowel passagiers-, leveranciers- en (potentiele) werknemersgegevens zijn gekopieerd. Transavia heeft verklaard dat het hier circa 80.000 passagiers betreft. 26 Ook stonden in meerdere bestanden de persoonsgegevens van tot 3000 medewerkers en tot 200 leveranciers. 27 Van passagiers zijn betrokken: voor- en achternaam, geboortedatum, vluchtinformatie en SSR-code. Van één passagier is een adres en telefoonnummer betrokken. Van medewerkers gaat het om de volgende gegevens: voor- en achternaam, zakelijke e-mailadressen, adres, telefoonnummer. En van leveranciers zijn betrokken: zakelijke e-mailadressen, voor- en achternaam, adres, e-mailadres, telefoonnummer. 26 Zie Dossierstuk 25, Antwoorden van Transavia, datum 26 mei 2020. 27 Zie Dossierstuk 25, Antwoorden van Transavia, datum 26 mei 2020 - Bijlage 3: Toelichting bij bijlage 2. &lt;!-- image --&gt; Datum 23 september 2021 Ons kenmerk [VERTROUWELIJK] Ook blijken er tot 10 C.V.-bestanden van potentiele medewerkers betrokken. Hierin bevonden zich vooren achternaam, adres, e-mailadres, telefoonnummer en geboortedatum. In de melding aan de betrokken passagiers (80.000) die Transavia heeft verstuurd meldt Transavia de volgende betrokken gegevens: voornaam, achternaam, geboortedatum, vluchtgegevens, boekingsnummer en de bijgeboekte service zoals bagage, maar ook rolstoelgebruik. 28 Verder geeft Transavia aan dat de betrokken werknemers ook zijn geïnformeerd. 29 De bijgeboekte services werden beschreven als SSR-code. SSR-code staat voor ' Special Service Request ' code. Transavia gebruikt in hun boekingssysteem een reeks van 4 tekens voor additionele verzoeken, zoals een fiets als bagage. De SSR-code is dan ' BIKE '. 30 Deze codes zijn te vinden op het internet waardoor de betekenis bekend is, mocht dit niet al duidelijk zijn uit de code. 31 De AP heeft aan Transavia gevraagd welke SSR-codes Transavia gebruikt en in welke aantallen. De door Transavia gebruikte codes geven onder andere aan wanneer een rolstoel benodigd is, of dat een passagier bijvoorbeeld een elektrische rolstoel gebruikt. Codes voor dieetwensen gebruikt Transavia niet aangezien ze geen maaltijden verstrekken tijdens de vluchten. 32 In de bestanden die zijn gekopieerd naar een externe locatie kwamen codes die rolstoelgebruik indiceren 358 maal voor. Ook kwam een code die blindheid aangeeft vijfmaal voor. Doofheid kwam vier keer voor. 33 Volgens Transavia waren de passagiersgegevens verzameld in de periode van 21 tot en met 31 januari 2015. 34 De gegevens bevonden zich in een mailbox op ' managed devices van medewerkers '. 35 Dit zijn beheerde apparaten, veelal mobiele apparaten zoals telefoons of laptops. De medewerkers in kwestie waren [VERTROUWELIJK]. ## 2.2.2 Persoonsgegevens waar toegang toe mogelijk was Hieronder staat een overzicht van de systemen waar de gebruikers [VERTROUWELIJK] en [VERTROUWELIJK] tezamen toegang toe hadden. 36 De titel ' host ' betekent in dit geval de naam van het systeem. De kolom ' Gegevens vanaf ingezien /Geexfiltreerd ' geeft aan of er na het inloggen op het systeem nog andere acties zijn waargenomen. Indien er door Transavia ' nee' is weergegeven is er alleen ingelogd volgens Transavia. 37 28 Zie Dossierstuk 38, Antwoorden van Transavia datum 24 september 2020. 29 Zie Dossierstuk 12, Vervolgmelding van 18 februari 2020. 30 Zie Dossierstuk 38, Antwoorden van Transavia datum 24 september 2020. 31 Zie bijvoorbeeld: https://wheelchairtravel.org/air-travel/special-service-request-codes/, of https://guides.developer.iata.org/docs/en/list-of-service-ssrs. 32 Zie Dossierstuk 38, Antwoorden van Transavia datum 24 september 2020. 33 Dossierstuk 38, Antwoorden van Transavia datum 24 september 2020 - Bijlage 5: Overzicht aantallen SSR-codes. 34 Zie Dossierstuk 13, Persbericht Transavia. 35 Zie Dossierstuk 25, Antwoorden van Transavia, datum 26 mei 2020. 36 Dossierstuk 25, Antwoorden van Transavia, datum 26 mei 2020 - Bijlage 4: Host en Persoonsgegevens. 37 Zie Dossierstuk 25, Antwoorden van Transavia, datum 26 mei 2020. &lt;!-- image --&gt; ## Datum 23 september 2021 ## Ons kenmerk [VERTROUWELIJK] | [VERTROUWELIJK] | [VERTROUWELIJK] | [VERTROUWELIJK] | [VERTROUWELIJK] | [VERTROUWELIJK] | [VERTROUWELIJK] | |-------------------|-------------------|-------------------|-------------------|-------------------|-------------------| | [VERTROUWELIJK] | [VERTROUWELIJK] | [VERTROUWELIJK] | [VERTROUWELIJK] | [VERTROUWELIJK] | [VERTROUWELIJK] | | [VERTROUWELIJK] | [VERTROUWELIJK] | [VERTROUWELIJK] | [VERTROUWELIJK] | [VERTROUWELIJK] | [VERTROUWELIJK] | | [VERTROUWELIJK] | [VERTROUWELIJK] | [VERTROUWELIJK] . | [VERTROUWELIJK] | [VERTROUWELIJK] | [VERTROUWELIJK] | &lt;!-- image --&gt; ## Datum 23 september 2021 ## Ons kenmerk [VERTROUWELIJK] | [VERTROUWELIJK] | [VERTROUWELIJK] | [VERTROUWELIJK] | [VERTROUWELIJK] | [VERTROUWELIJK] | [VERTROUWELIJK] | |-------------------|-------------------|-------------------|-------------------|-------------------|-------------------| | [VERTROUWELIJK] | [VERTROUWELIJK] | [VERTROUWELIJK] | [VERTROUWELIJK] | [VERTROUWELIJK] | [VERTROUWELIJK] | | [VERTROUWELIJK] | [VERTROUWELIJK] | [VERTROUWELIJK] | [VERTROUWELIJK] | [VERTROUWELIJK] | [VERTROUWELIJK] | | [VERTROUWELIJK] | [VERTROUWELIJK] | [VERTROUWELIJK] | [VERTROUWELIJK] | [VERTROUWELIJK] | [VERTROUWELIJK] | |-------------------|-------------------|-------------------|-------------------|-------------------|-------------------| | [VERTROUWELIJK] | [VERTROUWELIJK] | [VERTROUWELIJK] | [VERTROUWELIJK] | [VERTROUWELIJK] | [VERTROUWELIJK] | | [VERTROUWELIJK] | [VERTROUWELIJK] | [VERTROUWELIJK] | [VERTROUWELIJK] | [VERTROUWELIJK] | [VERTROUWELIJK] | | [VERTROUWELIJK] | [VERTROUWELIJK] | [VERTROUWELIJK] | [VERTROUWELIJK] | [VERTROUWELIJK] | [VERTROUWELIJK] | &lt;!-- image --&gt; ## Datum 23 september 2021 ## Ons kenmerk [VERTROUWELIJK] Uit de bovenstaande tabellen blijkt dat van passagiers de volgende gegevens verwerkt worden: de voor- en achternaam, de geboortedatum, het geslacht, het e-mailadres en telefoonnummer, de vlucht- en boekingsgegevens en de (zakelijke) e-mailcorrespondentie. Van medewerkers zijn de voor- en achternaam, het geslacht, de geboortedatum, het werknemersnummer, het huisadres, het telefoonnummer, de kwalificaties/training, BSN, de aanwezigheidsadministratie en inloggegevens verwerkt. Verder staat genoemd in het overzicht dat op een systeem verslagen over veiligheidsincidenten aan boord bevonden. Hierin zijn ook mogelijk persoonsgegevens van medewerkers en passagiers betrokken. In totaal staan voor passagiers tot 25.000.000 betrokkenen genoemd in het aangeleverde overzicht. Voor medewerkers worden tot 3000 betrokkenen genoemd. Dit betekent dat de aanvaller persoonsgegevens heeft ingezien of had kunnen inzien van 25 miljoen mensen. De mate van activiteit van de aanvaller is door het de externe dienstverlener opgesplitst in de volgende categorieën: 38 -  [VERTROUWELIJK] -  [VERTROUWELIJK] -  [VERTROUWELIJK] -  [VERTROUWELIJK] -  [VERTROUWELIJK] -  [VERTROUWELIJK] Op alle genoemde systemen is er sprake van [VERTROUWELIJK]. 39 Op [VERTROUWELIJK] systemen is daadwerkelijk bewijs gevonden voor het kopiëren van persoonsgegevens. Systeem [VERTROUWELIJK] is als kritiek aangemerkt door Transavia vanwege de hoeveelheid persoonsgegevens. Op dit systeem was er zowel sprake van [VERTROUWELIJK]. Op het systeem [VERTROUWELIJK] was het bewijs voor de activiteiten van de aanvaller beperkter dan bij andere systemen, omdat er logbestanden ontbraken over de relevante periode van de inbreuk. 40 Verder is het systeem [VERTROUWELIJK] als kritiek aangemerkt vanwege de hoeveelheid persoonsgegevens op dit systeem. 41 Op dit systeem was er sprake van [VERTROUWELIJK]. In de melding aan de AP heeft Transavia aangegeven dat de betrokkenen afkomstig zijn uit meerdere landen, namelijk geheel Europa. De AP heeft Transavia verzocht een overzicht heeft uit welk land de betrokkenen komen. Hierop heeft Transavia geantwoord dat 90% van de klanten uit Nederland komt, gebaseerd op de Point of Sale. 42 Slechts een beperkt aantal persoonsgegevens van zustermaatschappij Transavia France S.A.S. waren op de systemen van Transavia Airlines C.V. aanwezig. 43 38 Zie Dossierstuk 11, rapport van 5 december 2019, pagina 19. 39 Zie Dossierstuk 11, rapport van 5 december 2019, pagina 32. 40 Zie Dossierstuk 11, rapport van 5 december 2019, pagina 17. 41 Zie Dossierstuk 11, rapport van 5 december 2019, pagina 4. 42 Zie Dossierstuk 25, Antwoorden van Transavia, datum 26 mei 2020. 43 Zie Dossierstuk 38, Antwoorden van Transavia datum 24 september 2020. &lt;!-- image --&gt; Datum 23 september 2021 Ons kenmerk [VERTROUWELIJK] De AP komt tot de conclusie dat Transavia ten tijde van de inbreuk persoonsgegevens verwerkte van ruim 25 miljoen personen. Hiervan zijn persoonsgegevens gelekt van tot 83.000 personen en gezondheidsgegevens van 367 personen. ## 2.3 Beveiliging ten tijde van de inbreuk ## 2.3.1 Toegang tot het [VERTROUWELIJK] domein In het wachtwoordbeleid van Transavia staat aangegeven welke eisen er gelden per gebruiker, per mogelijk risiconiveau. 44 In het wachtwoordbeleid van Transavia staan 3 niveaus vermeldt: -  ' Minimal baseline', het standaard niveau; -  'Medium Additions', additionele maatregelen voor gebruikers met meer bevoegdheden; -  'Medium and High additions', extra maatregelen voor bepaalde hoog risico gebruikers. De gebruikers die gebruikt zijn door de aanvaller hadden volgens Transavia de volgende niveaus: 45 -  [VERTROUWELIJK] had als niveau: minimal baseline -  [VERTROUWELIJK] had niveau: Medium and High security additions De externe dienstverlener heeft aangegeven dat de [VERTROUWELIJK] gebruikers ' contained the highest possible privileges '. Een gebruiker met minimal baseline heeft volgens het wachtwoordbeleid de volgende wachtwoordeisen: 46 -  [VERTROUWELIJK] -  [VERTROUWELIJK] -  [VERTROUWELIJK] -  [VERTROUWELIJK] -  [VERTROUWELIJK] Voor High security additions zijn de volgende aanvullende eisen van toepassing: 47 -  [VERTROUWELIJK] -  [VERTROUWELIJK] -  [VERTROUWELIJK] -  [VERTROUWELIJK] -  [VERTROUWELIJK] -  [VERTROUWELIJK] -  [VERTROUWELIJK] -  [VERTROUWELIJK] -  [VERTROUWELIJK] 44 Dossierstuk 25, Antwoorden van Transavia, datum 26 mei 2020 - Bijlage 1: Personnel &amp;amp; Access Control Standard. 45 Zie Dossierstuk 25, Antwoorden van Transavia, datum 26 mei 2020. 46 Zie Dossierstuk 25, Antwoorden van Transavia, datum 26 mei 2020 - Bijlage 1: Personnel &amp;amp; Access Control Standard. 47 Zie Dossierstuk 25, Antwoorden van Transavia, datum 26 mei 2020 - Bijlage 1: Personnel &amp;amp; Access Control Standard. &lt;!-- image --&gt; Datum 23 september 2021 ## Ons kenmerk [VERTROUWELIJK] Transavia onderscheidt twee typen gebruiker accounts: ' user accounts ' en ' generieke accounts '. De ' user accounts ' betreffen individuele personen. De ' generieke accounts ' bestaan voor meerdere personen of systemen, onder andere voor koppelingen tussen systemen. Inloggen op deze gebruikers vindt veelal automatisch plaats volgens Transavia. 48 De AP heeft aan Transavia gevraagd waarom de accounts die betrokken waren bij de inbreuk niet voldeden aan de eigen standaarden van Transavia. Transavia geeft in haar antwoord aan dat de focus lag op ' user accounts ' als het gaat om naleving van het wachtwoordenbeleid. Dit zijn in verhouding meer accounts en er werd geacht dat hieruit de meeste risico's zouden voortvloeien. Ook heeft Transavia aangegeven dat deze aanpak de ' awareness ' zou verhogen binnen de organisatie. Vanwege deze focus zouden de tekortkomingen voor de generieke accounts betrokken in de inbreuk niet zijn opgemerkt. 49 In het wachtwoordbeleid staat verder dat er voor ' remote access ' meerfactorauthenticatie vereist is. 50 Uit het rapport blijkt dat dit niet het geval was voor de gebruikers waarmee de aanvaller toegang heeft kunnen verkrijgen. Zo is toegang geweest tot een Citrix omgeving zonder meerfactorauthenticatie. De externe dienstverlener geeft als een van de aanbevelingen aan Transavia het implementeren van meerfactorauthenticatie voor gebruikers wiens accounts toegankelijk zijn vanaf het internet of in ieder geval voor gebruikers met veel rechten. 51 Citrix zelf adviseert zelf ook om meerfactorauthenticatie voor het gebruik van hun applicatie in te voeren. 52 De AP heeft aan Transavia gevraagd waarom toegang mogelijk was tot een telewerkomgeving zonder gebruik te maken van meerfactorauthenticatie bij de accounts betrokken in de inbreuk. 53 Als antwoord heeft Transavia aangegeven dat eerst voor de ' user accounts ' is begonnen met de uitrol van deze maatregelen. De implementatie van deze maatregelen bij de ' user accounts ' duurde langer dan verwacht. Vliegend personeel maakt bij haar werkzaamheden gebruik van applicaties die nodig zijn voor een veilige vlucht. Indien een maatregel zoals meerdere factoren authenticatie vertraging zou veroorzaken, zou dit grote vertragingen bij vluchten kunnen veroorzaken. ' Generieke accounts ' hadden lagere prioriteit bij Transavia. Omdat de implementatie bij het vliegend personeel vertraagd was, was de implementatie bij de ' generieke accounts ' ook vertraagd. 54 48 Zie Dossierstuk 38, Antwoorden van Transavia datum 24 september 2020. 49 Zie Dossierstuk 38, Antwoorden van Transavia datum 24 september 2020. 50 Zie Dossierstuk 25, Antwoorden van Transavia, datum 26 mei 2020 - Bijlage 1: Personnel &amp;amp; Access Control Standard. 51 Zie Dossierstuk 11, rapport van 5 december 2019, pagina 21. 52 Zie Dossierstuk 40, Citrix best practices, 9 april 2019. 53 Dossierstuk 30, Brief AP aan Transavia van 4 september 2020. 54 Zie Dossierstuk 38, Antwoorden van Transavia datum 24 september 2020. &lt;!-- image --&gt; Datum 23 september 2021 ## Ons kenmerk [VERTROUWELIJK] De AP heeft aan Transavia gevraagd of periodieke controles plaatsvonden van het beveiligingsbeleid en de feitelijke implementatie hiervan. Transavia heeft hierop aangegeven dat er meerdere periodieke controles plaatsvinden: 55 -  [VERTROUWELIJK] 56 -  [VERTROUWELIJK] -  [VERTROUWELIJK] Bij de [VERTROUWELIJK] controle is ook aangegeven dat voor geprivilegieerde accounts (accounts met veel toegangsrechten) er controle moet plaatsvinden of de wachtwoorden voldoen aan het beleid van Transavia. 57 Transavia heeft als voorbeeld hiervan de resultaten aangeleverd van een [VERTROUWELIJK] controle van 2019, kwartaal 3. De bevindingen gaan over de periode van 12 maanden vóór het onderzoek. Hierin staan positieve en negatieve resultaten aangegeven. Bij meerdere systemen is hier aangegeven dat de wachtwoorden niet voldeden aan het beleid van Transavia. 58 De AP stelt vast dat de gebruikte wachtwoorden in de aanval niet aan de eisen voldeden van het wachtwoordbeleid van Transavia. Ook was voor deze gebruikers geen meerfactorauthenticatie aanwezig, terwijl deze gebruikers wel toegankelijk waren via het internet of via telewerk software. ## 2.3.2 Toegang binnen het [VERTROUWELIJK] domein De aanvaller had tijdens de inbreuk toegang tot vrijwel het hele [VERTROUWELIJK] domein. Transavia heeft meer netwerksegmentatie als vervolgmaatregel doorgevoerd. 59 Volgens het Nationaal Cyber Security Centrum (NCSC) is netwerksegmentatie het ' netwerk opdelen in functionele segmenten '. Met netwerksegmentatie worden alleen de systemen die onderling moeten communiceren samen in aparte segmenten geplaatst. ' Gebruikers krijgen alleen toegang tot de segmenten die zij nodig hebben.' . 60 De AP heeft aan Transavia gevraagd of de aanvaller bij de systemen waar automatisch toegang toe is verkregen ook andere zaken had kunnen doen zoals gegevens kopiëren, inzien of anderzijds bewerken. 61 Transavia heeft aangegeven dat de aanvaller deze mogelijkheid had. In de schriftelijke reactie noemt Transavia een aantal beveiligingsmaatregelen die van kracht waren op het moment van de inbreuk: ' Op het moment van de inbreuk had Transavia verschillende maatregelen getroffen in het kader van haar beveiligingsbeleid om de gevolgen van een onbevoegde inlogpoging te voorkomen, waaronder monitoring. Zo werden met het voor Transavia door haar IT-leverancier ingerichte Security Operations Centre de computer- en netwerkactiviteiten van Transavia in de gaten gehouden en gecontroleerd op afwijkende activiteiten. Via dit systeem 55 Zie Dossierstuk 38, Antwoorden van Transavia datum 24 september 2020. 56 Dossierstuk 38, Antwoorden van Transavia datum 24 september 2020 - Bijlage 6: [VERTROUWELIJK]. 57 Dossierstuk 38, Antwoorden van Transavia datum 24 september 2020 - Bijlage 6: [VERTROUWELIJK]. 58 Dossierstuk 38, Antwoorden van Transavia datum 24 september 2020 - Bijlage 7: Resultaten [VERTROUWELIJK] 2019 - Q3. 59 Zie Dossierstuk 25, Antwoorden van Transavia, datum 26 mei 2020. 60 Zie Dossierstuk 41, NCSC, Ransomware, maatregelen voor het voorkomen, beperken en herstellen van een ransomware-aanval, juni 2020. 61 Dossierstuk 30, Brief AP aan Transavia van 4 september 2020. &lt;!-- image --&gt; Datum 23 september 2021 Ons kenmerk [VERTROUWELIJK] ontving Transavia op 21 oktober 2019 de beveiligingsmelding van haar IT-leverancier die duidde op ongeautoriseerde toegang tot het IT-landschap van Transavia.' 62 In het forensisch rapport is aangegeven dat de beheerder logging mogelijkheden had ingericht, waardoor de externe dienstverlener de gebeurtenissen voor een groot gedeelte heeft kunnen reconstrueren. De externe dienstverlener heeft gebruik kunnen maken van de [VERTROUWELIJK] 63 omgeving van Transavia. 64 Uit onderzoek bleek dat het mogelijk was om bepaalde logbestanden te verwijderen. Aangegeven is dat gedurende een week op tenminste [VERTROUWELIJK] systemen logbestanden zijn verwijderd. Ook is beschreven dat bepaalde logging niet bijgehouden werd in de gecentraliseerde omgeving, waaronder van Citrix en van bepaalde kritieke systemen. Een aanbeveling van de externe dienstverlener is dan ook de centrale logging uit te breiden om de integriteit hiervan te bewaken. Ook zou dit leiden tot betere respons op incidenten. 65 In het forensisch rapport staat verder dat op diverse systemen verouderde besturingssystemen geïnstalleerd waren. Ook staat er dat de geïmplementeerde meerfactorauthenticatie op bepaalde systemen dusdanig was ingeregeld dat een gebruiker zelf een telefoonnummer kon invullen om een tweede factor bericht op te ontvangen. Bepaalde systemen hadden ongecontroleerd toegang tot het internet. Hierdoor heeft de aanvaller kunnen communiceren met externe systemen vanuit het netwerk van Transavia. 66 Tot slot was er onvoldoende netwerk indringer detectie aanwezig was. Hierdoor was er sprake van een beperkt zicht op netwerkactiviteit van de aanvaller. 67 ## 2.4 Maatregelen na de inbreuk Nadat Transavia op 21 oktober 2019 erachter is gekomen dat een aanvaller ongeautoriseerde toegang heeft gehad tot haar systemen, heeft Transavia direct door een externe dienstverlener een forensische analyse laten uitvoeren. Na de vaststelling van de inbreuk heeft Transavia verschillende maatregelen genomen. Transavia heeft onder andere voor alle eindgebruikers en apparaten tweefactor-authenticatie ingevoerd. Daarnaast zijn de wachtwoorden van alle gebruikers- en generieke accounts gereset en zijn wachtwoordvereisten technisch doorgevoerd. Tot slot heeft Transavia haar netwerk opgedeeld in meerdere segmenten. 68 62 Zie Dossierstuk 25, Antwoorden van Transavia, datum 26 mei 2020. 63 [VERTROUWELIJK] maakt het mogelijk om gegevens uit een grote hoeveelheid verschillende bronnen (geautomatiseerd) te analyseren en signaleringen te ontvangen hierop. Een gecentraliseerde omgeving waarbij een systeem logging uit verschillende bronnen verzamelt, analyseert en rapporteert wordt ook wel een Security Information and Event Management (SIEM) genoemd. Zie ook: Dossierstuk 42, NCSC, Handreiking voor implementatie van detectie oplossingen, oktober 2015. 64 Zie Dossierstuk 11, rapport van 5 december 2019, pagina 4. 65 Zie Dossierstuk 11, rapport van 5 december 2019, pagina 23 en 29. 66 Zie Dossierstuk 11, rapport van 5 december 2019, pagina 27 en 28. 67 Zie Dossierstuk 11, rapport van 5 december 2019, pagina 29. 68 Schriftelijke zienswijze Transavia, 28 juni 2021, pagina 7 en 8. &lt;!-- image --&gt; Datum 23 september 2021 Ons kenmerk [VERTROUWELIJK] ## 2.5 Zienswijze Transavia op de vastgestelde feiten en reactie AP Transavia he</t>
  </si>
  <si>
    <t>ANVS__PUC_1559_32_1.txt::Rechtshandeling</t>
  </si>
  <si>
    <t>Autoriteit_Persoonsgegevens__https___www.autoriteitpersoonsgegevens.nl_uploads_imported_boete_transavia.txt::Rechtsobject</t>
  </si>
  <si>
    <t>bestuurlijke boete</t>
  </si>
  <si>
    <t>bestuurlijke boete [61349:61367]</t>
  </si>
  <si>
    <t>gewijzigd [2964:2974]</t>
  </si>
  <si>
    <t>gewijzigd [2964:2973]</t>
  </si>
  <si>
    <t>[...] kzaamheden in het onderhavige geval een zo spoedig mogelijk in werking treden van de vergunning noodzakelijk is. ## B E S L U I T : De d.d. 1 juli 2004, onder nr. 2004/46248, AI/IO/BES, verleende vergunning, wordt gewijzigd zodat deze thans luidt als volgt: Aan de Technische Universiteit Eindhoven, Den Dolech 2 te Eindhoven, wordt tot 1 juli 2005 vergunning verleend voor: - -het verrichten van handelingen met een toestel; - -het verr [...]</t>
  </si>
  <si>
    <t>ANVS__PUC_1559_32_1.txt::Rechtsobject</t>
  </si>
  <si>
    <t>vergunning [2946:2956]</t>
  </si>
  <si>
    <t>[...] r de motivering paragraaf 4.3.1 en 4.3.2. &lt;!-- image --&gt; Datum 23 september 2021 ## 5. Dictum De AP legt aan Transavia Airlines C.V. wegens overtreding van artikel 32, eerste en tweede lid, van de AVG een bestuurlijke boete op ten bedrage van: € 400.000 (zegge vierhonderdduizend euro). 84 Hoogachtend, Autoriteit Persoonsgegevens, w.g. drs. C.E. Mur Bestuurslid ## Rechtsmiddelenclausule Indien u het niet eens bent met dit [...]</t>
  </si>
  <si>
    <t>DRE_25-4-2-2024000871_wiede_wold_afvalkathedraal_geredigeerd.txt::Besluitvormend Orgaan</t>
  </si>
  <si>
    <t>DRE_25-4-2-2024000871_wiede_wold_afvalkathedraal_geredigeerd.txt</t>
  </si>
  <si>
    <t>DRE</t>
  </si>
  <si>
    <t>wij</t>
  </si>
  <si>
    <t>het college van Gedeputeerde Staten van Drenthe</t>
  </si>
  <si>
    <t>het college van gedeputeerde staten van drenthe</t>
  </si>
  <si>
    <t>wij [355:358]</t>
  </si>
  <si>
    <t>het college van Gedeputeerde Staten van Drenthe [10076:10123]</t>
  </si>
  <si>
    <t>[...] ntinuïteit van werkzaamheden in het onderhavige geval een zo spoedig mogelijk in werking treden van de vergunning noodzakelijk is. ## B E S L U I T : De d.d. 1 juli 2004, onder nr. 2004/46248, AI/IO/BES, verleende vergunning, wordt gewijzigd zodat deze thans luidt als volgt: Aan de Technische Universiteit Eindhoven, Den Dolech 2 te Eindhoven, wordt tot 1 juli 2005 vergunning verleend voor: - -het verrichten van handelingen met een toe [...]</t>
  </si>
  <si>
    <t>ANVS__PUC_3848_32_1.txt::Besluitvormend Orgaan</t>
  </si>
  <si>
    <t>De minister van Volkshuisvesting, Ruimtelijke Ordening en Milieubeheer</t>
  </si>
  <si>
    <t>de minister van volkshuisvesting, ruimtelijke ordening en milieubeheer</t>
  </si>
  <si>
    <t>De minister van Volkshuisvesting, Ruimtelijke Ordening en Milieubeheer [11138:11208]</t>
  </si>
  <si>
    <t>[...] HOOGEVEEN ## PePe Assen, 18 juni 2024 Ons kenmerk 25/4.2/2024000871 Behandeld door Onderwerp: Verlening subsidie project De Afvalkathedraal, onderdeel BOUWWERK ## Geacht bestuur, Op 31 mei 2024 ontvingen wij uw subsidieaanvraag. U vraagt een incidentele subsidie aan van€ 125.000,--. In deze brief leest u ons besluit. ## U ontvangt een subsidie van 48,39% van de subsidiabele kosten tot een maximum van€ 125.000,-- Dit is de subsidie die wij u verlenen. U ontvangt de subsidie voor de uitvoering van het project De Afvalkathedraal, onderdeel BOUWWERK. Met het deelproject BOUWWERK realiseert u De Afvalkathedraal, het fysieke onderkomen en 'kloppend hart' van de culturele manifestatie 'Wiede Wold'. De Afvalkathedraal geeft een thuis aan de theatervoorstelling 'ATROPOS' van de Peergroup. Met de realisatie van De Afvalkathedraal creëert u een publieke plek voor ontmoeting en inspiratie. De totstandkoming is echter zelf ook een proces van ontmoeting en in­ spiratie. Belangrijk doel bij de totstandkoming van De Afvalkathedraal is het versterken van bewustwording op het vlak van de benodigde transformatie voor de transitie van een lineaire naar een circulaire economie. U zet hierbij nadrukkelijk in op het verbinden van bewoners, bedrijven, onderwijs en organisatie op dit vraagstuk, het aantrekken van jong talent en ervaren circulaire professionals en het aangaan van nieuwe publiek­ private samenwerkingen tussen sectoren en disciplines. &lt;!-- image --&gt; ## provincie J)renthe &lt;!-- image --&gt; , .N'.Jilè-à Het project De Afvalkathedraal, onderdeel BOUWWERK, levert de volgende resultaten -op: - -1 plan van aanpak voor de bouw - -1 integrale M&amp;amp;C-strategie - -1 omgevingsvergunning - -1 evenementenvergunning - -1 speellocatie voor theatervoorstelling ATROPOS - -12.000 bezoekers - -1 tijdelijke eventlocatie voor bijeenkomsten - -5 bijeenkomsten van 250 deelnemers ## U ontvangt een voorschot van€ 108.000,-- De subsidie ontvangt u in een aantal delen. Het eerste bedrag maken wij binnen vier weken over naar uw IBAN . Wij vermelden er het kenmerk van deze brief bij. Bij de vaststelling van de subsidie kunt u, na beoordeling van uw aanvraag tot vast­ stelling, het restantbedrag ontvangen. ## Activiteiten Met deze subsidie voert u de volgende activiteiten uit: Uitvoering deelproject BOUWWERK van het project De Afvalkathedraal. Uw subsidieaanvraag is de basis voor deze omschrijving. ## Uw subsidie hebben wij als volgt berekend De subsidie bedraagt 48,39% van de subsidiabele kosten uit uw begroting, tot een bedrag van € 125.000,--. De kosten die voor een subsidie in aanmerking komen zijn: | Soort kosten | Kosten begroting | Verleende subsidie | |----------------------------------------|----------------------------------------|----------------------------------------| | 1. Bouwmanagement | € 25.000,00 | | | 2. Vergunningen | € 25.000,00 | | | 3. Bouw en demontage | € 75.000,00 | | | 4. Facilitering Wiede Wold | € 85.000,00 | | | 5. Loonkosten en eigen arbeid | € 48.300,00* | | | Totaal | € 258.300,00 | € 125.000,00 | | * forfait van 23% op de kosten 1 Urn 4 | * forfait van 23% op de kosten 1 Urn 4 | * forfait van 23% op de kosten 1 Urn 4 | ## Subsidieverplichtingen Aan de subsidie zijn de volgende verplichtingen verbonden: u voert de activiteiten uit in de periode van 1 januari 2024 tot en met 30 september 2024; u meldt het ons als u de activiteiten anders of niet gaat uitvoeren U doet deze melding binnen twee weken nadat u het weet. U doet deze melding schriftelijk via subsidieloket@drenthe.nl. Deze melding is voor u van belang. Als u de activiteiten niet, niet helemaal of anders uitvoert dan in uw aanvraag en deze brief is genoemd, kan de subsidie lager worden vastgesteld of worden ingetrokken. U moet dan een bedrag aan ons terugbetalen. Daarnaast doet u melding als u niet voldoet aan de subsidieverplichtingen en in gevallen als bedoeld in artikel 16, tweede lid, van de Algemene subsidieverordening provincie Drenthe 2023; ## u zorgt voor een goede administratie Bij een eventuele controle kunt u aantonen dat u de activiteiten hebt uitgevoerd en de kosten hebt gemaakt. Dat kan bijvoorbeeld blijken uit bewaarde rekeningen, bonnen, een urenadministratie of andere gebruikelijke manieren om activiteiten, kosten of tijdsbesteding helder te maken. U bewaart deze minimaal zeven jaar na het einde van de projectperiode; ## u dient vóór 1 januari 2025 een aanvraag tot vaststelling in U stuurt deze aanvraag naar subsidieloket@drenthe.nl. Uw aanvraag tot vast­ stelling bestaat uit een inhoudelijk verslag, waaruit blijkt dat de activiteiten waarvoor de subsidie is verleend zijn uitgevoerd en dat is voldaan aan de subsidie­ verplichtingen. Ook stuurt u een kostenverantwoording mee waaruit blijkt wat de werkelijk gemaakte subsidiabele kosten zijn van de activiteiten en de hieraan ver­ bonden inkomsten. Het financieel verslag bevat in ieder geval een vergelijking met de bij de aanvraag om subsidie ingediende begroting en bevat verschillen tussen de werkelijke uitgaven en de begrote uitgaven, onder vermelding van de oorzaak van de verschillen. Als u de activiteiten hebt uitgevoerd en aan de subsidieverplichtingen hebt voldaan, stellen wij de subsidie vast op 48,39% van de werkelijk gemaakte sub­ sidiabele kosten, met als maximum het verleende subsidiebedrag. Zorgt u ervoor dat wij uw aanvraag tot vaststelling op tijd ontvangen. Hiermee voorkomt u dat wij uw subsidie ambtshalve moeten vaststellen. Hierdoor wordt de subsidie in veel gevallen lager of op nihil vastgesteld. De ontvangen voorschotten moet u dan terugbetalen. ## Staatssteun Voor uw aanvraag hebben wij gekeken of er sprake is van staatssteun. Dit is bij u het geval, omdat uw stichting in dit geval fungeert als ondernemer. Uw activiteiten worden door middel van staatsmiddelen selectief gesteund en er kan door het project een ver­ storing van de interne markt optreden. Deze steun valt onder de werking van de Alge­ mene Groepsvrijstellingsverordening (AGW), in het bijzonder onder de vrijstellings­ categorie voor steun voor cultuur en instandhouding van het erfgoed (Hoofdstuk 111, Deel Il, artikel 53 van de AGW), meer specifiek exploitatiesteun. De in aanmerking komende kosten kunnen voor maximaal 80% worden gesubsidieerd. De totale subsidiabele kosten van uw project bedragen€ 258.300,--. Het bedrag aan steun van de provincie Drenthe bedraagt€ 125.000,--. Daarmee bedraagt de steun­ intensiteit van onze subsidie afgerond 48% en blijft deze onder de toegestane steun­ intensiteit. Uw deelproject voldoet aan de gestelde voorwaarden voor deze steun en aan de alge­ mene bepalingen van de AGW. De te verlenen subsidie heeft een stimulerend effect in de zin van voornoemde verordening van de Europese Commissie. Daarmee kan de subsidie geoorloofd worden verleend. Wij geven van de verlening van deze subsidie, overeenkomstig de desbetreffende bepalingen van de AGW, binnen 20 werkdagen na dagtekening van deze beschikking kennis aan de Europese Commissie en publiceren deze beschikking op onze website. Betaling van de subsidie sluiten wij uit, indien zou blijken dat de aan uw onderneming verleende steun onrechtmatig is en onverenigbaar is verklaard met de interne markt. ## Een vergunning nodig? Misschien hebt u voor de uit te voeren activiteiten nog een vergunning of andere vorm van toestemming nodig, mogelijk zelfs van ons. Deze subsidie staat geheel los van het krijgen van die vergunning die u nodig hebt voor uw activiteiten. Daarvoor gelden na­ melijk andere regels. ## Steekproefcontrole Naast de beoordeling van uw aanvraag tot vaststelling kunnen wij deze subsidie ook controleren. De steekproefcontroles hebben tot doel misbruik en onregelmatigheden van subsidiegelden tegen te gaan. Wij controleren of de subsidie rechtmatig en doel­ matig is besteed en of u hebt voldaan aan de aan de subsidie verbonden verplich­ tingen. Indien wij misbruik of onregelmatigheden constateren loopt u het risico dat de subsidie geheel of gedeeltelijk teruggevorderd wordt. Het is zeer belangrijk dat u be­ wijsstukken bewaart en eventuele wijzigingen op tijd aan ons meldt. ## Juridisch kader Voor dit besluit gelden: - -de Algemene wet bestuursrecht - -de Algemene subsidieverordening provincie Drenthe 2023 ## Communicatie Wij vragen u of u in uw communicatie over het project wilt vermelden dat het project mede mogelijk gemaakt wordt door de provincie Drenthe. ## Openbare informatie over uw subsidie De naam van de aanvrager, de naam van het project of de korte omschrijving van de activiteiten, het verstrekte subsidiebedrag en het zaaknummer nemen wij op in het subsidieregister op onze website. Namen van personen worden niet genoemd. Daarnaast publiceren wij de volledige subsidiebeschikking op onze website. Dit doen wij omdat dit een algemene verplichting is van de AGW. De subsidiebeschikking wordt ook gepubliceerd op de website van de Europese Commissie. ## Hebt u vragen? Als u vragen hebt, neem dan contact op met de , telefoonnummer (0592) . Hoogachtend, secretaris &lt;!-- image --&gt;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 &lt;!-- image --&gt;</t>
  </si>
  <si>
    <t>DRE_25-4-2-2024000871_wiede_wold_afvalkathedraal_geredigeerd.txt::Ontvanger</t>
  </si>
  <si>
    <t>[...] vergunning dient te worden aangevraagd. Aanvragen voor nieuwe vergunningen voor de in-, uit- en doorvoer van splijtstoffen dienen ook minimaal veertien (14) weken voor de geplande transportdatum te worden ingediend. De minister van Volkshuisvesting, Ruimtelijke Ordening en Milieubeheer, mede namens de minister van Economische Zaken, de minister van Sociale Zaken en Werkgelegenheid en in overeenstemming met de minister van Verkeer en Waterstaat, voor deze: de Algemeen Directeur van Agentschap NL, o.l. [...]</t>
  </si>
  <si>
    <t>ANVS__PUC_3848_32_1.txt::Rechtshandeling</t>
  </si>
  <si>
    <t>de Stichting Wiede Wold</t>
  </si>
  <si>
    <t>het bestuur van de Stichting Wiede Wold</t>
  </si>
  <si>
    <t>de stichting wiede wold</t>
  </si>
  <si>
    <t>het bestuur van de stichting wiede wold</t>
  </si>
  <si>
    <t>de Stichting Wiede Wold [85:108]</t>
  </si>
  <si>
    <t>het bestuur van de Stichting Wiede Wold [69:108]</t>
  </si>
  <si>
    <t>verleend [2306:2315]</t>
  </si>
  <si>
    <t>verleend [2306:2314]</t>
  </si>
  <si>
    <t>[...] oer van de bedoelde splijtstoffen naar de plaats van bestemming noodzakelijk is. ## B E S L U I T : Aan de Centrale Organisatie Voor Radioactief Afval (COVRA) N.V., Spanjeweg 1 te Vlissingen-Oost, wordt vergunning verleend voor het vervoeren over de weg over Nederlands grondgebied en het aansluitend buiten Nederlands grondgebied (doen) brengen van de volgende zending: aantal zendingen : max. 1; aard van de stof : uranium-238; [...]</t>
  </si>
  <si>
    <t>ANVS__PUC_3848_32_1.txt::Rechtsobject</t>
  </si>
  <si>
    <t>vergunning [2295:2306]</t>
  </si>
  <si>
    <t>vergunning [2295:2305]</t>
  </si>
  <si>
    <t>[...] elijke vervoer van de bedoelde splijtstoffen naar de plaats van bestemming noodzakelijk is. ## B E S L U I T : Aan de Centrale Organisatie Voor Radioactief Afval (COVRA) N.V., Spanjeweg 1 te Vlissingen-Oost, wordt vergunning verleend voor het vervoeren over de weg over Nederlands grondgebied en het aansluitend buiten Nederlands grondgebied (doen) brengen van de volgende zending: aantal zendingen : max. 1; aard van de stof : urani [...]</t>
  </si>
  <si>
    <t>[www.provincie.drenthe.nl](http://www.provincie.drenthe.nl/) Aan: het bestuur van de Stichting Wiede Wold Lindberghstraat 4 7903 BN HOOGEVEEN ## PePe Assen, 18 juni 2024 Ons kenmerk 25/4.2/2024000871 Behandeld door Onderwerp: Verlening subsidie project De Afvalkathedraal, onderdeel BOUWWERK ## Geacht bestuur, [...]</t>
  </si>
  <si>
    <t>ANVS__PUC_3905_32_1.txt::Ontvanger</t>
  </si>
  <si>
    <t>DRE_verlening_subsidie_stichting_de_nieuwe_rentmeester_geredigeerd.txt::Ontvanger</t>
  </si>
  <si>
    <t>ANVS__PUC_3905_32_1.txt</t>
  </si>
  <si>
    <t>DRE_verlening_subsidie_stichting_de_nieuwe_rentmeester_geredigeerd.txt</t>
  </si>
  <si>
    <t>Nuova XGamma SRL</t>
  </si>
  <si>
    <t>nuova xgamma srl</t>
  </si>
  <si>
    <t>de Stichting De Nieuwe Rentmeester Veenhuizen</t>
  </si>
  <si>
    <t>Stichting De Nieuwe Rentmeester Veenhuizen</t>
  </si>
  <si>
    <t>Nuova XGamma SRL [1565:1581]</t>
  </si>
  <si>
    <t>de stichting de nieuwe rentmeester veenhuizen</t>
  </si>
  <si>
    <t>stichting de nieuwe rentmeester veenhuizen</t>
  </si>
  <si>
    <t>de Stichting De Nieuwe Rentmeester Veenhuizen [8:53]</t>
  </si>
  <si>
    <t>Stichting De Nieuwe Rentmeester Veenhuizen [11:53]</t>
  </si>
  <si>
    <t>[...] Wet milieubeheer, juncto afdeling 3.4 t/m 3.7 van de Algemene wet Bestuursrecht; Overwegende, dat naar aanleiding van de aanvraag en de ontwerpbeschikking geen zienswijzen zijn ingediend. ## B E S L U I T : Aan Nuova XGamma SRL, Via Einstein 16 te Mercato Saraceno (Italië) wordt vergunning verleend voor: - -het verrichten van handelingen met ioniserende straling uitzendende toestellen; - -het verrichten van handelingen met radioactieve sto [...]</t>
  </si>
  <si>
    <t>ANVS__PUC_3905_32_1.txt::Besluitvormend Orgaan</t>
  </si>
  <si>
    <t>de minister van Volkshuisvesting, Ruimtelijke Ordening en Milieubeheer</t>
  </si>
  <si>
    <t>de minister van Volkshuisvesting, Ruimtelijke Ordening en Milieubeheer [19218:19288]</t>
  </si>
  <si>
    <t>[...] het bepaalde in artikel 3:44 van de Algemene wet bestuursrecht, doe ik u hierbij tevens toekomen een exemplaar van de kennisgeving waarin de gegevens als bedoeld in het vierde lid van voornoemd artikel zijn vermeld. de minister van Volkshuisvesting, Ruimtelijke Ordening en Milieubeheer, mede namens de minister van Sociale Zaken en Werkgelegenheid en de minister van Economische Zaken, voor deze: de Algemeen Directeur van Agentschap NL, o.l. de Opdrachtmanager Stralingsbescherming en Samenleving, drs [...]</t>
  </si>
  <si>
    <t>ANVS__PUC_3905_32_1.txt::Rechtshandeling</t>
  </si>
  <si>
    <t>Aan: de Stichting De Nieuwe Rentmeester Veenhuizen t.a.v. Postbus 83 9400 AB ASSEN ## 9400 AB83 Assen, 12 december 2023 Ons kenmerk 50/5.8/2023001722 Behandeld door Onderwerp: Verlening subsidie restauratie rijksmonument Hoofdweg 150, Veenhuizen [...]</t>
  </si>
  <si>
    <t>DRE_26-4-6-2024000905_vos_mammoetgras_geredigeerd_geredigeerd.txt::Ontvanger</t>
  </si>
  <si>
    <t>verleend [1645:1654]</t>
  </si>
  <si>
    <t>verleend [1645:1653]</t>
  </si>
  <si>
    <t>DRE_26-4-6-2024000905_vos_mammoetgras_geredigeerd_geredigeerd.txt</t>
  </si>
  <si>
    <t>[...] Overwegende, dat naar aanleiding van de aanvraag en de ontwerpbeschikking geen zienswijzen zijn ingediend. ## B E S L U I T : Aan Nuova XGamma SRL, Via Einstein 16 te Mercato Saraceno (Italië) wordt vergunning verleend voor: - -het verrichten van handelingen met ioniserende straling uitzendende toestellen; - -het verrichten van handelingen met radioactieve stoffen; - -het verrichten van handelingen met splijtstoffen (verarmd urani [...]</t>
  </si>
  <si>
    <t>ANVS__PUC_3905_32_1.txt::Rechtsobject</t>
  </si>
  <si>
    <t>U</t>
  </si>
  <si>
    <t>u</t>
  </si>
  <si>
    <t>U [361:362]</t>
  </si>
  <si>
    <t>vergunning [1634:1645]</t>
  </si>
  <si>
    <t>vergunning [1634:1644]</t>
  </si>
  <si>
    <t>[...] tuursrecht; Overwegende, dat naar aanleiding van de aanvraag en de ontwerpbeschikking geen zienswijzen zijn ingediend. ## B E S L U I T : Aan Nuova XGamma SRL, Via Einstein 16 te Mercato Saraceno (Italië) wordt vergunning verleend voor: - -het verrichten van handelingen met ioniserende straling uitzendende toestellen; - -het verrichten van handelingen met radioactieve stoffen; - -het verrichten van handelingen met splijtstoffen (vera [...]</t>
  </si>
  <si>
    <t>[...] 4000905 Behandeld door de (0592) &lt;!-- image --&gt; Onderwerp: Verlening subsidie bedrijfstransitie naar Mammoetgras Geachte , &lt;!-- image --&gt; Op 13 februari 2024 ontvingen wij uw subsidieaanvraag. U vraagt een subsidie aan van € 100.000,-- voor de transitie in uw bedrijfsvoering naar de teelt van mammoetgras. ln deze brief leest u ons besluit. ## U ontvangt een subsidie van € 100.000,- Dit is de subsidie [...]</t>
  </si>
  <si>
    <t>DRE_25-4-2-2024000871_wiede_wold_afvalkathedraal_geredigeerd.txt::Rechtshandeling</t>
  </si>
  <si>
    <t>Verlening</t>
  </si>
  <si>
    <t>verlening</t>
  </si>
  <si>
    <t>Verlening [239:248]</t>
  </si>
  <si>
    <t>verlenen [602:610]</t>
  </si>
  <si>
    <t>ANVS__PUC_3976_32_1.txt::Besluitvormend Orgaan</t>
  </si>
  <si>
    <t>de minister van Volkshuisvesting, Ruimtelijke Ordening en Milieubeheer [34713:34783]</t>
  </si>
  <si>
    <t>[...] bezwaarschrift moet worden aangegeven waarom het besluit niet juist gevonden wordt. Verzocht wordt bij het bezwaarschrift een kopie van deze brief en eventuele andere op de zaak betrekking hebbende stukken te voegen. de minister van Volkshuisvesting, Ruimtelijke Ordening en Milieubeheer, mede namens de minister van Sociale Zaken en Werkgelegenheid, voor deze: de Algemeen Directeur van Agentschap NL, o.l. de Opdrachtmanager Stralingsbescherming en Samenleving,</t>
  </si>
  <si>
    <t>ANVS__PUC_3976_32_1.txt::Rechtshandeling</t>
  </si>
  <si>
    <t>gewijzigd [1758:1767]</t>
  </si>
  <si>
    <t>[...] the.nl](http://www.provincie.drenthe.nl/) Aan: het bestuur van de Stichting Wiede Wold Lindberghstraat 4 7903 BN HOOGEVEEN ## PePe Assen, 18 juni 2024 Ons kenmerk 25/4.2/2024000871 Behandeld door Onderwerp: Verlening subsidie project De Afvalkathedraal, onderdeel BOUWWERK ## Geacht bestuur, Op 31 mei 2024 ontvingen wij uw subsidieaanvraag. U vraagt een incidentele subsidie aan van€ 125.000,--. In deze brief leest u ons besluit. ## U ontvangt een subsidie van 48,39% van de subsidiabele kosten tot een maximum van€ 125.000,-- Dit is de subsidie die wij u verlenen. U ontvangt de subsidie voor de uitvoering van het project De Afvalkathedraal, onderdeel BOUWWERK. Met het deelproject BOUWWERK realiseert u De Afvalkathedraal, het fysieke onderkomen en 'kloppend hart' van de culturele [...]</t>
  </si>
  <si>
    <t>KSA__https___kansspelautoriteit.nl_sites_default_files_7970_sanctiebesluit_call_internet_city.txt::Besluitvormend Orgaan</t>
  </si>
  <si>
    <t>KSA__https___kansspelautoriteit.nl_sites_default_files_7970_sanctiebesluit_call_internet_city.txt</t>
  </si>
  <si>
    <t>KSA</t>
  </si>
  <si>
    <t>[...] rkingtreding van deze vergunning noodzakelijk is. B E S L U I T : De d.d. 7 mei 1998, onder nr. 98/469 S, AI/CK/VCR/KEW, verleende vergunning, laatstelijk gewijzigd d.d. 18 juni 2009, onder nr. 2009/0991-06, wordt gewijzigd, zodat deze thans luidt als volgt: Aan Tata Steel IJmuiden B.V., Wenckebachstraat 1 te Velsen-Noord (gemeente Velsen), wordt vergunning verleend voor: - -het verrichten van handelingen met ioniserende straling uit [...]</t>
  </si>
  <si>
    <t>ANVS__PUC_3976_32_1.txt::Rechtsobject</t>
  </si>
  <si>
    <t>De Raad van Bestuur van de Kansspelautoriteit</t>
  </si>
  <si>
    <t>Raad van Bestuur van de Kansspelautoriteit</t>
  </si>
  <si>
    <t>de raad van bestuur van de kansspelautoriteit</t>
  </si>
  <si>
    <t>raad van bestuur van de kansspelautoriteit</t>
  </si>
  <si>
    <t>De Raad van Bestuur van de Kansspelautoriteit [24381:24426]</t>
  </si>
  <si>
    <t>Raad van Bestuur van de Kansspelautoriteit [70:112]</t>
  </si>
  <si>
    <t>vergunning [1675:1685]</t>
  </si>
  <si>
    <t>[...] ntinuïteit van werkzaamheden in het onderhavige geval een zo spoedig mogelijke inwerkingtreding van deze vergunning noodzakelijk is. B E S L U I T : De d.d. 7 mei 1998, onder nr. 98/469 S, AI/CK/VCR/KEW, verleende vergunning, laatstelijk gewijzigd d.d. 18 juni 2009, onder nr. 2009/0991-06, wordt gewijzigd, zodat deze thans luidt als volgt: Aan Tata Steel IJmuiden B.V., Wenckebachstraat 1 te Velsen-Noord (gemeente Velsen), wordt vergunnin [...]</t>
  </si>
  <si>
    <t>ANVS__PUC_3978_32_1.txt::Ontvanger</t>
  </si>
  <si>
    <t>ANVS__PUC_3978_32_1.txt</t>
  </si>
  <si>
    <t>M.H.A.C. Passon-Vastenburg, C.D. van Zuilen, R.J. Maarschalkerweerd en I. Tiemessen</t>
  </si>
  <si>
    <t>m.h.a.c. passon-vastenburg, c.d. van zuilen, r.j. maarschalkerweerd en i. tiemessen</t>
  </si>
  <si>
    <t>M.H.A.C. Passon-Vastenburg, C.D. van Zuilen, R.J. Maarschalkerweerd en I. Tiemessen [714:797]</t>
  </si>
  <si>
    <t>[...] dat de in de aanvraag bedoelde handelingen voorkomen in bijlage 1 (gerechtvaardigde handelingen en werkzaamheden) van de Regeling bekendmaking rechtvaardiging gebruik van ioniserende straling. B E S L U I T : Aan M.H.A.C. Passon-Vastenburg, C.D. van Zuilen, R.J. Maarschalkerweerd en I. Tiemessen, handelende in maatschapverband onder de naam MCD-CT, Weesperzijde 147 te Amsterdam, wordt vergunning verleend voor het verrichten van handelingen met ioniserende straling uitzendende toestellen. ## In deze vergunnin [...]</t>
  </si>
  <si>
    <t>ANVS__PUC_3978_32_1.txt::Besluitvormend Orgaan</t>
  </si>
  <si>
    <t>de minister van Volkshuisvesting, Ruimtelijke Ordening en Milieubeheer [11965:12035]</t>
  </si>
  <si>
    <t>[...] bezwaarschrift moet worden aangegeven waarom het besluit niet juist gevonden wordt. Verzocht wordt bij het bezwaarschrift een kopie van deze brief en eventuele andere op de zaak betrekking hebbende stukken te voegen. de minister van Volkshuisvesting, Ruimtelijke Ordening en Milieubeheer, mede namens de minister van Sociale Zaken en Werkgelegenheid , voor deze: de Algemeen Directeur van Agentschap NL, o.l. de Opdrachtmanager Stralingsbescherming en Samenleving, drs. M.A. Verzandvoort</t>
  </si>
  <si>
    <t>ANVS__PUC_3978_32_1.txt::Rechtshandeling</t>
  </si>
  <si>
    <t>verleend [900:909]</t>
  </si>
  <si>
    <t>verleend [900:908]</t>
  </si>
  <si>
    <t>[...] raling. B E S L U I T : Aan M.H.A.C. Passon-Vastenburg, C.D. van Zuilen, R.J. Maarschalkerweerd en I. Tiemessen, handelende in maatschapverband onder de naam MCD-CT, Weesperzijde 147 te Amsterdam, wordt vergunning verleend voor het verrichten van handelingen met ioniserende straling uitzendende toestellen. ## In deze vergunning wordt verstaan onder: - -MCD-CT: - -bewaakte zone: M.H.A.C. Passon-Vastenburg, C.D. van Zuilen, R.J. Ma [...]</t>
  </si>
  <si>
    <t>ANVS__PUC_3978_32_1.txt::Rechtsobject</t>
  </si>
  <si>
    <t>vergunning [889:900]</t>
  </si>
  <si>
    <t>vergunning [889:899]</t>
  </si>
  <si>
    <t>[...] iserende straling. B E S L U I T : Aan M.H.A.C. Passon-Vastenburg, C.D. van Zuilen, R.J. Maarschalkerweerd en I. Tiemessen, handelende in maatschapverband onder de naam MCD-CT, Weesperzijde 147 te Amsterdam, wordt vergunning verleend voor het verrichten van handelingen met ioniserende straling uitzendende toestellen. ## In deze vergunning wordt verstaan onder: - -MCD-CT: - -bewaakte zone: M.H.A.C. Passon-Vastenburg, C.D. van Zuilen [...]</t>
  </si>
  <si>
    <t>ANVS__PUC_4207_32_1.txt::Besluitvormend Orgaan</t>
  </si>
  <si>
    <t>de minister van Economische Zaken, Landbouw en Innovatie</t>
  </si>
  <si>
    <t>OPENBAAR ## Kansspelautoriteit &lt;!-- image --&gt; Besluit van de Raad van Bestuur van de Kansspelautoriteit als bedoeld in artikel 35a van de Wet op de kansspelen Zaak: 97 Kenmerk: 7970 / 00.017.935 Openbaarmaking onder kenmerk: 7970 / 00.019.050 ## Besluit ## Samenvatting Call Internet City In april 2012 is de Kansspelautoriteit opgericht. De kerntaken van de Kansspelautoriteit zin a n n azn kansspelverslaving, het beschermen en informeren van consumenten en het voorkomen van aan kansspelen gerelateerde illegaliteit en criminaliteit. In dit kader treedt de Kansspelautoriteit op tegen kansspelen zonder vergunning en tegen het aanbieden van speelmogelijkheden op niet toegelaten speelautomaten. Onduidelijk is immers of de aanbieders van dergelijke kansspelen en de kansspelen zelf voldoende betrouwbaar zijn en of de (potentiële) speler voldoende beschermd wordt. Deze situatie is bijzonder onwenselijk. De eigenaar van belwinkel/internetcafé Call Internet City heeft gelegenheid geboden tot het gokken op sportwedstrijden op een in de onderneming geplaatste computer, een zogenoemde gokzuil of voetbalzuil, die niet was voorzien van een voorgeschreven merkteken van toelating. Hij krijgt een boete van € 20.000,- voor het overtreden van de Wet op de kansspelen. ## OPENBAAR ## Inhoudsopgave 7 8 9 | Samenvatting.... | Samenvatting.... | |--------------------|---------------------------------------------------------| | 1 | Inleiding .. 3 | | 2 | Onderzoek internetcafé Call Internet City. | | 2.1 | Het onderzoek .. | | 2.2 | De betrokkene bij Call Internet City... | | 3 | Het rapport . 4 | | 4 | Zienswijze.. 5 | | 5 | Feitelijk kader.. 5 | | 5.1 | Onderzoek gokzuil... 5 | | 5.2 | Onderzoek digitale gegevens .. 6 | | 5.3 | Verklaring .... | | 5.4 | Samenvattend . | | 6 | Juridische beoordeling . | | 6.1 | Bevoegdheid van de Kansspelautoriteit.... | | 6.2 | De wettelijke bepalingen.. | | 6.3 | De toelating van speelautomaten en de merktekens.. 8 | | 6.4 | Geen toegelaten speelautomaat, geen merkteken . 9 | | 6.5 | Conclusie .. | | | Bestuurlijke boete .. 10 | | 8.1 | Inleiding 10 | | 8.2 | Verwijtbaarheid . .10 | | 8.3 | Ernst en duur van de overtreding.... .11 | | 8.4 | Boetevaststelling .12 | | 8.5 | Boeteverhogende of boeteverlagende omstandigheden .. 12 | | 8.6 | Toerekening . 12 | | | Besluit.. .13 | Kansspelautoriteit Datum 21 november 2013 Ons kenmerk 7970 / 00.019.050 ## 1 Inleiding 1. De Kansspelautoriteit is belast met het toezicht op de naleving van het bepaalde in de Wet op de kansspelen (hierna: Wok). In de Wok is opgenomen een verbod ot n - ho - n z e o voor het publiek toegankelijke plaatsen. 2. Een van de kerntaken van de Kansspelautoriteit is het reguleren van een passend legaal aanbod en het tegengaan van illegale praktijken en criminaliteit in de branche. Wie in Nederland wil deelnemen aan een kansspel moet dat kunnen doen in een betrouwbare omgeving.1 3. Onder deze kerntaak verstaat de Kansspelautoriteit ook het uitsluitend op de man n n en vn d n oen aanzien van (technische) betrouwbaarheid waarbij spelers niet kunnen worden benadeeld en illegale praktijken en criminaliteit worden tegen gegaan. 4. Het is de Kansspelautoriteit gebleken dat onder meer in horecagelegenheden in toenemende mate de mogelijkheid wordt geboden om te gokken op spon yven en z vin wel az ds i d e a d : se iin ingericht en ingesteld om te kunnen wedden op sportwedstrijden en vaak voorzien zijn van randapparatuur zoals een ticketprinter. 5. Dergelijke automaten zijn niet toegelaten op de Nederlandse markt aangezien de (technische) betrouwbaarheid van de gebruikte apparatuur en de software niet kan worden gecontroleerd. Bovendien onttrekt dit ongereguleerde gokken zich aan elke financiële c.q. belastingtechnische verantwoording over inkomsten en uitgaven – waaronder de uitkering van gewonnen bedragen - en wordt er geen aandacht besteed aan het voorkomen van onmatig gokken en gokverslaving. 6. De Kansspelautoriteit heeft de aanpak van deze wijze van gokken tot prioriteit benoemd: In 2012 en 2013 ligt bij de bestrijding van illegaliteit de focus op: illegale kansspelen via internet; voetbalzuilen en vergelijkbare apparatuur voor het afsluiten van illegale weddenschappen op sportwedstrijden [.….].² Jaarverslag van de Kansspelautoriteit 2012, pagina 14, te raadplegen via de website kansspelautoriteit.nl. ² Activiteitenplan van de Kansspelautoriteit 2012-2013, pagina 19, te raadplegen via de website kansspelautoriteit.nl. Kansspelautoriteit Datum 21 november 2013 Ons kenmerk 7970 / 00.019.050 ## 2 Onderzoek internetcafé Call Internet City ## 2.1 Het onderzoek 7. Op 9 november 2012 ontving de Kansspelautoriteit een melding van de gemeente Leeuwarden dat in belwinkel/internetcafé Call Internet City een speelautomaat zou zijn opgesteld.³ 8. Op 20 december 2012 hebben toezichthouders van de Kansspelautoriteit een bezoek gebracht aan Call Internet City en een gokzuil aangetroffen. Daarop is over n t n zn n t oe is de gokzuil onderzocht en is een verklaring opgenomen van de eigenaar van Call Internet City. Het onderzoek is weergegeven in hoofdstuk 5 van dit besluit. ## 2.2 De betrokkene bij Call Internet City 9. Call Internet City is een eenmanszaak gelegen aan de Tuinen 28 te Leeuwarden. Eigenaar van de eenmanszaak is de heer [...] ⁵. 10. Een eenmanszaak heeft geen rechtspersoonlijkheid (artikel 3, boek 2 van het Burgerlijk Wetboek). Het is een economische activiteit van de natuurlijke persoon die de onderneming drijft. Deze persoon, de eigenaar, is aansprakelijk voor het handelen van de onderneming. ## 3 Het rapport 11. Naar aanleiding van het aantreffen van de gokzuil op 20 december 2012 is ovn n n n v n n n n d Algemene wet bestuursrecht. 12. He r r al Internet City. In het rapport wordt geconstateerd dat hij heeft gehandeld in strijd met artikel 30t, eerste lid, aanhef en onder c, van de Wok door een speelautomaat aanwezig te hebben op een plaats of inrichting als bedoeld in artikel 30b, eerste lid, aanhef en onder b, van de Wok (een voor het publiek toegankelijke plaats) die niet overeenstemt met een door de Kansspelautoriteit toee n n n n n n n kel 30r, eerste lid, van de Wok. 3 Stuk 97/001. Stuk 97/013. Stuk 97/002. Kansspelautoriteit Datum 21 november 2013 Ons kenmerk 7970 / 00.019.050 ## 4 zienswijze 13. Bij brief van 16 september 2013 is de eigenaar van Call Internet City uitgenodigd om ter hoorzitting van 29 oktober 2013 zijn zienswijze te geven oveg t t t t t t r ei een zienswijze te geven. ## Feitelijk 5 kader ## 5.1 Onderzoek gokzuil 14. Op 20 december 2012 hebben toezichthouders van de Kansspelautoriteit in belwinkel/internetcafé Call Internet City, een voor het publiek toegankelijke plaats, een computer aangetroffen. Op het beeldscherm van deze computer zagen de toezichthouders een website die wordt gebruikt om weddenschappen af te sluiten op sportwedstrijden. 15. Tijdens het bezoek op 20 december 2012 heeft een toezichthouder van de Kansspelautoriteit de computer nader onderzocht. De computer was voorzien van een beeldscherm en een muis. Ook bleek de computer via een ethernetkabel te zijn aangesloten op een ticketprinter en het internet.7 16. De aangetroffen computer is voor nader onderzoek overgebracht naar het kantoor van de Kansspelautoriteit. Uit dit nader onderzoek bleek dat de computer tijdens het opstarten rechtstreeks een internetverbinding tot stand bracht het webadres van Computer Betting Company (CBC) te Oostenrijk, een bedrijf dat sportweddenschappen aanbiedt. Getoond werd een menu met keuzemogelijkheden van op dat moment nog te spelen sportwedstrijden waarop een weddenschap kon worden afgesloten. Via de gebruikersinterface van de computer was het niet mogelijk om een ander programma te starten, bijvoorbeeld via een toegankelijk bureaublad in een Windowsomgeving. De computer was dan ook zodanig ingericht dat deze als doel had om via een internetverbinding deel te nemen aan kansspelen in de vorm van sportweddenschappen. Er was dus sprake van een gokzuil. 6 Stuk 97/007 8 Stuk 97/009 7 Stuk 97/004 Kansspelautoriteit Datum 21 november 2013 Ons kenmerk 7970 / 00.019.050 ## 5.2 Onderzoek digitale gegevens 17. De logbestanden van de gokzuil zijn nader onderzocht. 18. Uit het onderzoek van de logbestanden bleek dat op deze gokzuil in de periode vann van € 77.525,50 aan weddenschappen was afgesloten en dat in totaal € 61.329,03 moest worden uitbetaald. Het voor de organisator van de weddenschappen positieve resultaat in deze periode bedraagt derhalve € 16.196,47.9 ## 5.3 Verklaring 19. Op 25 januari 2013 heeft de heer [..] verklaart eigenaar te zijn van de onderneming Call Internet City, een belwinkel/internetcafé. Verder verklaarde hij dat de gokzuil vanaf 15 oktober 2012 in zijn onderneming aanwezig was en dat hij hiervoor € 150,- per maand ontving van de persoon die de gokzuil heeft geplaatst. Ter ondersteuning van deze verklaring heeft de heer [..] een overeenkomst overhandigd die is gesloten met Primebet International Ltd., het bedrijf dat de gokzuil heeft geïnstalleerd.1º Tot slot heeft hij verklaard dat klanten die weddenschappen willen afsluiten hem daarvoor moeten betalen en dat hij geldprijzen tot ongeveer € 500,- zelf uitkeert. Bedragen daarboven worden uitgekeerd door de persoon die de gokzuil heeft geplaatst.11 ## 5.4 Samenvattend 20. Samenvattend kan het volgende worden vastgesteld: 2. In belwinkel/internetcafé Call Internet City stond een gokzuil opgesteld. 3. De gokzuil was geïnstalleerd door Primebet International Ltd., waarmee de eigenaar van Call Internet City een overeenkomst heeft gesloten. 4. Per maand ontving de eigenaar van Call Internet City € 150,- voor de aanwezigheid van de gokzuil. 5. Op de gokzuil kon worden gewed op sportwedstrijden. 6. Uitbetaling van kleinere bedragen geschiedde door de eigenaar van Call 0 Internet City; voor uitbetaling van grotere bedragen werd contact opgenomen met de persoon die de gokzuil heeft geplaatst. 9Stuk 97/010 11 Stuk 97/011 10 Stuk 97/011/003 Kansspelautoriteit Datum 21 november 2013 Ons kenmerk 7970 / 00.019.050 ## 6 Juridische beoordeling ## 6.1 Bevoegdheid van de Kansspelautoriteit 21. Ingevolge artikel 33b van de Wok is de Raad belast met het toezicht op de naleving van de toepasselijke wet- en regelgeving, alsmede de handhaving daarvan. 22. Op grond van artikel 35a van de Wok is de Raad bevoegd tot het opleggen van een bestuurlijke boete wegens overtreding van – onder meer - artikel 30t, eerste lid, van de Wok. ## 6.2 De wettelijke bepalingen 23. Artikel 30t, eerste lid, aanhef en onder c, van de Wok luidt: Het is verboden een of meer speelautomaten, die niet overeenstemmen met het door de raad van bestuur, bedoeld in artikel 33a, toegelaten model daarvan en die niet ten bewijze daarvan zijn voorzien van het ingevolge artikel 30r, eerste lid, met betrekking tot die toelating vastgestelde merkteken: c. aanwezig te hebben op plaatsen als bedoeld in artikel 30b, eerste lid. 2. 24. 3. Artikel 30r, eerste lid, van de Wok luidt: De raad van bestuur, bedoeld in artikel 33a, stelt met betrekking tot iedere toelating van een model de merktekens vast die ingevolge die toelating op Hpe s t t tn n dde afgifte van merktekens en afschriften van de verklaring, houdende toelating. 25. Artikel 30b, eerste lid, van de Wok luidt: Het is verboden, behoudens het in deze Titel bepaalde, zonder vergunning van de burgemeester een of meer kansspelautomaten aanwezig te hebben - a. op of aan de openbare weg; - b. op voor het publiek toegankelijke plaatsen; - c. in niet voor het publiek toegankelijke inrichtingen, waarvoor ingevolge artikel 3 van de Drank- en Horecawet een vergunning voor de uitoefening van het horecabedrijf is vereist of waarvan de ondernemer inschrijfplichtig is bij het Bedrijfschap Horeca. Kansspelautoriteit Datum 21 november 2013 Ons kenmerk 7970 / 00.019.050 Kansspelautoriteit Datum 21 november 2013 Ons kenmerk 7970 / 00.019.050 ## 6.3 De toelating van speelautomaten en de merktekens 26. Bij de toelating van speelautomaten is van belang dat de automaat voorzien wordt van duidelijke, niet voor misverstand vatbare en niet misleidende informatie over het spelverloop en niet beïnvloedbaar is ten nadele van de speler, zie onder meer de artikelen 9, 10 en 12 van het Speelautomatenbesluit 2000. 27. Speelautomaten die op basis van deze vereisten worden toegelaten, worden als bewijs daarvan voorzien van een merkteken. 28. Bin n zen n n n en merkteken, is voor de speler niet gegarandeerd dat het spel eerlijk verloopt en de eventuele winsten uitbetaald worden. 29. Ingr a a r n n art 2011 geldt artikel 30t, eerste lid, van de Wok – en daarmee de hier geschetste achtergrond van deze bepaling, niet alleen voor fysieke speelautomaten (zoals de klassieke fruitautomaat) maar ook voor de virtuele versie van dergelijke ue a g dz zraae: Beslissend zijn m.i. de functionaliteit van de apparatuur en de daarmee in de cafetaria geboden mogelijkheden. Zolang met de internetzuil een fruitmachine werd gesimuleerd was de internetzuil in essentie een fruitmachine, met inbegrip van de faciliteit van directe uitbetaling van gokwinsten door medewerkers van de cafetaria.13 30. Het Gerechtshof Arnhem-Leeuwarden voegde hieraan toe: Het is echter de vraag of voor de uitleg van de begrippen speelautomaat, behendigheidsautomaat en kansspelautomaat uitsluitend de fysieke kenmerken van de apparatuur bepalend zijn. Bij een dergelijke benadering is het immers betrekkelijk eenvoudig om zich aan door de wetgever in het leven geroepen verplichtingen te onttrekken door een apparaat dat in feite de bestemming heeft om gebruikt te worden als kansspelautomaat zodanige fysieke kenmerken te geven dat er ogenschijnlijk geen sprake is van een kansspelautomaat. [.….] Een ruimere, meer functionele uitleg van de vermelde begrippen, waarbij mede gekeken wordt naar de functies die aan een apparaat in feite worden gegeven, ligt daarom meer voor de hand. Die benadering wordt ook ingegeven door het doel en de strekking van de WOK, de regeling van de kansspelen in Titel Va, in het bijzonder in verband met de 12 LJN ECLI:NL:HR:2010:BM3629 en conclusie Procureur-Generaal ECLI:NL:PHR:2010:BM3629, resp. 1313 Overweging 4.4.2 van ECLI: NL:PHR:2010:BM3629. ECLI:NL:HR:2011:BP3968 en conclusie Procureur-Generaal ECLI:NL:PHR:2011:BP3968. gestelde vergunningsvereisten. In een dergelijke uitleg is de bestemming die aa s dt t s t sa d ad die bestemming gericht op het (faciliteren van het) spelen van kansspelen, dan is sprake van een kansspelautomaat.14 ## 6.4 Geen toegelaten speelautomaat, geen merkteken 31. Gelet op hetgeen hiervoor is overwogen was er bij Call Internet City een speelautomaat aanwezig die niet overeenstemt met een door de Raad toegelaten model en die niet was voorzien van een merkteken. 32. Voor speelautomaten als op internet aangesloten gokzuilen zal vooralsnog ook geen sprake kunnen zijn van toelating met een bijbehorend merkteken, aangezien niet kan worden voldaan aan de vereisten uit het Speelautomatenbesluit 2000, waaronder de vereisten die zien op het voorkomen van onmatig speelgedrag en gokverslaving (artikel 12 van het Speelautomatenbesluit 2000).15 ## 6.5 Conclusie 33. Door het aanwezig hebben van een gokzuil (een niet toegelaten model speelautomaat die niet was voorzien van een bijbehorend merkteken) op een voor het publiek toegankelijke plaats, te weten een belwinkel/internetcafé, is artikel 30t, eerste lid, aanhef en onder c, van de Wok overtreden. ## 7Overtreder 34. De eenmanszaak Call Internet City te Leeuwarden wordt geëxploiteerd door de heer [..]. Hij is verantwoordelijk voor de gang van zaken in het internetcafé en alss i r r r r sdng De aanwezigheid van de gokzuil in zijn onderneming is aan hem toe te rekenen. 35. Derhalve is de eigenaar aan te merken als overtreder van artikel 30t, eerste lid, aanhef en onder c, van de Wok. 14 Hof Arnhem-Leeuwarden, 21 mei 2013, parketnummer 21-000176-11. 15 Nota van Toelichting, Stb 2000, 223, pagina 13. En op pagina 16: Naast voorschriften voor het tegengaan van n en on o yn oen d ord odede financiële stromen met betrekking tot kansspelautomaten. ## 8 Bestuurlijke boete ## 8.1 Inleiding 36. De Raad is ingevolge artikel 35a van de Wok bevoegd een boete op te leggen van ten hoogste het bedrag van de zesde categorie (artikel 23 van het Wetboek van Strafrecht) of – indien dit meer is – 10% van de omzet in het boekjaar voorafgaand aan de beschikking. 37. Het bedrag van de zesde categorie bedraagt met ingang van 1 januari 2012 EUR 780.000,-. 38. Bij de vaststelling van de boete houdt de Raad rekening met de ernst van de overtreding en de mate waarin deze aan de overtreder kan worden verweten. Zo nodig houdt de Raad rekening met de omstandigheden waaronder de overtreding is gepleegd (artikel 5:46 van de Algemene wet bestuursrecht). 39. Ingevolge artikel 3.4, tweede lid, van de Algemene wet bestuursrecht neemt de Raad bij het bepalen van de hoogte van de boete het evenredigheidsbeginsel in acht. Op grond van deze bepaling mogen de voor één of meer belanghebbenden nadelige gevolgen van een besluit niet onevenredig zijn in verhouding tot de met het besluit te dienen doelen. Als algemene maatstaf geldt daarbij dat de hoogte van de boete zodanig dient te zijn dat deze de overtreder weerhoudt van nieuwe overtredingen (speciale preventie) en ook in algemene zin voor andere (potentiële) overtreders een afschrikkende werking heeft (generale preventie). 40. In de onderhavige zaak is de Raad van oordeel dat het passend is een boete op te leggen voor de overtreding van artikel 30t, eerste lid, aanhef en onder c, van de Wok. ## 8.2 Verwijtbaarheid 41. Naar het oordeel van de Raad is het de verantwoordelijkheid van de betreffende ondernemer om zich op de hoogte te stellen van de voor hem toepasselijke weten regelgeving en deze na te leven. 42. Dat de eigenaar niet op de hoogte was van de Wok en niet wist dat gokzuilen niet waren toegestaan acht de Raad niet aannemelijk. Maar wat hier van zij, de eien r r er e r ren op de mededelingen van de tussenpersoon dat "alles legaal was."16 16 Stuk 97/011/002, pag. 3. ## 8.3 Ernst en duur van de overtreding 43. De kansspelmarkt is geen gewone economische markt. Omdat financieel gewin knr r sr s s sz dr se deze markt extra gevoelig voor fraude, bedrog en verslaving waarvan de kansspelconsument de dupe kan worden.17 44. kan g ng on stot (grote) financiële problemen bij de speler en van groot effect zijn op diens omgeving. Bij ongereguleerd aanbieden van kansspelen is geen sprake van afdracht van de opbrengsten aan caritatieve, sportieve of culturele doelen, en worden bovendien geen heffingen en belastingen afgedragen. Daarmee hebben deze kansspelaanbieders een negatief effect op reguliere aanbieders – die wel opbrengsten afdragen en heffingen en belasting betalen - en hun financieel beheer daar op afstemmen. De opbrengst van een ongereguleerd kansspel kan eenvoudig worden aangewend voor individueel profijt,19 hetgeen de wijze waarop het kansspel wordt aangeboden, georganiseerd en gespeeld, kan beïnvloeden. 45. De positie van deelnemers aan ongereguleerde kansspelen is niet geregeld.2º Er is geen enkele garantie voor de deelnemer dat het spel op een eerlijke manier gespeeld wordt, het betalingsverkeer veilig verloopt en eventueel gewonnen prijzen ook daadwerkelijk worden uitgekeerd.21 46. In 1999 werd door het Europese Hof van Justitie hierover geoordeeld: Het Hof wees er voorts op, dat loterijen, wegens de grote bedragen die ermee kunnen worden ingezameld en de winsten die zij de deelnemers kunnen bieden, vooral wa z rog en andere vormen van criminaliteit kunnen meebrengen. Zij zijn ook een aansporing tot geldverkwisting, hetgeen schadelijke gevolgen voor het individu en de samenleving kan hebben. Ten slotte, aldus het Hof, mag echter ook niet over het hoofd worden gezien - ofschoon dit op zich geen objectieve rechtvaardiging kan zijn —, dat loterijen in belangrijke mate kunnen bijdragen 17 Zesde voortgangsrapportage kansspelen, 27 januari 2009, pagina 6. 19 Zie het Europese Hof van Justitie, 24 maart 1994, zaak C-275/92, overweging 60. 20 Zie bijvoorbeeld: http://www.kansspelautoriteit.nl/kansspelen/risico'-kansspelen/. Zie ook LJN: AI0977, overweging 3.14: De Wet op de Kansspelen strekt tot bescherming van het publieke belang bij het inperken van fraude en van excessieve goklust. Zie ook LJN: AR4841, overweging 3.3.2, en LJN: BB8297, overweging 6.16. 1a i a n t and n , d1 1t naar schatting 8,7 miljoen recreatieve spelers, 92.000 risicospelers en 20.300 probleemspelers (tabel 6.1). In 2005 ging het naar schatting om 9,6 miljoen recreatieve spelers, 55.000 risicospelers en 28.700 probleemspelers. 21 Rapport Aanpak bestrijding van kansspelen via internet, Ministerie van Justitie, 25 juli 2006. 7970 / 00.019.050 tot de financiering van onbaatzuchtige activiteiten of activiteiten in het algemeen belang, zoals maatschappelijk en caritatief werk, sport en cultuur.22 47. Zoals hiervoor is toegelicht worden speelautomaten als op internet aangesloten gokzuilen of voetbalzuilen niet toegelaten aangezien onvoldoende vorm kan wo h n n men van kansspelverslaving, het beschermen van de consument en het tegengaan van mogelijke fraude en criminaliteit. 48. De Raad kwalificeert het aanwezig hebben van niet tot toelating gemerkte speelautomaten, in casu voor het afsluiten van sportweddenschappen, als zeer ernstig. 49. De Raad stelt vast dat in de periode van 15 oktober 2012 tot en met 20 december 2012 in belwinkel/internetcafé Call Internet City op een niet tot toelating gemerkte speelautomaat (gokzuil) gelegenheid was tot het afsluiten van sportweddenschappen. ## 8.4 Boetevaststelling 50. Gelet op bovenstaande acht de Raad een boete van € 20.000,- passend en geboden. ## 8.5 Boeteverhogende of boeteverlagende omstandigheden 51. Er is niet gebleken van boeteverhogende of boeteverlagende omstandigheden. ## 8.6 Toerekening 52. De overtreding wordt toegerekend aan de eigenaar van belwinkel/internetcafé Call Internet City, de heer [...] te Leeuwarden. 2² C-124/97,overweging 13. Zie ook zaak C-275/92, de zgn. zaak Schindler, waarnaar het Hof in deze uitspraak verwijst, en dan met name overweging 60. ## 9 Besluit De Raad van Bestuur van de Kansspelautoriteit: - a. stelt vast dat de eigenaar van belwinkel/internetcafé Call Internet City, de heer [.…], een overtreding heeft begaan van artikel 30t, eerste lid, aanhef en onder c, van de Wok door het aanwezig hebben van een speelautomaat (gokzuil) van een niet toegelaten model en niet voorzien van een bijbehorend merkteken, op een voor het publiek toegankelijke plaats, te weten een belwinkel/internetcafé; - b. legt aan de eigenaar een boete op van € 20.000,-. 's-Gravenhage, 21 november 2013 De Raad van Bestuur van de Kansspelautoriteit w.g. - J.J.H. Suyver ## Bezwaar Tegen dit besluit kan degene wiens belang rechtstreeks bij dit besluit is betrokken, binnen zes weken na de dag van bekendmaking van dit besluit een gemotiveerd bezwaarschrift [...]</t>
  </si>
  <si>
    <t>KSA__https___kansspelautoriteit.nl_sites_default_files_20230228_01-285-044_lod_openbare_versie_beveiligd.txt::Ontvanger</t>
  </si>
  <si>
    <t>de minister van Economische Zaken, Landbouw en Innovatie [45334:45390]</t>
  </si>
  <si>
    <t>KSA__https___kansspelautoriteit.nl_sites_default_files_20230228_01-285-044_lod_openbare_versie_beveiligd.txt</t>
  </si>
  <si>
    <t>overtreder</t>
  </si>
  <si>
    <t>Winning Poker Network</t>
  </si>
  <si>
    <t>winning poker network</t>
  </si>
  <si>
    <t>overtreder [21462:21472]</t>
  </si>
  <si>
    <t>Winning Poker Network [313:334]</t>
  </si>
  <si>
    <t>[...] ng. Na s t n z n en afschrift van de vergunning in de betrokken locatie aanwezig. Van het verlenen van deze vergunning wordt mededeling gedaan door plaatsing in de Staatscourant. 's-Gravenhage, 10 mei 2011 de minister van Economische Zaken, Landbouw en Innovatie, namens deze: 1 1 MEI 2011 drs. M Verzandvoort &lt;!-- image --&gt;</t>
  </si>
  <si>
    <t>ANVS__PUC_4207_32_1.txt::Rechtshandeling</t>
  </si>
  <si>
    <t>gewijzigd [1007:1016]</t>
  </si>
  <si>
    <t>[...] 1 (gerechtvaardigde handelingen en werkzaamheden) van de Regeling bekendmaking rechtvaardiging gebruik van ioniserende straling. ## BESLUIT: D i i i gewijzigd d.d. 28 mei 2010, onder nr. 2010/1000-05 wordt gewijzigd, zodat deze thans luidt als volgt: Aan de Stichting Amphia Ziekenhuis, Molengracht 21 te Breda, wordt vergunning verleend voor: - het verrichten van handelingen met radioactieve stoffen; - het verrichten van hand [...]</t>
  </si>
  <si>
    <t>ANVS__PUC_4207_32_1.txt::Rechtsobject</t>
  </si>
  <si>
    <t>vergunning [1122:1133]</t>
  </si>
  <si>
    <t>vergunning [280:290]</t>
  </si>
  <si>
    <t>[...] MINISTER VAN ECONOMISCHE ZAKEN, LANDBOUW EN INNOVATIE Gezien de aanvraag d.d. 22 februari 2011 en de daarop aanvullende informatie d.d. 26 april 2011, van de Stichting Amphia Ziekenhuis te Breda, om wijziging van een vergunning als bedoeld in artikel 29 van de Kernenergiewet en als bedoeld in hoofdstuk 4, artikel 23, van het Besluit stralingsbescherming; Gelet op de artikelen 29-31 en 34 van de Kernenergiewet en het bepaalde in hoofdstuk 4 van het Besluit stralingsbescherming; Gelet op de d.d. 14 augustus 2000, onder nr. 2000/21704, AI/CK/B/KEW, verleende vergunning, laatstelijk gewijzigd d.d. 28 mei 2010, onder nr. 2010/1000-05; Overwegende, dat de in de aanvraag bedoelde handelingen voorkomen in bijlage 1 (gerechtvaardigde handelingen en werkzaamheden) van de Regeling bekendmaking rechtvaardiging gebruik van ioniserende straling. ## BESLUIT: D i i i gewijzigd d.d. 28 mei 2010, onder nr. 2010/1000-05 wordt gewijzigd, zodat deze thans luidt als volgt: Aan de Stichting Amphia Ziekenhuis, Molengracht 21 te Breda, wordt vergunning verleend voor: - het verrichten van handelingen met radioactieve stoffen; - het verrichten van handelingen met ioniserende straling uitzendende toestellen. ## In deze vergunning wordt verstaan onder: - Locatie [...]</t>
  </si>
  <si>
    <t>ANVS__PUC_5471_32_1.txt::Ontvanger</t>
  </si>
  <si>
    <t>ANVS__PUC_5471_32_1.txt</t>
  </si>
  <si>
    <t>SGS Belgium NV</t>
  </si>
  <si>
    <t>sgs belgium nv</t>
  </si>
  <si>
    <t>SGS Belgium NV [434:448]</t>
  </si>
  <si>
    <t>[...] ERGUNNING VERLEEND AAN SGS BELGIUM NV VOOR HET INVOEREN, VERVOEREN EN UITVOEREN VAN ONBESTRAALD VERARMD URANIUM ## Verleend door: DE MINISTER VAN ECONOMISCHE ZAKEN. ## 1. Het besluit ## 1.1 Vergunning Aan SGS Belgium NV gevestigd te Antwerpen, België wordt, krachtens artikel 15 onder a van de Kernenergiewet, juncto artikel 2, eerste lid en artikel 23, eerste lid van het Besluit vervoer splijtstoffen, ertsen en radioactieve stoffen verg [...]</t>
  </si>
  <si>
    <t>ANVS__PUC_5471_32_1.txt::Besluitvormend Orgaan</t>
  </si>
  <si>
    <t>[...] 35 van de Wet op de kansspelen. Kenmerk besluit: 14777/01.282.739 Openbaarmaking onder kenmerk: 14777/01.285.044 ## Besluit ## Samenvatting De raad van bestuur van de Kansspelautoriteit heeft vastgesteld dat Winning Poker Network door middel van de website www.truepoker.eu gelegenheid geeft tot deelname aan een kansspel, terwijl voor dat laatstgenoemde aanbod geen vergunning is afgegeven op grond van de Wet op de kansspelen. Daarmee handelt Winning Poker Network in strijd met de artikel 1, eerste lid, aanhef en onder a, van de Wet op de kansspelen. De raad van bestuur van de Kansspelautoriteit draagt Winning Poker Network op het aanbieden van kansspelen waarvoor geen vergunning ingevolge de Wet op de kansspelen is verleend, te staken en gestaakt te houden door middel van het opleggen van een last onder dwangsom. ## 1 Inleiding 1. De raad van bestuur van de Kansspelautoriteit (hierna: de Kansspelautoriteit) is belast met het toezicht op de naleving van het bepaalde in de Wet op de kansspelen (hierna: Wok). In de Wok is onder andere bepaald dat het in Nederland verboden is gelegenheid te geven om mede te dingen naar prijzen of premies, indien de aanwijzing der winnaars geschiedt door enige kansbepaling waarop de deelnemers in het algemeen geen overwegende invloed kunnen uitoefenen, tenzij daarvoor ingevolge de Wok vergunning is verleend (artikel 1, eerste lid, aanhef en onder a Wok). Daarnaast is het ingevolge artikel 1, eerste lid, aanhef en onder b, van de Wok eveneens verboden de deelneming aan een &lt;!-- image --&gt; Kansspelautoriteit OPENBAAR &lt;!-- image --&gt; Kansspelautoriteit 28 februari 2023 Kenmerk 14777/01.285.044 kansspel, waarvoor geen vergunning is verleend, te bevorderen. 2. Sinds 1 april 2021 is het mogelijk om bij de Kansspelautoriteit een vergunning aan te vragen voor het aanbieden van kansspelen op afstand. 1 Met het verlenen van vergunningen voor kansspelen op afstand is toezicht op een verantwoord, betrouwbaar en controleerbaar aanbod mogelijk. De Kansspelautoriteit acht het aanbieden van kansspelen op afstand zonder daartoe strekkende vergunning zeer ernstig. 2 De doelstellingen van het kansspelbeleid, wetende het voorkomen van kansspelverslaving, het beschermen van de consument en het tegengaan van mogelijke fraude en criminaliteit, worden door het zonder vergunning aanbieden van kansspelen op afstand omzeild. De kansspelsector is immers geen gewone economische sector maar extra gevoelig voor fraude, bedrog en verslaving waarvan de consument de dupe kan worden. Deelnemers aan dergelijke kansspelen lopen daarbij risico's omdat er geen garantie is dat het spel betrouwbaar is, het betalingsverkeer veilig verloopt en gewonnen prijzen daadwerkelijk worden uitgekeerd. 3. Handhaving door de Kansspelautoriteit jegens illegale aanbieders van kansspelen op afstand is herhaaldelijk rechterlijk getoetst en door meerdere rechters en in verschillende instanties rechtmatig bevonden. ## 2 Juridisch kader 4. Op grond van artikel 1, eerste lid, aanhef en onder a, van de Wok is het verboden om gelegenheid te geven tot deelname aan een kansspel waarvoor geen vergunning ingevolge de Wok is verleend. 5. Op grond van artikel 33b van de Wok heeft de Kansspelautoriteit onder meer tot taak het toezicht op de naleving van de toepasselijke wet- en regelgeving en de vergunningen, alsmede de handhaving daarvan. 1 Kansspelen op afstand zijn kansspelen waaraan de speler met elektronische communicatiemiddelen en zonder fysiek contact met (het personeel van) de organisator van de kansspelen, of een derde die ten behoeve van de deelname aan de kansspelen een ruimte en middelen ter beschikking stelt, deelneemt. 2 Alle sanctiebesluiten zijn te vinden op http://www.kansspelautoriteit.nl. OPENBAAR &lt;!-- image --&gt; Kansspelautoriteit 28 februari 2023 Kenmerk 14777/01.285.044 6. De Kansspelautoriteit is op grond van artikel 35 van de Wok bevoegd tot het opleggen van een last onder bestuursdwang wegens overtreding van de voorschriften van de Wok. Artikel 5:32, eerste lid van de Algemene wet bestuursrecht (hierna: Awb) bepaalt dat een bestuursorgaan dat bevoegd is een last onder bestuursdwang op te leggen, in plaats daarvan aan de overtreder een last onder dwangsom kan opleggen. ## 3 Bevindingen onderzoek ## Aanbod van kansspelen zonder vergunning 7. Op 19 en 20 september 2022 en op 14 november 2022 heeft een toezichthouder van de Kansspelautoriteit (hierna: toezichthouder) de website www.americascardroom.eu (hierna: de website) onderzocht. De toezichthouder heeft onderzocht of er gelegenheid werd gegeven om vanuit Nederland deel te nemen aan kansspelen. 8. Uit het onderzoek is gebleken dat het mogelijk is om vanuit Nederland een spelersaccount aan te maken, een storting te verrichten en deel te nemen aan kansspelen. Er zijn geen technische maatregelen genomen om deelnemers vanuit Nederland de toegang tot de kansspelen te beletten. ## Registratie 9. Op 19 september 2022 heeft een toezichthouder zich vanuit Nederland (met een Nederlands IP-adres) geregistreerd als nieuwe speler op de website. De toezichthouder heeft met een emailadres van de Kansspelautoriteit en andere benodigde gegevens zoals een gebruikersnaam en wachtwoord een spelersaccount aangemaakt. Tijdens het aanmaken van het spelersaccount diende de toezichthouder het account te verifiëren door middel van een verificatiecode die naar het opgegeven emailadres werd verzonden. De toezichthouder heeft vervolgens de gevraagde gegevens zoals de volledige naam, het land van herkomst, telefoonnummer, geboortedatum, geslacht en adresgegevens ingevuld en het registratieproces daarmee voltooid. Nederland stond als optie weergegeven in de lijst met beschikbare landen. 3 3 Bijlage 14777/01.274.440/01 Registratie. OPENBAAR &lt;!-- image --&gt; Kansspelautoriteit 28 februari 2023 Kenmerk 14777/01.285.044 10. Bij de registratie is gebruik gemaakt van de bevoegdheid als bedoeld in artikel 34c van de Wok. 4 ## Storting 11. Op 19 september 2022 heeft een toezichthouder een storting verricht op de website. De toezichthouder heeft de betaalmethode creditcard als betaaloptie geselecteerd. Na het selecteren van de betaalmethode diende de toezichthouder de kaartgegevens in te vullen. De adresgegevens waren al automatisch ingevuld. Vervolgens werd de toezichthouder naar de volgende stap doorgeleid, namelijk het invoeren van het stortingsbedrag. Het minimale stortingsbedrag bedroeg $25,00. De toezichthouder heeft het minimale stortingsbedrag van $25,00 ingevoerd en vervolgens op storten geklikt. De storting was hiermee voltooid. Vervolgens ging de toezichthouder terug naar het scherm waar de accountgegevens waren weergegeven. Het gestorte bedrag van $25,00 was op de balans terug te lezen. 5 12. De instructies over de betaling waren in de Engelse taal. 6 ## Deelname aan kansspelen 13. Op 19 september 2022 heeft een toezichthouder onderzocht of er vanuit Nederland kan worden deelgenomen aan kansspelen op de website. 14. De toezichthouder heeft een spel nader onderzocht, te weten 'Three Card Poker' (hierna: het spel). Hieruit bleek dat het spel de weergave had van een virtuele versie van het casinospel poker als genoemd in artikel 4, eerste lid, in de Beschikking Casinospelen 1996. 7 15. De toezichthouder zag dat er vier verschillende categorieën van spellen werden weergegeven namelijk Sports, Casino Table Games, Live Dealer BlackJack en Slot Machines. De toezichthouder heeft vervolgens op de categorie Slot Machines geklikt. Rechtsboven op het scherm was de balans weergegeven. Deze was opgesplitst in twee soorten balansen, namelijk de casinobalans en de 4 Bijlage 14777/01.285.321 Verslaglegging valse identiteitsgegevens. 5 Bijlage 14777/01.274.440/02 Storten. 6 Bijlage 14777/01.274.440/02 Storten. 7 Stcrnt , 1996, 92. OPENBAAR &lt;!-- image --&gt; Kansspelautoriteit 28 februari 2023 Kenmerk 14777/01.285.044 pokerbalans. De casinobalans bedroeg $0,00 en de pokerbalans stond op $25,00. Om onbekende reden was het gestorte bedrag automatisch op de pokerbalans gestort en niet op de casinobalans. Het was niet mogelijk om slots te spelen terwijl de casinobalans $0,00 bedroeg. Vervolgens is de toezichthouder terug gegaan naar de instant play pagina om voor de categorie 'Casino Table Games' te kiezen. Binnen deze categorie waren meerdere soorten spellen weergeven. De toezichthouder koos ervoor om het spel Three Card Poker te spelen. 8 Er werd gevraagd om het gestorte bedrag van $25,00 te gebruiken als credits. De toezichthouder heeft dit vervolgens bevestigd. De toezichthouder speelde vervolgens met de laagst mogelijke inzet, namelijk $1,00. Nadat de spelronde voorbij was, zag de toezichthouder dat de pokerbalans van $25,00 naar $27,00 was opgehoogd. 9 16. Op 14 november 2022 heeft de toezichthouder met het beschikbare tegoed op het bestaande spelersaccount nogmaals deelgenomen aan het spel. Hieruit bleek dat het nog steeds mogelijk was om vanuit Nederland deel te nemen aan een kansspel op de website. 10 17. Naast deelname aan een kansspel bleek het gelegenheid geven tot het mededingen naar prijzen of premies uit art. 2.4.1 van de Security en game integrity policy waarin voorwaarden gegeven worden voor het winnen van prijzen bij uitsluiting van andere spelers in Multi-Table Tournaments. 11 ## Hercontrole 18. Op 10 januari 2023 heeft een toezichthouder van de Kansspelautoriteit (hierna: toezichthouder) een hercontrole uitgevoerd op de website www.americascardroom.eu. De toezichthouder heeft onderzocht of er gelegenheid werd gegeven om vanuit Nederland deel te nemen aan kansspelen. 19. Uit het onderzoek is gebleken dat inloggen met het bestaande account van de Kansspelautoriteit wel mogelijk is, maar dat het vanuit Nederland niet mogelijk is om deel te nemen aan kansspelen op deze website. 12 Daarom heeft een 8 Bijlage 14777/01.274.440/03 Spelen. 9 Bijlage 14777/01.274.440/03 Spelen. 10 Bijlage 14777/01.274.440/11 Spelen november. 11 Bijlage 14777/01.274.440/07 Security and Game Integrity policy. 12 Bijlage 14777/01.281.807/01 Hercontrole Americascardroom. OPENBAAR &lt;!-- image --&gt; Kansspelautoriteit 28 februari 2023 Kenmerk 14777/01.285.044 toezichthouder op 10 en 17 januari 2023 één van de overige websites van de aanbieder genaamd www.truepoker.eu onderzocht. 20. Uit het onderzoek is gebleken dat het op www.truepoker.eu mogelijk is om vanuit Nederland een spelersaccount aan te maken, een storting te verrichten en deel te nemen aan kansspelen. Er zijn geen technische maatregelen genomen om deelnemers vanuit Nederland de toegang tot de kansspelen te beletten. ## Registratie 21. Op 10 januari 2023 heeft een toezichthouder zich vanuit Nederland (met een Nederlands IP-adres) geregistreerd als nieuwe speler op de website, nadat bleek dat het niet mogelijk was om met het bestaande account van www.americascardroom.eu in te loggen op www.truepoker.eu. De toezichthouder heeft met een e-mailadres van de Kansspelautoriteit en andere benodigde gegevens zoals een gebruikersnaam en wachtwoord een spelersaccount aangemaakt. Tijdens het aanmaken van het spelersaccount diende de toezichthouder het account te verifiëren door middel van een verificatiecode die naar het opgegeven emailadres werd verzonden. De toezichthouder heeft de gevraagde gegevens zoals de volledige naam, het land van herkomst, telefoonnummer, geboortedatum, geslacht en adresgegevens ingevuld en het registratieproces daarmee voltooid. 13 22. Bij de registratie is gebruik gemaakt van de bevoegdheid als bedoeld in artikel 34c van de Wok. 14 ## Storting 23. Op 10 januari 2023 heeft een toezichthouder een storting verricht op de website. De toezichthouder heeft de betaalmethode crypto (bitcoin) als betaaloptie geselecteerd. De toezichthouder heeft met behulp van de eWallet Exodus applicatie een storting uitgevoerd met crypto. Er is vanuit het cryptoaccount van de Kansspelautoriteit een minimaal stortingsbedrag van $10,00 op de spelersrekening gestort. Het gestorte bedrag van $10,00 was op de balans terug te lezen als $9,99 in verband met de op dat moment geldende bitcoin koers. 13 Bijlage 14777/01.281.807/02 Hercontrole truepoker, p.1-p.15. 14 Bijlage 14777/01.285.045 Verslaglegging valse identiteitsgegevens. OPENBAAR 24. De instructies over de betaling waren in de Engelse taal. ## Deelname aan kansspelen 25. Op 10 januari 2023 heeft een toezichthouder onderzocht of er vanuit Nederland kan worden deelgenomen aan kansspelen op de website. 26. De toezichthouder heeft een spel nader onderzocht, te weten 'Three Card Poker' (hierna: het spel). Hieruit bleek dat het spel de weergave had van een virtuele versie van het casinospel poker als genoemd in artikel 4, eerste lid, in de Beschikking Casinospelen 1996. 15 27. De toezichthouder heeft op de instant play pagina voor de categorie 'Casino Table Games' gekozen. Binnen deze categorie waren meerdere soorten spellen weergeven. De toezichthouder koos ervoor om het spel Three Card Poker te spelen. Er werd gevraagd om het gestorte bedrag van $9,99 te gebruiken als credits. De toezichthouder heeft dit vervolgens bevestigd. De toezichthouder speelde het spel vervolgens met een inzet van $2,00. Nadat de spelronde voorbij was, zag de toezichthouder dat de balans van $9,99 naar $7,99 was verlaagd. 16 28. Naast het feit dat er geen technische maatregelen zijn genomen om deelname vanuit Nederland aan de kansspelen te beletten heeft de toezichthouder andere kenmerken aangetroffen waaruit (in onderlinge samenhang bezien) blijkt dat de website (mede) gericht is op de Nederlandse markt. Deze kenmerken zijn, naast de overige bevindingen van het onderzoek, verwerkt in onderstaand overzicht. ## Overzicht onderzoek overtreding 29. Hieronder volgt een schematisch overzicht van de bevindingen van het onderzoek van de toezichthouder naar het vanuit Nederland deelnemen aan kansspelen op de website. 15 Stcrnt , 1996, 92. 16 Bijlage 14777/01.281.807/02 Hercontrole truepoker, p.23-p.30. &lt;!-- image --&gt; Kansspelautoriteit 28 februari 2023 Kenmerk 14777/01.285.044 OPENBAAR &lt;!-- image --&gt; ## Kansspelautoriteit ## Kansspelautoriteit 28 februari 2023 Kenmerk 14777/01.285.044 | Onderzoek | Onderzoek | Bijlage | Opmerkingen | |-----------------------------------------------------------------------------------|------------------|-----------------------------------------------------------------------------------------------------------------------|---------------| | A. Website vanuit | 01.282.739/01/02 | | | | Aanmaken account, storten deelnemen aan een kansspel | 01.281.807/02 | Hercontrole Truepoker. | B. en | | C. Informatie over prijzen/winsten | 01.282.739/09 | Pagina die betrekking heeft op de uitbetaling van winsten aan spelers. | | | Website bevat Nederlandse of de Engelse taal | 01.282.739/02/08 | (02) De website is volledig in de Engelse taal. (08) Nederlands is geen optie in het talenmenu. | D. | | Betaalmethode iDEAL of andere betaalmethode die doorgeleidt naar Nederlandse bank | 01.281.807/02 | Er is vanuit een Nederlandse bankrekening geld op de eWallet van het cryptoaccount van de Kansspelautoriteit gestort. | E. | | F. Nederland is niet benoemd uitgesloten land in de T&amp;C | | 01.282.739/02/03 Nederland staat niet benoemd als uitgesloten land in artikel 14 van de T&amp;C. | als | ## Overtreder 30. Voor het hiervoor beschreven kansspelaanbod wordt Winning Poker Network (hierna: overtreder) verantwoordelijk gehouden. In de 'WPN Manifesto'' sectie van de website wordt Winning Poker Network als eigenaar en beheerder van de website genoemd. Op grond hiervan wordt deze onderneming als overtreder aangemerkt. 17 Daarnaast wordt WPN onderaan de homepage vermeld. 18 17 Bijlage 14777/01.282.739/07 About WPN. 18 Bijlage 14777/01.282.739/02 Homepage. OPENBAAR &lt;!-- image --&gt; Kansspelautoriteit 28 februari 2023 Kenmerk 14777/01.285.044 31. Overtreder is niet in het bezit van een vergunning voor het aanbieden van online kansspelen in Nederland. 19 ## 4 Overtreding van de Wet op de kansspelen 32. Op grond van het voorgaande staat naar het oordeel van de Kansspelautoriteit vast dat overtreder gelegenheid geeft tot deelname aan een kansspel waarvoor geen vergunning is verleend. 33. Op grond van het voorgaande stelt de Kansspelautoriteit vast dat overtreder artikel 1, eerste lid, aanhef en onder a, van de Wok heeft overtreden. ## 5 Zienswijze ## Procedureel 34. In de brief van 28 november 2022 heeft de Kansspelautoriteit het voornemen tot het opleggen van een last onder dwangsom kenbaar gemaakt aan overtreder. 20 Hiermee is de gelegenheid geboden om binnen twee weken na dagtekening van de brief een zienswijze, mondeling of schriftelijk, te geven op het voornemen. 35. In reactie op het voornemen tot het opleggen van een last onder dwangsom is op 12 december 2022 namens overtreder per email aan de Kansspelautoriteit medegedeeld dat de mogelijkheid om vanuit Nederland te spelen op www.amerciascardroom.eu in de avond van 12 december 2022, Costa Ricaanse tijd gestaakt zal worden. ## 6 Overwegingen tot oplegging last 36. Handhavend optreden tegen aanbieders van kansspelen waarvoor geen vergunning is verleend is noodzakelijk om de overtreding te doen beëindigen, en beëindigd te houden, en de zwaarwegende belangen van de Wok zoals hierboven 19 Een overzicht van alle vergunninghouders is te vinden op https://kansspelautoriteit.nl. 20 Bijlage 14777/01.278.190 Begeleidende brief. OPENBAAR &lt;!-- image --&gt; Kansspelautoriteit 28 februari 2023 Kenmerk 14777/01.285.044 vermeld, te beschermen. Naast het opleggen van boetes, kan de Kansspelautoriteit ook handhaven door middel van het opleggen van een last onder dwangsom. 37. Met het oog op het evenredigheidsbeginsel van artikel 3:4, tweede lid, van de Awb is de Kansspelautoriteit van oordeel dat de belangen van overtreder derhalve niet onevenredig worden geschaad door dit besluit en het daarmee gediende belang. Zij verwijst daarvoor naar de overwegingen in paragrafen 5 en 6. ## 7 Hoogte dwangsom en begunstigingstermijn 38. Zoals in dit besluit toegelicht is handhaving van de regels in de kansspelsector en voorkomen van illegaal kansspelaanbod noodzakelijk. De kansspelsector is extra gevoelig voor fraude, bedrog en verslaving waarvan de consument de dupe kan worden. Het zijn deze te beschermen - en in beginsel geschonden belangen die de Kansspelautoriteit heeft meegewogen bij de vaststelling van de hoogte van de dwangsom en de begunstigingstermijn. ## Hoogte dwangsom 39. Ten aanzien van de hoogte van de dwangsom, bepaalt artikel 5:32b, derde lid van de Awb dat de hoogte ervan in redelijke verhouding dient te staan tot de zwaarte van het geschonden belang en tot de beoogde werking van de dwangsom. Daarnaast moet van de hoogte van de dwangsom voldoende (financiële) prikkel uitgaan voor de overtreder om de overtreding te beëindigen. 40. Bij de vaststelling van de hoogte van de dwangsom heeft de Kansspelautoriteit acht geslagen op het feit dat de opbrengst van het aanbieden van kansspelen online per dag hoog kunnen zijn. 41. De Kansspelautoriteit weegt de belangen van verslavingspreventie, kwetsbare groepen, zoals minderjarigen, een betrouwbaar spelaanbod, veilig betalingsverkeer en het tegengaan van illegaliteit en criminaliteit, mee bij de vaststelling van de hoogte van de dwangsom. OPENBAAR ## Begunstigingstermijn 42. Volgens vaste jurisprudentie van de Afdeling bestuursrechtspraak van de Raad van State 21 geldt bij het bepalen van de lengte van de begunstigingstermijn als uitgangspunt dat deze termijn niet wezenlijk langer mag worden gesteld dan noodzakelijk is om de overtreding te kunnen opheffen. Een begunstigingstermijn mag ook niet wezenlijk korter worden gesteld dan noodzakelijk is om de overtreding te kunnen opheffen. 43. De Kansspelautoriteit houdt bij de vaststelling van de begunstigingstermijn rekening met het feit dat de gelegenheid om vanuit Nederland deel te nemen aan kansspelen op afstand zeer snel kan worden beëindigd. 44. Dit is onder andere gebleken uit het feit dat diverse illegale aanbieders eind september 2021 naar aanleiding van het nieuwe handhavingsbeleid van de Kansspelautoriteit 22 binnen enkele dagen het aanbod aan Nederlandse consumenten hebben gestaakt. ## 8 Besluit 45. De Kansspelautoriteit legt aan overtreder de volgende last onder dwangsom op: - a. Overtreder wordt op straffe van verbeurte van een dwangsom gelast uiterlijk binnen twee weken na dagtekening van dit besluit de overtreding(en) van artikel 1, eerste lid, onder [...]</t>
  </si>
  <si>
    <t>KSA__https___kansspelautoriteit.nl_sites_default_files_last_onder_dwangsom_cafe_restaurant_de_kruik.txt::Ontvanger</t>
  </si>
  <si>
    <t>De Minister van Economische Zaken [26577:26610]</t>
  </si>
  <si>
    <t>KSA__https___kansspelautoriteit.nl_sites_default_files_last_onder_dwangsom_cafe_restaurant_de_kruik.txt</t>
  </si>
  <si>
    <t>betrokkene</t>
  </si>
  <si>
    <t>(persoon 1)</t>
  </si>
  <si>
    <t>betrokkene [10065:10076]</t>
  </si>
  <si>
    <t>(persoon 1) [237:248]</t>
  </si>
  <si>
    <t>[...] e nemen principes ter zake van stralingsbescherming is voldaan. ## 5. Ondertekening &lt;!-- image --&gt; Den Haag, en Stralingsbescherming drs. A.E.M. Niedei sectorhoofd directie Autoriteit Nucleaire Veiligheid De Minister van Economische Zaken, namens deze: Voor nadere informatie over dit besluit kunt u terecht bij de hierboven genoemde contactpersoon. Op grond van de Algemene wet bestuursrecht kunnen belanghebbenden een bezwaarschrift indienen tegen dit b [...]</t>
  </si>
  <si>
    <t>ANVS__PUC_5471_32_1.txt::Rechtshandeling</t>
  </si>
  <si>
    <t>verleend [675:684]</t>
  </si>
  <si>
    <t>verleend [675:683]</t>
  </si>
  <si>
    <t>[...] igd te Antwerpen, België wordt, krachtens artikel 15 onder a van de Kernenergiewet, juncto artikel 2, eerste lid en artikel 23, eerste lid van het Besluit vervoer splijtstoffen, ertsen en radioactieve stoffen vergunning verleend voor: Het binnen Nederlands grondgebied (doen) brengen en het aansluitend vervoeren over Nederlands grondgebied, of het vervoeren over Nederlands grondgebied en het aansluitend buiten Nederlands grondgebied (doen) bre [...]</t>
  </si>
  <si>
    <t>ANVS__PUC_5471_32_1.txt::Rechtsobject</t>
  </si>
  <si>
    <t>vergunning [664:675]</t>
  </si>
  <si>
    <t>vergunning [664:674]</t>
  </si>
  <si>
    <t>[...] m NV gevestigd te Antwerpen, België wordt, krachtens artikel 15 onder a van de Kernenergiewet, juncto artikel 2, eerste lid en artikel 23, eerste lid van het Besluit vervoer splijtstoffen, ertsen en radioactieve stoffen vergunning verleend voor: Het binnen Nederlands grondgebied (doen) brengen en het aansluitend vervoeren over Nederlands grondgebied, of het vervoeren over Nederlands grondgebied en het aansluitend buiten Nederlands grondgebied ( [...]</t>
  </si>
  <si>
    <t>ANVS__PUC_5825_32_1.txt::Ontvanger</t>
  </si>
  <si>
    <t>Stichting Alrijne Zorggroep</t>
  </si>
  <si>
    <t>stichting alrijne zorggroep</t>
  </si>
  <si>
    <t>Stichting Alrijne Zorggroep [541:568]</t>
  </si>
  <si>
    <t>[...] -- image --&gt; Besluit van de Raad van Bestuur van de Kansspelautoriteit als bedoeld in artikel 35 van de Wet op de kansspelen. Kenmerk:01.035.726 ## Samenvatting 1. De Kansspelautoriteit heeft vastgesteld dat (persoon 1) (hierna: betrokkene) speelautomaten heeft geëxploiteerd en casinospelen heeft aangeboden terwijl voor dat aanbod geen geldige vergunning is afgegeven op grond van de Wet op de a e ( lk Kansspelautoriteit draagt betrokkene op de exploitatie van speelautomaten en het aanbieden van casinospelen waarvoor geen vergunning ingevolge de Wok is verleend, te staken en gestaakt te houden, door middel van het opleggen van een last onder dwangsom. ## Handhaving van de Wet op de kansspelen 2. Op grond van artikel 34 en verder van de Wok is de Kansspelautoriteit belast met het toezicht op en de handhaving van het bepaalde bij of krachtens de Wok. 3. Artikel 35 van de Wok bepaalt dat de raad van bestuur van de Kansspelautoriteit (hierna: de raad van bestuur) een last onder bestuursdwang kan opleggen wegens overtreding van de voorschriften vastgesteld bij of krachtens de Wok, met uitzondering van titel VA., paragraaf 2 van de Wok. 4. Artikel 5:32, eerste lid van de Algemene wet bestuursrecht (hierna: Awb) bepaalt dat een bestuursorgaan dat bevoegd is een last onder bestuursdwang op te leggen, in plaats daarvan aan de overtreder een last onder dwangsom kan opleggen. ## Besluit ## Juridisch kader 5. Op grond van artikel 1, eerste lid, aanhef en onder a, van de Wok is het behoudens het in Titel Va van deze wet bepaalde verboden gelegenheid te geven om mede te dingen naar prijzen of premies, indien de aanwijzing der winnaars geschiedt door enige kansbepaling waarop de deelnemers in het algemeen geen overwegende invloed kunnen uitoefenen, tenzij daarvoor ingevolge deze wet vergunning is verleend. 6. Op grond van artikel 30h, eerste lid van de Wok is het verboden om zonder vergunning van de raad van bestuur van de Ksa één of meerdere speelautomaten te exploiteren. De Wok verstaat onder exploiteren: het bedrijfsmatig en als eigenaar gebruiken of aan een ander in gebruik geven van één of meer speelautomaten. 7. Op grond van artikel 30t, eerste lid, onder b, van de Wok is het verboden om één of meer speelautomaten, die niet overeenstemmen met het door de raad van bestuur van de Ksa toegelaten model daarvan en die niet ten bewijze daarvan zijn voorzien van het ingevolge artikel 30r, eerste lid, met betrekking tot die toelating vastgestelde merkteken, te exploiteren. ## Bevindingen 8. Twee toezichthouders van de Kansspelautoriteit hebben op 28 september 2017 in de onderneming van betrokkene, café restaurant De Kruik, Kaaistraat 7 te 4401 CH Yer a an an an nt zijn. Hiervoor is aan betrokkene geen geldige vergunning afgegeven. Deze spen s o ar n r en z an de Kansspelautoriteit. 9. Op 9 oktober 2017 is uit nader onderzoek aan deze speelautomaten, dat is uitgevoerd oe et e e en: 3. Beide speelautomaten zijn te kwalificeren als kansspelautomaten, zoals bedoeld in artikel 30, onder c, van de Wok; 4. Beide kansspelautomaten stemmen niet overeen met een door de raad van bestuur van de Kansspelautoriteit toegelaten model daarvan; &lt;!-- image --&gt; Kansspelautoriteit 2 juli 2018 01.035.726 &lt;!-- image --&gt; - Beide kansspelautomaten zijn niet voorzien van een, ingevolge artikel 30r, eerste lid, van de Wok, vastgesteld merkteken. 10. Op 1 maart 2018 heeft betrokkene vrijwillig afstand gedaan van de twee speelautomaten (zie afstandsverklaring met kenmerk 01.025.957). - Itt t t it tt tt t att ontvangen van de Landelijk coördinator onderzoeken kansspelbelasting van de Belastingdienst. De informatie betrof de waarneming van een medewerker van de Belastingdienst op zaterdagavond 24 februari 2018, dat in café restaurant De Kruik te Yerseke onder andere de casinospelen roulette, blackjack en barbut werden aangeboden. 12. De toezichthouder van de Kansspelautoriteit heeft op 30 mei 2018 op de Facebooksite va a a n ainn a n dike 'casinoavond' ook op 17 november 2017 zou hebben plaatsgevonden. ## Overtreding van de Wet op de kansspelen 13. Op grond van de voorgaande staat naar het oordeel van de Kansspelautoriteit vast dat betrokkene speelautomaten exploiteerde zonder dat hij hiervoor beschikte over een ve n v vn ven n vdgn Kansspelautoriteit. 14. Voorts staat volgens de Kansspelautoriteit vast dat is geëxploiteerd met speelautomaten die niet overeenstemmen met een door de raad van bestuur van de Kansspelautoriteit toegelaten model daarvan en die niet ten bewijze daarvan zijn voorzien van het ingevolge artikel 30r, eerste lid, van de Wok met betrekking tot die toelating vastgestelde merkteken. 15. Op grond van het voorgaande stelt de Kansspelautoriteit vast dat betrokkene artikel 30h, eerste lid, van de Wok en artikel 30t, eerste lid, onder b, van de Wok heeft overtreden. 4. dot t t t st t ot o tiet casinospelen zonder vergunning zijn aangeboden. 17. Hiermee overtreedt betrokkene artikel 1, eerste lid, aanhef en onder a, van de Wok. ## Zienswijze - tf o o het opleggen van een last onder dwangsom.¹ Daarbij is betrokkene in de gelegenheid gesteld om binnen twee weken na dagtekening van die brief zijn zienswijze in te brengen over dat voornemen. - I it t t c t i cht 20. Samengevat luidt de zienswijze als volgt: - De twee in café de Kruik gegeven casino avonden zijn door een derde partij georganiseerd. Aan betrokkene is meegedeeld dat dat mocht plaatsvinden, omdat er met plastic fiches werd gespeeld. De brief van 6 juni 2018 komt voor betrokkene als een grote verrassing. - Betrokkene geeft aan dat dergelijke avonden niet meer in het café worden toegelaten. ## Beoordeling van de zienswijze 21. Artikel 1, eerste lid, aanhef en onder a, van de Wok spreekt over gelegenheid geven. Met het laten organiseren van casino avonden door een derde partij heeft betrokkene gelegenheid gegeven in de zin van artikel 1, eerste lid, aanhef en onder a, van de Wok. 22. De casino avonden zijn zonder vergunning aangeboden. De omstandigheid dat met plastic fiches werd gespeeld brengt niet met zich mee dat voor deze casino avonden geen vergunning nodig was. 3. a en a aein e ae deit de illegale exploitatie met speelautomaten hadden vastgesteld. Betrokkene wist of had moeten weten dat het aanbieden van kansspelen zonder vergunning niet is toegestaan. Daardoor wordt er vanuit gegaan dat betrokkene zonder extra stimulans, door middel van een last onder dwangsom, niet zal stoppen met het aanbieden van kansspelen zonder vergunning. Gelet hierop geeft de toezegging van betrokkene, dat 1 Kenmerk 01.031.561 &lt;!-- image --&gt; &lt;!-- image --&gt; er geen casino avonden meer worden toegelaten, geen aanleiding om af te zien van het opleggen van een last onder dwangsom. - v z de Kkann a n an d n n n n ander dwangsom. ## Overwegingen tot oplegging last 25. Naleving van regelgeving – en dus ook van de Wok – is belangrijk. Kansspelen kunnen een negatief effect hebben op de samenleving. Juist daarom is het belangrijk dat voor kan d n t an et n t st an speelautomaten en het aanbieden van casinospelen. 26. De doelstellingen van het kansspelbeleid worden – door het zonder vergunning aanbieden van kansspelen – omzeild. De kansspelsector is bovendien geen gewone economische sector maar extra gevoelig voor fraude, bedrog en verslaving waarvan de consument de dupe kan worden. Deelnemers aan illegale kansspelen lopen daarbij risico's omdat er geen garantie is dat het spel betrouwbaar is, het betalingsverkeer veilig verloopt en gewonnen prijzen daadwerkelijk worden uitgekeerd. 27. Gelet op het algemeen belang dat gediend is met handhaving, zal in geval van overtreding van een wettelijk voorschrift het bestuursorgaan dat bevoegd is om handhavend op te treden, in de regel van deze bevoegdheid gebruik moeten maken. Het handhavend optreden van de Kansspelautoriteit is in dit geval gericht op het staken van de overtredingen en/of het voorkomen van herhaling van de overtredingen. Gelet op het belang om betrokkene ertoe te brengen de exploitatie van speelautomaten en het aanbieden van casinospelen waarvoor geen vergunning is vert et t t h t gen van een last onder dwangsom noodzakelijk. 28. Van het uitgangspunt dat bij overtredingen in beginsel handhavend wordt opgetreden, kan slechts onder bijzondere omstandigheden worden afgeweken. Van bijzondere omstandigheden die nopen tot het afzien van handhaving is in dit geval niet gebleken. &lt;!-- image --&gt; ## Hoogte van de dwangsom 29. Ten aanzien van de hoogte van de dwangsom, bepaalt artikel 5:32b, derde lid, van de Awb, dat de hoogte ervan in redelijke verhouding dient te staan tot de zwaarte van het geschonden belang en tot de beoogde werking van de dwangsom. Daarnaast moet van de hoogte van de dwangsom voldoende (financiële) prikkel uitgaan voor de overtreder om de overtreding te beëindigen en beëindigd te houden. 30. Handhaving van de regels in de kansspelsector en voorkomen van illegale exploitatie van speelautomaten is noodzakelijk, gelet op de belangen. De kansspelsector is extra gevoelig voor fraude, bedrog en verslaving waarvan de consument de dupe kan o e oen e dn - o z et dn Kansspelautoriteit heeft meegewogen bij de vaststelling van de hoogte van de dwangsom. 3. t tt ai t t tet "boeterichtsnoer exploitatie van speelautomaten zonder vergunning" vastgesteld. Dit richtsnoer geeft bepalingen die in acht worden genomen bij het bepalen van de hoogte van de bestuurlijke boete. Dit richtsnoer is in acht genomen bij de bepaling van de hoogte van de op te leggen dwangsommen. 32. De Kansspelautoriteit stelt de hoogte van de dwangsom vast op op € 3.000, - per geconstateerde overtreding met een maximum van € 9.000, -. Dit maximumbedrag is gebaseerd op het aantal van drie constateringen dat zonder vergunning enige vorm van kansspelen door u wordt aangeboden. ## Besluit 33. De raad van bestuur van de Kansspelautoriteit legt aan betrokkene de volgende lasten onder dwangsom op: 1. Betrokkene dient binnen twee weken na dagtekening van dit besluit de overtreding van artikel 30h, eerste lid, van de Wok te beëindigen en beëindigd te houden. Dit ka en hn hen h [...]</t>
  </si>
  <si>
    <t>[...] OR HET VERRICHTEN VAN HANDELINGEN MET RADIOACTIEVE STOFFEN EN IONISERENDE STRALING UITZENDENDE TOESTELLEN ## Verleend door: DE MINISTER VAN INFRASTRUCTUUR EN MILIEU. ## 1. Het besluit ## 1. Vergunning Aan Stichting Alrijne Zorggroep gevestigd te Leiderdorp wordt, onder intrekking van de op 16 september 2003 verleende vergunning met nummer 2003/383383 AI/UJB/BES, laatstelijk gewijzigd op 1 april 2015, met nummer 2015/0036-07, en onder intrekking van [...]</t>
  </si>
  <si>
    <t>KSA__https___kansspelautoriteit.nl_sites_default_files_starscream_limited_17807_besluit_lod_20250121.txt::Ontvanger</t>
  </si>
  <si>
    <t>ANVS__PUC_5825_32_1.txt::Besluitvormend Orgaan</t>
  </si>
  <si>
    <t>KSA__https___kansspelautoriteit.nl_sites_default_files_starscream_limited_17807_besluit_lod_20250121.txt</t>
  </si>
  <si>
    <t>De Minister van Infrastructuur en Milieu</t>
  </si>
  <si>
    <t>Starscream Limited</t>
  </si>
  <si>
    <t>de minister van infrastructuur en milieu</t>
  </si>
  <si>
    <t>starscream limited</t>
  </si>
  <si>
    <t>overtreder [26659:26669]</t>
  </si>
  <si>
    <t>De Minister van Infrastructuur en Milieu [51001:51041]</t>
  </si>
  <si>
    <t>Starscream Limited [329:347]</t>
  </si>
  <si>
    <t>[...] ook via de website worden gedaan: http ://www.autoriteitnvs.nl/aanvragen-en-melden/melden-van incident, en - b. de betrokken stralingsarts indien overbestraling van een A-werknemer heeft plaatsgevonden. Den Haag, De Minister van Infrastructuur en Milieu, namens deze: ir. M.J. Korse -Noordhoek MTD wnd. sectorhoofd directie Autoriteit Nucleaire Veiligheid en Stralingsbescherming &lt;!-- image --&gt; Belanghebbenden kunnen binnen 6 weken na de dag van verzending van di [...]</t>
  </si>
  <si>
    <t>ANVS__PUC_5825_32_1.txt::Rechtsobject</t>
  </si>
  <si>
    <t>vergunning [1091:1102]</t>
  </si>
  <si>
    <t>vergunning [1091:1101] || vergunning [655:665] || vergunning [816:826]</t>
  </si>
  <si>
    <t>[...] rleend door: DE MINISTER VAN INFRASTRUCTUUR EN MILIEU. ## 1. Het besluit ## 1. Vergunning Aan Stichting Alrijne Zorggroep gevestigd te Leiderdorp wordt, onder intrekking van de op 16 september 2003 verleende vergunning met nummer 2003/383383 AI/UJB/BES, laatstelijk gewijzigd op 1 april 2015, met nummer 2015/0036-07, en onder intrekking van de op 8 mei 2002 verleende vergunning met nummer 2002/11252 AI/CK/B/KEW, laatstelijk gewijzigd op 25 februari 2015, met nummer 2015/0112-04, krachtens de artikelen 29 en 34 van de Kernenergiewet en de artikelen 23, 24 en 25 van het Besluit stralingsbescherming voor onbepaalde tijd conform de aanvraag vergunning verleend voor: ## A. RADIOACTIEVE STOFFEN ## Locatie Leiderdorp Het verrichten van handelingen ten behoeve van medische diagnostiek en therapie, uk- en referentiedoeleinden en medisch wetenschappelijk onderzoek [...]</t>
  </si>
  <si>
    <t>ANVS__PUC_5845_32_1.txt::Ontvanger</t>
  </si>
  <si>
    <t>Uniscan BV.</t>
  </si>
  <si>
    <t>Uniscan BV</t>
  </si>
  <si>
    <t>uniscan bv</t>
  </si>
  <si>
    <t>Uniscan BV. [47:58]</t>
  </si>
  <si>
    <t>Uniscan BV [47:57]</t>
  </si>
  <si>
    <t>## 1. Intrekking De op 17 december 2004 aan Uniscan BV., gevestigd te Rotterdam verleende vergunning met nummer 2004/84197, Al/lO/BES, laatstelijk gewijzigd op 1 september 2005 met nummer 2005/63633 voor het verrichten van handelingen met radioactieve stoffen, wordt ambtshal [...]</t>
  </si>
  <si>
    <t>ANVS__PUC_5845_32_1.txt::Besluitvormend Orgaan</t>
  </si>
  <si>
    <t>De Minister van Infrastructuur en Milieu [3499:3539]</t>
  </si>
  <si>
    <t>[...] n het Besluit stralingsbescherming. ## 2.3. Besluit Op grond van bovenstaande heb ik besloten tot intrekking van de vergunning over te gaan. &lt;!-- image --&gt; ## 2. De aanvraag en de beoordeling Den Haag, De Minister van Infrastructuur en Milieu, namens deze: ir. M.J. Korse -Noordhoek MTD wnd. sectorhoofd directie Autoriteit Nucleaire Veiligheid en Stralingsbescherming &lt;!-- image --&gt; Belanghebbenden kunnen binnen 6 weken na de dag van verzending van di [...]</t>
  </si>
  <si>
    <t>[...] tikel 35 van de Wet op de kansspelen. Kenmerk besluit: 17807/01.331.457 Openbaar onder kenmerk: 17807/01.339.976 ## Besluit ## Samenvatting De raad van bestuur van de Kansspelautoriteit heeft vastgesteld dat Starscream Limited door middel van de websites rantcasino.com, sugarcasino.com en allstarzcasino.com gelegenheid geeft tot deelname aan een kansspel, terwijl voor dat laatstgenoemde aanbod geen vergunning is afgegeven op grond van de Wet op de kansspelen. Daarmee handelt Starscream Limited in strijd met artikel 1, eerste lid, aanhef en onder a, van de Wet op de kansspelen. De raad van bestuur van de Kansspelautoriteit draagt Starscream Limited op het aanbieden van kansspelen waarvoor geen vergunning ingevolge de Wet op de kansspelen is verleend, te staken en gestaakt te houden door middel van het opleggen van een last onder dwangsom. ## 1 Inleiding 1. De raad van bestuur van de Kansspelautoriteit (hierna: de Kansspelautoriteit) is belast met het toezicht op de naleving van het bepaalde in de Wet op de kansspelen (hierna: Wok). In de Wok is onder andere bepaald dat het in Nederland verboden is gelegenheid te geven om mede te dingen naar prijzen of premies, indien de aanwijzing der winnaars geschiedt door enige kansbepaling waarop de deelnemers in het algemeen geen overwegende invloed kunnen uitoefenen, tenzij daarvoor ingevolge de Wok vergunning is verleend (artikel 1, eerste lid, aanhef en onder a Wok). Daarnaast is het ingevolge artikel 1, eerste lid, aanhef en onder b, van de Wok eveneens verboden de deelneming aan een 21 januari 2025 Kenmerk 17807/01.339.976 - kansspel, waarvoor geen vergunning is verleend, te bevorderen. 2. Sinds 1 april 2021 is het mogelijk om bij de Kansspelautoriteit een vergunning aan te vragen voor het aanbieden van kansspelen op afstand. 1 Met het verlenen van vergunningen voor kansspelen op afstand is toezicht op een verantwoord, betrouwbaar en controleerbaar aanbod mogelijk. De Kansspelautoriteit acht het aanbieden van kansspelen op afstand zonder daartoe strekkende vergunning zeer ernstig. 2 De doelstellingen van het kansspelbeleid, wetende het voorkomen van kansspelverslaving, het beschermen van de consument en het tegengaan van mogelijke fraude en criminaliteit, worden door het zonder vergunning aanbieden van kansspelen op afstand omzeild. De kansspelsector is immers geen gewone economische sector maar extra gevoelig voor fraude, bedrog en verslaving waarvan de consument de dupe kan worden. Deelnemers aan dergelijke kansspelen lopen daarbij risico's omdat er geen garantie is dat het spel betrouwbaar is, het betalingsverkeer veilig verloopt en gewonnen prijzen daadwerkelijk worden uitgekeerd. 3. Handhaving door de Kansspelautoriteit jegens illegale aanbieders van kansspelen op afstand is herhaaldelijk rechterlijk getoetst en door meerdere rechters en in verschillende instanties rechtmatig bevonden. ## 2 Juridisch kader 4. Op grond van artikel 1, eerste lid, aanhef en onder a, van de Wok is het verboden om gelegenheid te geven tot deelname aan een kansspel waarvoor geen vergunning ingevolge de Wok is verleend. 5. Op grond van artikel 33b van de Wok heeft de Kansspelautoriteit onder meer tot taak het toezicht op de naleving van de toepasselijke wet- en regelgeving en de vergunningen, alsmede de handhaving daarvan. 6. De Kansspelautoriteit is op grond van artikel 35 van de Wok bevoegd tot het opleggen van een last onder bestuursdwang wegens overtreding van de voorschriften van de Wok. Artikel 5:32, eerste lid van de Algemene wet 1 Kansspelen op afstand zijn kansspelen waaraan de speler met elektronische communicatiemiddelen en zonder fysiek contact met (het personeel van) de organisator van de kansspelen, of een derde die ten behoeve van de deelname aan de kansspelen een ruimte en middelen ter beschikking stelt, deelneemt. 2 Alle sanctiebesluiten zijn te vinden op http://www.kansspelautoriteit.nl. Kansspelautoriteit 21 januari 2025 Kenmerk 17807/01.339.976 bestuursrecht (hierna: Awb) bepaalt dat een bestuursorgaan dat bevoegd is een last onder bestuursdwang op te leggen, in plaats daarvan aan de overtreder een last onder dwangsom kan opleggen. ## 3 Bevindingen onderzoek ## Aanbod van kansspelen zonder vergunning Website sugarcasino.com 7. Op 3 juni 2024 heeft een toezichthouder van de Kansspelautoriteit (hierna: toezichthouder) de website sugarcasino.com (hierna: de website) onderzocht. De toezichthouder heeft onderzocht of er gelegenheid werd gegeven om vanuit Nederland deel te nemen aan kansspelen. 8. Uit het onderzoek is gebleken dat het mogelijk is om vanuit Nederland een spelersaccount aan te maken, een storting te verrichten en deel te nemen aan kansspelen. Er zijn geen technische maatregelen genomen om deelnemers vanuit Nederland de toegang tot de kansspelen te beletten. ## Registratie 9. Op 3 juni 2024 heeft een toezichthouder zich vanuit Nederland (met een Nederlands IP-adres 3 ) geregistreerd als nieuwe speler op de website. Hiervoor heeft de toezichthouder een voor- en achternaam, gebruikersnaam, e-mail, wachtwoord, telefoonnummer en adresgegevens ingevuld. Daarop volgde een verificatiecode die naar het betreffende telefoonnummer werd verstuurd. De toezichthouder heeft de ontvangen verificatiecode ingevoerd. Hierna was de registratie voltooid. 4 10. Bij de registratie is gebruik gemaakt van de bevoegdheid als bedoeld in artikel 34c van de Wok. 5 ## Storting 11. Op 3 juni 2024 heeft een toezichthouder een storting verricht op de website. De toezichthouder heeft de betaalmethode iDeal via MyFinity als (betaal)optie geselecteerd. Na het selecteren van de betaalmethode werd de toezichthouder doorgeleid naar een Nederlandse bank. 3 Bijlage 17807/01.318.949/1a 4 Bijlage 17807/01.318.949/3a 5 Bijlage 17807/01.319.488 12. Er is vanuit de Nederlandse bank en betaalrekening een storting van €10,00 op de spelersrekening verricht. De instructies over de betaling waren in de Nederlandse taal. Na de storting heeft de toezichthouder geconstateerd dat het saldo van het spelersaccount was opgehoogd met het stortingsbedrag. 6 ## Deelname aan kansspelen 13. Op 4 juni 2024 heeft een toezichthouder onderzocht of er vanuit Nederland (met een Nederlands IP-adres 7 ) kan worden deelgenomen aan kansspelen op de website. 14. De toezichthouder heeft een spel nader onderzocht, te weten 'the Dog House' (hierna: het spel). Hieruit bleek dat het spel de weergave had van een virtuele versie van een slotmachine. 8 15. De toezichthouder heeft het bedrag bij 'BET' verlaagd naar €0,20; de laagst mogelijke inzet. Naast 'BET' was ook het saldo 'CREDIT' op het scherm te zien, dit bedrag was €10,00. De toezichthouder heeft vervolgens op de knop 'AUTOPLAY' geklikt, waarna gekozen is voor het minimum aantal van tien spins. Vervolgens heeft de toezichthouder op de 'START AUTOPLAY' knop gedrukt. Na het klikken op 'START AUTOPLAY' werden er automatisch tien spins uitgevoerd. Nadat de spins waren uitgevoerd, was het saldo 'CREDIT' onderaan de pagina veranderd in €8,04. De toezichthouder constateerde dat de uitkomst van het spel niet door de speler te beïnvloeden was. De toezichthouder constateerde vervolgens dat het bedrag op de spelersrekening was gewijzigd van €10,00 naar €8,04. 9 16. Op 18 september 2024 heeft de toezichthouder nogmaals succesvol deelgenomen aan het spel. 10 17. Naast deelname aan een kansspel bleek het gelegenheid geven tot het mededingen naar prijzen of premies onder andere uit de Terms and Conditions. In hoofdstuk 4 van de Terms and Conditions staat informatie over de uitbetaling. Hieruit blijkt dat er geldprijzen in euro te winnen zijn. 11 6 Bijlage 17807/01.318.949/4a 7 Bijlage 17807/01.318.949/1b 8 Stcrnt, 1996, 92. 9 Bijlage 17807/01.318.949/5a 10 Bijlage 17807/01.318.949/8a 11 Bijlage 17807/01.318.949/6a ## Website rantcasino.com 18. Op 4 juni 2024 heeft een toezichthouder van de Kansspelautoriteit (hierna: toezichthouder) de website rantcasino.com (hierna: de website) onderzocht. De toezichthouder heeft onderzocht of er gelegenheid werd gegeven om vanuit Nederland deel te nemen aan kansspelen. 19. Uit het onderzoek is gebleken dat het mogelijk is om vanuit Nederland een spelersaccount aan te maken, een storting te verrichten en deel te nemen aan kansspelen. Er zijn geen technische maatregelen genomen om deelnemers vanuit Nederland de toegang tot de kansspelen te beletten. ## Registratie 20. Op 4 juni 2024 heeft een toezichthouder zich vanuit Nederland (met een Nederlands IP-adres 12 ) geregistreerd als nieuwe speler op de website. Hiervoor heeft de toezichthouder een voor- en achternaam, gebruikersnaam, e-mail, wachtwoord, telefoonnummer en adresgegevens ingevuld. Daarop volgde een verificatiecode die naar het betreffende telefoonnummer werd verstuurd. De toezichthouder heeft de ontvangen verificatiecode ingevoerd. Hierna was de registratie voltooid. 13 21. Bij de registratie is gebruik gemaakt van de bevoegdheid als bedoeld in artikel 34c van de Wok. 14 ## Storting 22. Op 4 juni 2024 heeft een toezichthouder een storting verricht op de website. De toezichthouder heeft de betaalmethode iDeal via MyFinity als (betaal)optie geselecteerd. Na het selecteren van de betaalmethode werd de toezichthouder doorgeleid naar een Nederlandse bank. 23. Er is vanuit de Nederlandse bank en betaalrekening een storting van €10,00 op de spelersrekening verricht. De instructies over de betaling waren in de Nederlandse taal. Na de storting heeft de toezichthouder geconstateerd dat het saldo van het spelersaccount was opgehoogd met het stortingsbedrag. 15 12 Bijlage 17807/01.318.949/1b 13 Bijlage 17807/01.318.949/3b 14 Bijlage 17807/01.319.488 15 Bijlage 17807/01.318.949/4b 16 ## Deelname aan kansspelen 24. Op 4 juni 2024 heeft een toezichthouder onderzocht of er vanuit Nederland kan worden deelgenomen aan kansspelen op de website. 25. De toezichthouder heeft een spel nader onderzocht, te weten 'Buffalo King' (hierna: het spel). Hieruit bleek dat het spel de weergave had van een virtuele versie van een slotmachine. 16 26. De toezichthouder heeft het bedrag bij 'BET' verlaagd naar €0,20; de laagst mogelijke inzet. Naast 'BET' was ook het saldo 'CREDIT' in het scherm te zien, dit bedrag was €10,00. De toezichthouder heeft vervolgens op de knop 'AUTOPLAY' geklikt, waarna gekozen is voor het minimum aantal van tien spins. Vervolgens heeft de toezichthouder op de 'START AUTOPLAY' knop gedrukt. Na het klikken op 'START AUTOPLAY' werden er automatisch tien spins uitgevoerd. Nadat de spins waren uitgevoerd, was het saldo (CREDIT) onderaan de pagina veranderd in €10,56. De toezichthouder constateerde dat de uitkomst van het spel niet door de speler te beïnvloeden was. De toezichthouder constateerde vervolgens dat het bedrag op de spelersrekening was gewijzigd van €10,00 naar €10,56. 17 27. Op 18 september 2024 heeft de toezichthouder nogmaals deelgenomen aan het spel. 18 28. Naast deelname aan een kansspel bleek het gelegenheid geven tot het mededingen naar prijzen of premies uit de homepage. Hier staan de 'RECENT WINNERS' staan aangegeven waaruit blijkt dat er geldprijzen in euro te winnen zijn. 19 ## Hercontrole 29. Op 12 december 2024 heeft een toezichthouder een hercontrole uitgevoerd op de websites rantcasino.com en sugarcasino.com. De toezichthouder heeft onderzocht of er gelegenheid werd gegeven om vanuit Nederland deel te nemen aan kansspelen. 30. Uit het onderzoek is gebleken dat het niet mogelijk is om vanuit Nederland een spelersaccount aan te maken, een storting te verrichten en deel te nemen aan Stcrnt, 1996, 92. 17 Bijlage 17807/01.318.949/5b 18 Bijlage 17807/01.318.949/8b 19 Bijlage 17807/01.318.949/2b 21 januari 2025 Kenmerk 17807/01.339.976 - kansspelen. Er zijn technische maatregelen genomen om deelnemers vanuit Nederland de toegang tot de kansspelen te beletten. 20 31. Op 12 december 2024 heeft een toezichthouder de website allstarzcasino.com, een andere website van de aanbieder, onderzocht. Uit het onderzoek is gebleken dat het mogelijk is om vanuit Nederland een spelersaccount aan te maken, een storting te verrichten en deel te nemen aan kansspelen. Er zijn geen technische maatregelen genomen om deelnemers vanuit Nederland de toegang tot de kansspelen te beletten. ## Registratie 32. Op 12 december 2024 heeft een toezichthouder zich vanuit Nederland (met een Nederlands IP-adres) 21 geregistreerd als nieuwe speler op de website. Hiervoor heeft de toezichthouder een voor- en achternaam, gebruikersnaam, e-mail, wachtwoord, telefoonnummer en adresgegevens ingevuld. Daarop volgde een verificatielink die naar het betreffende e-mailadres werd verstuurd. De toezichthouder heeft op de link in de mail geklikt. Hierna was de registratie voltooid. 22 ## Storting 33. Op 12 december 2024 heeft een toezichthouder een storting verricht op de website. De toezichthouder heeft de betaalmethode Mastercard als (betaal)optie geselecteerd. Na het selecteren van de betaalmethode werd de toezichthouder doorgeleidt naar een Nederlandse bank. 34. Er is vanuit de Nederlandse bank en betaalrekening een storting van €10,00 op de spelersrekening verricht. Na de storting heeft de toezichthouder geconstateerd dat het saldo van het spelersaccount was opgehoogd met het stortingsbedrag. 23 ## Deelname aan kansspelen 35. Op 12 december 2024 heeft een toezichthouder onderzocht of er vanuit Nederland kan worden deelgenomen aan kansspelen op de website. 20 Bijlage 17807/01.331.715 21 Bijlage 17807/01.331.457/01 22 Bijlage 17807/01.331.457/02 23 Bijlage 17807/01.331.457/03 21 januari 2025 Kenmerk 17807/01.339.976 36. De toezichthouder heeft een spel nader onderzocht, te weten 'The Dog House' (hierna: het spel). Hieruit bleek dat het spel de weergave had van een virtuele versie van een slotmachine. 24 37. De toezichthouder heeft het bedrag bij 'BET' verlaagd naar €0,20; de laagst mogelijke inzet. Naast 'BET' was ook het saldo 'CREDIT' in het scherm te zien, dit bedrag was €10,00. De toezichthouder heeft vervolgens op de knop 'AUTOPLAY' geklikt, waarna gekozen is voor het minimum aantal van tien spins. Vervolgens heeft de toezichthouder op de 'START AUTOPLAY' knop gedrukt. Na het klikken op 'START AUTOPLAY' werden er automatisch tien spins uitgevoerd. Nadat de spins waren uitgevoerd, was het saldo 'CREDIT' onderaan de pagina veranderd in €9,32. De toezichthouder constateerde dat de uitkomst van het spel niet door de speler te beïnvloeden was. De toezichthouder constateerde vervolgens dat het bedrag op de spelersrekening was gewijzigd van €10,00 naar €9,32. 25 38. Naast het feit dat er geen technische maatregelen zijn genomen om deelname vanuit Nederland aan de kansspelen te beletten heeft de toezichthouder andere kenmerken aangetroffen waaruit (in onderlinge samenhang bezien) blijkt dat de website (mede) gericht is op de Nederlandse markt. Deze kenmerken zijn, naast de overige bevindingen van het onderzoek, verwerkt in onderstaand overzicht. ## Overzicht onderzoek overtreding 39. Hieronder volgt een schematisch overzicht van de bevindingen van het onderzoek van de toezichthouder naar het vanuit Nederland deelnemen aan kansspelen op de websites sugarcasino.com, rantcasino.com en allstarzcasino.com. | Onderzoek | Onderzoek | Bijlage | Opmerkingen | |-------------|---------------------------------------|---------------------------------------------------------------|---------------| | A. | Website vanuit Nederland te benaderen | 01.318.949/1 t/m 01.318.949/8 01.331.457/01 t/m 01.331.457/04 | | ## Kansspelautoriteit 21 januari 2025 Kenmerk 17807/01.339.976 | B. | Aanmaken account, storten en deelnemen aan een kansspel | 01.318.949/3a 01.318.949/3b 01.318.949/4a 01.318.949/4b 01.318.949/5a 01.318.949/5b 01.318.949/8a 01.318.949/8b 01.331.457/02 01.331.457/03 01.331.457/04 | 01.318.949/3a aanmaken account 01.318.949/3b aanmaken account 01.318.949/4a storten 01.318.949/4b storten 01.318.949/5a deelname kansspel 01.318.949/5b deelname kansspel 01.318.949/8a deelname kansspel 01.318.949/8b deelname kansspel 01.331.457/02 aanmaken account 01.331.457/03 storten 01.331.457/04 deelname kansspel | |------|-----------------------------------------------------------------------------------|-------------------------------------------------------------------------------------------------------------------------------------------------------------|----------------------------------------------------------------------------------------------------------------------------------------------------------------------------------------------------------------------------------------------------------------------------------------------------------------------------------| | C. | Informatie over prijzen/winsten | 01.318.949/6a 01.318.949/6b | In hoofdstuk 4 van de Terms &amp; Conditions is vermeld dat er geldprijzen in de valuta euro te winnen zijn. | | D. | Website bevat de Engelse taal | 01.318.949/2 t/m 01.318.949/8 01.331.457/02 t/m 01.331.457/04 | Websites bevatten de Engelse taal. | | E. | Valuta euro als betaalmiddel en/of uitkering prijzen | 01.318.949/6a 01.318.949/6b | In hoofdstuk 3 van de Terms &amp; Conditions is vermeld dat de valuta euro als betaalmiddel gebruikt kan worden. Hoofdstuk 4 van de Terms &amp; Conditions beschrijft de uitkering van prijzen in de valuta euro. | | F. | Betaalmethode iDEAL of andere betaalmethode die doorgeleidt naar Nederlandse bank | 01.318.949/4a 01.318.949/4b 01.331.457/03 | (01.318.949/4a, 01.318.949/4b) Bij het storten wordt gebruik gemaakt van de betaalmethode MyFinity met daarnaast het logo van iDeal. (01.331.457/03). Bij het storten wordt gebruik gemaakt van de betaalmethode Mastercard met het rekeningnummer van een Nederlandse bank. | | G. | Nederlandstalige of Engelstalige klantenservice | 01.318.949/7a 01.318.949/7b 01.331.457/06 | Rantcasino.com en allstarzcasino.com bevatten een live-chatfunctie die in het Nederlands wordt beantwoord. | ## Kansspelautoriteit 21 januari 2025 Kenmerk 17807/01.339.976 | H. | Nederland is niet benoemd als uitgesloten land in de T&amp;C | 01.318.949/6a 01.318.949/6b 01.331.457/05 | In artikel 2.8 van de Terms &amp; Conditions staat Nederland niet weergeven in de lijst met uitgesloten landen. | |------|------------------------------------------------------------------|---------------------------------------------|------------------------------------------------------------------------------------------------------------------------------------------------| | I. | Overige kenmerken waaruit (mede) gerichtheid op Nederland blijkt | 01.318.949/3a 01.318.949/3b 01.331.457/02 | Tijdens het aanmaken van het spelersaccount op de websites verscheen automatisch het netnummer +31 en 'Netherlands' in de in te vullen velden. | ## Overtreder 40. Voor het hiervoor beschreven kansspelaanbod wordt Starscream Limited (hierna: overtreder) verantwoordelijk gehouden omdat in de footer van de websites zij als licentiehouder van de websites genoemd wordt, evenals in de Terms and Conditions 26 . Op grond hiervan wordt deze onderneming als overtreder aangemerkt. 41. Overtreder is volgens de website starscreamcasinos.com gevestigd te 10 Manuelstreet, Castries te Santa Lucia. 27 42. Overtreder is niet in het bezit van een vergunning voor het aanbieden van online kansspelen in Nederland. 28 ## 4 Overtreding van de Wet op de kansspelen 43. Op grond van het voorgaande staat naar het oordeel van de Kansspelautoriteit vast dat overtreder gelegenheid geeft tot deelname aan een kansspel waarvoor geen vergunning is verleend. 44. Op grond van het voorgaande stelt de Kansspelautoriteit vast dat overtreder artikel 1, eerste lid, aanhef en onder a, van de Wok heeft overtreden. 26 Bijlage 17807/01.331.457/05, bijlage 17807/01.318.949/6a, bijlage 17807/01.318.949/6b 27 Bijlage 17807/01.318.949/9 28 Een overzicht van alle vergunninghouders is te vinden op https://kansspelautoriteit.nl. ## 5 Zienswijze 45. In de brief van 29 oktober 2024 heeft de Kansspelautoriteit het voornemen tot het opleggen van een last onder dwangsom kenbaar gemaakt aan overtreder. Hiermee is de gelegenheid geboden om binnen vier weken na dagtekening van de brief een zienswijze, mondeling of schriftelijk, te geven op het voornemen. 46. Van deze gelegenheid is geen gebruik gemaakt. ## 6 Overwegingen tot oplegging last 47. Handhavend optreden tegen aanbieders van kansspelen waarvoor geen vergunning is verleend is noodzakelijk om de overtreding te doen beëindigen, en beëindigd te houden, en de zwaarwegende belangen van de Wok zoals hierboven vermeld, te beschermen. Naast het opleggen van boetes, kan de Kansspelautoriteit ook handhaven door middel van het opleggen van een last onder dwangsom. 48. Met het oog op het evenredigheidsbeginsel van artikel 3:4, tweede lid, van de Awb is de Kansspelautoriteit van oordeel dat de belangen van overtreder derhalve niet onevenredig worden geschaad door dit besluit en het daarmee gediende belang. ## 7 Hoogte dwangsom en begunstigingstermijn 49. Zoals in dit besluit toegelicht is handhaving van de regels in de kansspelsector en voorkomen van illegaal kansspelaanbod noodzakelijk. De kansspelsector is extra gevoelig voor fraude, bedrog en verslaving waarvan de consument de dupe kan worden. Het zijn deze te beschermen - en in beginsel geschonden belangen die de Kansspelautoriteit heeft meegewogen bij de vaststelling van de hoogte van de dwangsom en de begunstigingstermijn. ## Hoogte dwangsom 50. Ten aanzien van de hoogte van de dwangsom, bepaalt artikel 5:32b, derde lid van de Awb dat de hoogte ervan in redelijke verhouding dient te staan tot de zwaarte van het geschonden belang en tot de beoogde werking van de 17807/01.339.976 - dwangsom. Daarnaast moet van de hoogte van de dwangsom voldoende (financiële) prikkel uitgaan voor de overtreder om de overtreding te beëindigen. 51. Bij de vaststelling van de hoogte van de dwangsom heeft de Kansspelautoriteit acht geslagen op het feit dat uit de praktijk blijkt dat van een last van deze omvang een zodanige prikkel uitgaat dat de last zal worden nagekomen. Daar komt bij dat een vergunde aanbieder van online kansspelen zeer hoge kosten maakt. Niet alleen voor het vergund toetreden tot de Nederlandse speelmarkt, maar ook voor het blijvend voldoen aan de voorwaarden waarvoor de vergunning is afgegeven gedurende de vergunningsperiode. De initiële lasten per vergunninghouder zijn berekend op circa € 800.000,- en de structurele jaarlijkse lasten bedragen eveneens circa € 800.000,- 29 . Daarbij merkt de Kansspelautoriteit op dat het haar ambtshalve bekend is dat met het aanbieden van kansspelen op afstand een aanzienlijk financieel gewin kan worden behaald. Hiermee staat de maximale dwangsom in verhouding tot het minimale financiële voordeel dat een overtreder kan behalen bij het niet naleven van de regels en derhalve zou ook hiervan een zodanige prikkel moeten uitgaan dat de overtreding wordt beëindigd. 52. De Kansspelautoriteit weegt de belangen van verslavingspreventie, kwetsbare groepen, zoals minderjarigen, een betrouwbaar spelaanbod, veilig betalingsverkeer en het tegengaan van illegaliteit en criminaliteit, mee bij de vaststelling van de hoogte van de dwangsom. ## Begunstigingstermijn 53. Volgens vaste jurisprudentie van de Afdeling bestuursrechtspraak van de Raad van State 30 geldt bij het bepalen van de lengte van de begunstigingstermijn als uitgangspunt dat deze termijn niet wezenlijk langer mag worden gesteld dan noodzakelijk is om de overtreding te kunnen opheffen. Een begunstigingstermijn mag ook niet wezenlijk korter worden gesteld dan noodzakelijk is om de overtreding te kunnen opheffen. 54. De Kansspelautoriteit houdt bij de vaststelling van de begunstigingstermijn rekening met het feit dat de gelegenheid om vanuit Nederland deel te nemen aan kansspelen op afstand zeer snel kan worden beëindigd. 29 Nota van Toelichting op het besluit op de Kansspelen op afstand, Staatsblad 2021/37, paragraaf 3. 30 ECLI:NL:RVS:2018:2196 en ECLI:NL:RVS:2015:3891. Kansspelautoriteit 21 januari 2025 Kenmerk 17807/01.339.976 55. Dit is onder andere gebleken uit het feit dat diverse illegale aanbieders eind september 2021 naar aanleiding van het nieuwe handhavingsbeleid van de Kansspelautoriteit 31 binnen enkele dagen het aanbod aan Nederlandse consumenten hebben gestaakt. ## 8 Besluit 56. De Kansspelautoriteit legt aan overtreder de volgende last onder dwangsom op: - a. Overtreder wordt op straffe van verbeurte van een dwangsom gelast uiterlijk binnen vier weken na dagtekening van dit besluit de overtreding(en) van artikel 1, eerste lid, onder [...]</t>
  </si>
  <si>
    <t>ANVS__PUC_5845_32_1.txt::Rechtsobject</t>
  </si>
  <si>
    <t>KSA__https___kansspelautoriteit.nl_sites_default_files_7970_sanctiebesluit_call_internet_city.txt::Ontvanger</t>
  </si>
  <si>
    <t>de eigenaar van belwinkel/internetcafé Call Internet City, de heer [.…]</t>
  </si>
  <si>
    <t>de heer [.…]</t>
  </si>
  <si>
    <t>de eigenaar van belwinkel/internetcafé call internet city, de heer [....]</t>
  </si>
  <si>
    <t>vergunning [93:104]</t>
  </si>
  <si>
    <t>de heer [....]</t>
  </si>
  <si>
    <t>vergunning [3401:3411]</t>
  </si>
  <si>
    <t>de eigenaar van belwinkel/internetcafé Call Internet City, de heer [.…] [23908:23979]</t>
  </si>
  <si>
    <t>de heer [.…] [23967:23979]</t>
  </si>
  <si>
    <t>## 1. Intrekking De op 17 december 2004 aan Uniscan BV., gevestigd te Rotterdam verleende vergunning met nummer 2004/84197, Al/lO/BES, laatstelijk gewijzigd op 1 september 2005 met nummer 2005/63633 voor het verrichten van handelingen met radioactieve stoffen, wordt ambtshalve ingetrokken. ## II. Documenten Het op 31 maart 2016 ontvangen ambtsbericht van Inspectie SZW maakt deel uit van de intrekkingsbeschikking. ## III. Openbaarmaking en publicatie Deze intrekkingsbeschikking wordt ingevolge artikel 8 van de Wet openbaarheid van bestuur actief openbaar gemaakt door publicatie van deze beschikking op de internetsite www.anvs.nl. Van het intrekken van bovengenoemde vergunning wordt tevens mededeling gedaan in de Staatscourant. ## IV. Inwerkingtreding Dit besluit treedt conform artikel 20.5, eerste lid, Wet milieubeheer terstond in werking. &lt;!-- image --&gt; - &amp;gt; Retouradres Postbus 16001 2500 BA Den Haag Datum 26 april 2016 Betreft Intrekking vergunning Kernenergiewet INTREKKING VAN EEN KERNENERGIEWETVERGUNNING VERLEEND AAN UNISCAN B.V. VOOR HET VERRICHTEN VAN HANDELINGEN MET RADIOACTIEVE STOFFEN Intrekking door: ## DE MINISTER VAN INFRASTRUCTUUR EN MILIEU. ## 1. Het besluit ## ANVS Stra Ii ngsbeschermi ng Aanvragen en r'lelden Bezuidenhoutseweg 67 Postbus 16001 2500 BA Den Haag www.anvs.nI - T 070-3487366 - E Postbus.Aanvragenenmelden @anvsnI Onze referentie 2016/0403-04 Bijlage(n) ## 2.1. De aanvraag Op 31 maart 2016 heb ik een brief met kenmerk A1207/82/02 ontvangen van de Inspectie SZW met betrekking op de op 17 december 2004 aan Uniscan B.V., gevestigd te Rotterdam verleende vergunning met nummer 2004/84197, Al/TO/BES, laatstelijk gewijzigd op 1 september 2005 met nummer 2005/63633. In de brief wordt gemeld dat bij een inspectie is gebleken dat de firma Uniscan B.V. niet meer bestaat. De activiteiten van Uniscan B.V. zijn in 2008 overgenomen door Teco Maritime Benelux te Spijkenisse. Hiervan is geen melding gedaan bij de overheid. Dit bedrijf heeft de betreffende bron in 2009 door de RTD af laten voeren. Ook toen heeft het betrokken bedrijf verzuimd hiervan melding te doen bij de overheid en de vergunning in te laten trekken. Bij de aanvraag zijn de volgende documenten toegevoegd: - -Mailcorrespondentie tussen Applus-RTD en Inspectie SZW. - -Overdrachtbewijs Cobalt-60 bron met referentienummer: BSH 106/04/RB/rb. - -Statusdocument Applus-RTD d.d.16 juni 2005 met opslagnummer 4039. - -Brief van Applus-RTD gericht aan Teco Maritime Benelux d.d. 26 februari 2009 met referentienummer CSH1815.09/BH/bh. - -Statusdocument Applus-RTD d.d. 18 oktober 2010 met opslagnummer 6669. ## 2.2. Gevolgde procedure De vergunning betreft handelingen met radioactieve stoffen op steeds wisselende plaatsen in geheel Nederland ten behoeve van meting van het CO 2 -niveau van gasflessen aan boord van zeeschepen. Het betreft één(1) ingekapselde bron cobalt-60 met een activiteit van maximaal 18,5 megabecquerel (MBq). De vergunde onderhavige radioactieve stoffen zijn definitief afgevoerd en van de vergunning zal geen gebruik meer worden gemaakt. Het ontdoen is geschied overeenkomstig het gestelde in artikel 37, vijfde, zevende en achtste lid, van het Besluit stralingsbescherming. ## 2.3. Besluit Op grond van bovenstaande heb ik besloten tot intrekking van de vergunning over te gaan. &lt;!-- image --&gt; ## 2. De aanvraag en de beoordeling Den Haag, De Minister van Infrastructuur en Milieu, namens deze: ir. M.J. Korse -Noordhoek MTD wnd. sectorhoofd directie Autoriteit Nucleai [...]</t>
  </si>
  <si>
    <t>ANVS__PUC_6938_32_1.txt::Ontvanger</t>
  </si>
  <si>
    <t>ANVS__PUC_6938_32_1.txt</t>
  </si>
  <si>
    <t>H.H. Govaert en M. Govaert-Roerdink</t>
  </si>
  <si>
    <t>h.h. govaert en m. govaert-roerdink</t>
  </si>
  <si>
    <t>H.H. Govaert en M. Govaert-Roerdink [1903:1938]</t>
  </si>
  <si>
    <t>[...] rklarende begrippenlijst | 9 | &lt;!-- image --&gt; Autoriteit Nucleaire Veiligheid en Stralingsbescherming Ons kenmerk ANVS-PP-2019/0050117-05 ## Het besluit 1 ## 1.1 Vergunning Aan H.H. Govaert en M. Govaert-Roerdink, handelend onder de naam Dierenkliniek Nieuw Houten VOF, gevestigd aan de Lange Schaft 11 te Houten wordt, krachtens artikel 34 van de Kernenergiewet en artikel 3.4, vierde lid, artikel 3.9 en artikel 3.10, tweede lid v [...]</t>
  </si>
  <si>
    <t>ANVS__PUC_6938_32_1.txt::Besluitvormend Orgaan</t>
  </si>
  <si>
    <t>[...] ing 13. Zie ook zaak C-275/92, de zgn. zaak Schindler, waarnaar het Hof in deze uitspraak verwijst, en dan met name overweging 60. ## 9 Besluit De Raad van Bestuur van de Kansspelautoriteit: - a. stelt vast dat de eigenaar van belwinkel/internetcafé Call Internet City, de heer [.…], een overtreding heeft begaan van artikel 30t, eerste lid, aanhef en onder c, van de Wok door het aanwezig hebben van een speelautomaat (gokzuil) van een niet toegelaten model en niet voorzien van een bijbehorend merkte [...]</t>
  </si>
  <si>
    <t>KSA__https___kansspelautoriteit.nl_sites_default_files_besluit_op_bezwaar_kayseri.txt::Ontvanger</t>
  </si>
  <si>
    <t>DE AUTORITEIT NUCLEAIRE VEILIGHEID EN STRALINGSBESCHERMING</t>
  </si>
  <si>
    <t>KSA__https___kansspelautoriteit.nl_sites_default_files_besluit_op_bezwaar_kayseri.txt</t>
  </si>
  <si>
    <t>de autoriteit nucleaire veiligheid en stralingsbescherming</t>
  </si>
  <si>
    <t>de heer [xxx], eigenaar van Thee- en koffiehuis Kayseri te Dordrecht</t>
  </si>
  <si>
    <t>DE AUTORITEIT NUCLEAIRE VEILIGHEID EN STRALINGSBESCHERMING [13129:13187]</t>
  </si>
  <si>
    <t>de heer [xxx]</t>
  </si>
  <si>
    <t>de heer [xxx], eigenaar van thee- en koffiehuis kayseri te dordrecht</t>
  </si>
  <si>
    <t>de heer [xxx], eigenaar van Thee- en koffiehuis Kayseri te Dordrecht [99:167]</t>
  </si>
  <si>
    <t>de heer [xxx] [99:112]</t>
  </si>
  <si>
    <t>[...] satie, een toezichthoudend medewerker stralingsbescherming aangewezen. ## 2.5 Conclusie Op grond van het bovenstaande heb ik besloten om tot verlening van de vergunning over te gaan. ## 3 ## Ondertekening DE AUTORITEIT NUCLEAIRE VEILIGHEID EN STRALINGSBESCHERMING, namens deze, ir. M.]. Korse-Noordhoek MTD, afdelingshoofd Belanghebbenden kunnen binnen 6 weken na de dag van verzending van dit besluit een bezwaarschrift indienen bij de Autoriteit Nucleaire Veiligheid en Stral [...]</t>
  </si>
  <si>
    <t>ANVS__PUC_6938_32_1.txt::Rechtshandeling</t>
  </si>
  <si>
    <t>verleend [2275:2284]</t>
  </si>
  <si>
    <t>verleend [2275:2283]</t>
  </si>
  <si>
    <t>[...] artikel 34 van de Kernenergiewet en artikel 3.4, vierde lid, artikel 3.9 en artikel 3.10, tweede lid van het Besluit basisveiligheidsnormen stralingsbescherming (Bbs) voor onbepaalde tijd conform de aanvraag vergunning verleend voor: ## A. TOESTELLEN Het verrichten van handelingen ten behoeve van veterinaire diagnostiek binnen de locatie van Dierenkliniek Nieuw Houten, gelegen aan de Lange Schaft 11 te Houten, met ioniserende straling uit [...]</t>
  </si>
  <si>
    <t>ANVS__PUC_6938_32_1.txt::Rechtsobject</t>
  </si>
  <si>
    <t>vergunning [2264:2275]</t>
  </si>
  <si>
    <t>vergunning [2264:2274]</t>
  </si>
  <si>
    <t>## OPENBAAR Besluit van de raad van bestuur van de Kansspelautoriteit op het bezwaarschrift van de heer [xxx], eigenaar van Thee- en koffiehuis Kayseri te Dordrecht (hierna: bezwaarmaker), tegen het besluit van 9 april 2015, kenmerk 9281 / 00.049.932. Zaak: 149 Kenmerk: 9281 / 00.055.578 Openbaar gemaakt onder kenmerk: 9281/ 00.073.689 ## Besluit op bezwaar ## [...]</t>
  </si>
  <si>
    <t>KSA__https___kansspelautoriteit.nl_sites_default_files_besluit_op_bezwaar_openbaar_call_internet_city.txt::Ontvanger</t>
  </si>
  <si>
    <t>KSA__https___kansspelautoriteit.nl_sites_default_files_besluit_op_bezwaar_openbaar_call_internet_city.txt</t>
  </si>
  <si>
    <t>[xxx], eigenaar van Call Internet City</t>
  </si>
  <si>
    <t>[xxx]</t>
  </si>
  <si>
    <t>[xxx], eigenaar van call internet city</t>
  </si>
  <si>
    <t>[xxx], eigenaar van Call Internet City [127:165]</t>
  </si>
  <si>
    <t>[xxx] [127:132]</t>
  </si>
  <si>
    <t>[...] , krachtens artikel 34 van de Kernenergiewet en artikel 3.4, vierde lid, artikel 3.9 en artikel 3.10, tweede lid van het Besluit basisveiligheidsnormen stralingsbescherming (Bbs) voor onbepaalde tijd conform de aanvraag vergunning verleend voor: ## A. TOESTELLEN Het verrichten van handelingen ten behoeve van veterinaire diagnostiek binnen de locatie van Dierenkliniek Nieuw Houten, gelegen aan de Lange Schaft 11 te Houten, met ioniserende str [...]</t>
  </si>
  <si>
    <t>ANVS__PUC_7107_32_1.txt::Ontvanger</t>
  </si>
  <si>
    <t>ANVS__PUC_7107_32_1.txt</t>
  </si>
  <si>
    <t>Implantologiepraktijk Aussems B.V.</t>
  </si>
  <si>
    <t>implantologiepraktijk aussems b.v</t>
  </si>
  <si>
    <t>Implantologiepraktijk Aussems B.V. [2174:2208]</t>
  </si>
  <si>
    <t>[...] ppenlijst | 11 | &lt;!-- image --&gt; Autoriteit Nucleaire Veiligheid en Stralingsbescherming Autoriteit Nucleaire Ons kenmerk ANVS-PP-2019/0050444-09 ## 1 Het besluit ## 1.1 Vergunning Aan Implantologiepraktijk Aussems B.V. gevestigd te Maastricht wordt, krachtens artikel 34 van de Kernenergiewet en de artikelen 3.4, vierde lid, 3.5 en 3.8, tweede lid en artikel 3.10, tweede lid van het Besluit basisveiligheidsnormen stralingsbescherming ( [...]</t>
  </si>
  <si>
    <t>ANVS__PUC_7107_32_1.txt::Besluitvormend Orgaan</t>
  </si>
  <si>
    <t>&lt;!-- image --&gt; ## Kansspelautoriteit Besluit van de Raad van Bestuur van de Kansspelautoriteit op het bezwaarschrift van [xxx], eigenaar van Call Internet City, tegen het besluit van 21 november 2013 tot het opleggen van een bestuurlijke boete (kenmerk 7970 / 00.017.935) vanwege het overtreden van artikel 30t, eerste lid, aanhef en onder c, van de Wet op de kansspelen Zaak: [...]</t>
  </si>
  <si>
    <t>DE AUTORITEIT NUCLEAIRE VEILIGHEID EN STRALINGSBESCHERMING [18571:18629]</t>
  </si>
  <si>
    <t>KSA__https___kansspelautoriteit.nl_sites_default_files_techo_offshore_limited_17393_invorderingsbesluit_20250526.txt::Rechtsobject</t>
  </si>
  <si>
    <t>KSA__https___kansspelautoriteit.nl_sites_default_files_techo_offshore_limited_17393_invorderingsbesluit_20250526.txt</t>
  </si>
  <si>
    <t>dwangsommen</t>
  </si>
  <si>
    <t>verbeurde dwangsommen</t>
  </si>
  <si>
    <t>dwangsommen [8000:8011]</t>
  </si>
  <si>
    <t>verbeurde dwangsommen [7990:8011]</t>
  </si>
  <si>
    <t>[...] disch deskundige en een toezichthoudend medewerker stralingsbescherming. ## 2.5 Conclusie Op grond van het bovenstaande heb ik besloten om tot verlening van de vergunning over to gaan. ## 3 Ondertekening DE AUTORITEIT NUCLEAIRE VEILIGHEID EN STRALINGSBESCHERMING, namens deze, ir. M.J. Korse-Noordhoek MTD, afdelingshoofd Belanghebbenden kunnen binnen 6 weken na de dag van verzending van dit besluit een bezwaarschrift indienen bij de Autoriteit Nucleaire Veiligheid en Stral [...]</t>
  </si>
  <si>
    <t>ANVS__PUC_7107_32_1.txt::Rechtshandeling</t>
  </si>
  <si>
    <t>verleend [2485:2494]</t>
  </si>
  <si>
    <t>verleend [2485:2493]</t>
  </si>
  <si>
    <t>[...] de Kernenergiewet en de artikelen 3.4, vierde lid, 3.5 en 3.8, tweede lid en artikel 3.10, tweede lid van het Besluit basisveiligheidsnormen stralingsbescherming (Bbs) voor onbepaalde tijd conform de aanvraag vergunning verleend voor: ## A. TOESTELLEN Het verrichten van handelingen ten behoeve van tandheelkundige diagnostiek binnen de locatie van Implantologiepraktijk Aussems B.V., gelegen aan Sint Servaasbolwerk 2 te Maastricht, met ionis [...]</t>
  </si>
  <si>
    <t>ANVS__PUC_7107_32_1.txt::Rechtsobject</t>
  </si>
  <si>
    <t>[...] en te betalen. Omdat Techno Offshore Limited niet binnen zes weken heeft voldaan aan haar betalingsverplichting besluit de Kansspelautoriteit op grond van artikel 5:37 van de Awb over te gaan tot het invorderen van deze verbeurde dwangsommen. 20. Het bedrag van €840.000,- dient binnen 6 weken na dagtekening van dit besluit te zijn overgemaakt op het rekeningnummer NL07ABNA0501634479, ABN-AMRO ten name van Kansspelautoriteit onder vermelding van het dossier [...]</t>
  </si>
  <si>
    <t>vergunning [2474:2485]</t>
  </si>
  <si>
    <t>ROT_1176e_charlois_Vergunning.txt::Ontvanger</t>
  </si>
  <si>
    <t>vergunning [2474:2484]</t>
  </si>
  <si>
    <t>ROT_1176e_charlois_Vergunning.txt</t>
  </si>
  <si>
    <t>ROT</t>
  </si>
  <si>
    <t>u [83:84]</t>
  </si>
  <si>
    <t>[...] kel 34 van de Kernenergiewet en de artikelen 3.4, vierde lid, 3.5 en 3.8, tweede lid en artikel 3.10, tweede lid van het Besluit basisveiligheidsnormen stralingsbescherming (Bbs) voor onbepaalde tijd conform de aanvraag vergunning verleend voor: ## A. TOESTELLEN Het verrichten van handelingen ten behoeve van tandheelkundige diagnostiek binnen de locatie van Implantologiepraktijk Aussems B.V., gelegen aan Sint Servaasbolwerk 2 te Maastricht, [...]</t>
  </si>
  <si>
    <t>ANVS__PUC_7672_32_1.txt::Ontvanger</t>
  </si>
  <si>
    <t>ANVS__PUC_7672_32_1.txt</t>
  </si>
  <si>
    <t>Evidensia Nederland B.V.</t>
  </si>
  <si>
    <t>evidensia nederland b.v</t>
  </si>
  <si>
    <t>Evidensia Nederland B.V. [1688:1712]</t>
  </si>
  <si>
    <t>[...] | 7 | | 3 | Ondertekening | 8 | | Bijlage A | Verklarende begrippenlijst | 9 | ## 1 Het besluit ## 1.1 Vergunning Aan Evidensia Nederland B.V. gevestigd te Vianen wordt, krachtens artikel 34 van de Kernenergiewet en artikel 3.4, vierde lid, van het Besluit basisveiligheidsnormen stralingsbescherming (Bbs) voor onbepaalde tijd conform de aanvraag vergunning ver [...]</t>
  </si>
  <si>
    <t>ANVS__PUC_7672_32_1.txt::Besluitvormend Orgaan</t>
  </si>
  <si>
    <t>DE AUTORITEIT NUCLEAIRE VEILIGHEID EN STRALINGSBESCHERMING [13252:13310]</t>
  </si>
  <si>
    <t>&lt;!-- image --&gt; ## Geachte, In antwoord op uw verzoek d.d. 08-07-2021 deel ik u mede, dat er ingevolge artikel 2:25 van de Algemene Plaatselijke Verordening van Rotterdam een vergunning verleend wordt voor: Evenement : Jubileumviering RKSV Spartaan'20 Type evenement : Evenement met co [...]</t>
  </si>
  <si>
    <t>ROT_132e_rotterdam-centrum_Vergunning.txt::Ontvanger</t>
  </si>
  <si>
    <t>ROT_132e_rotterdam-centrum_Vergunning.txt</t>
  </si>
  <si>
    <t>[...] schermingsdeskundige en een toezichthoudend medewerker stralingsbescherming. ## 2.5 Conclusie Op grond van het bovenstaande heb ik besloten om tot verlening van de vergunning over te gaan. ## 3 Ondertekening DE AUTORITEIT NUCLEAIRE VEILIGHEID EN STRALINGSBESCHERMING, namens deze, Dipl.-Ing. B.R. Keller, afdelingshoofd Belanghebbenden kunnen binnen 6 weken na de dag van verzending van dit besluit een bezwaarschrift indienen bij de Autoriteit Nucleaire Veiligheid en Stralingsbe [...]</t>
  </si>
  <si>
    <t>ANVS__PUC_7672_32_1.txt::Rechtshandeling</t>
  </si>
  <si>
    <t>verleend [1929:1938]</t>
  </si>
  <si>
    <t>verleend [1929:1937]</t>
  </si>
  <si>
    <t>[...] .V. gevestigd te Vianen wordt, krachtens artikel 34 van de Kernenergiewet en artikel 3.4, vierde lid, van het Besluit basisveiligheidsnormen stralingsbescherming (Bbs) voor onbepaalde tijd conform de aanvraag vergunning verleend voor: ## A. TOESTELLEN Het verrichten van handelingen ten behoeve van veterinaire diagnostiek binnen de locatie van Dierenkliniek Hoofdstraat, gelegen aan Hoofdstraat 121/123 te Driebergen-Rijsenburg, met ioniseren [...]</t>
  </si>
  <si>
    <t>ANVS__PUC_7672_32_1.txt::Rechtsobject</t>
  </si>
  <si>
    <t>&lt;!-- image --&gt; Geachte, In antwoord op het verzoek van 4 april 2024, deel ik u mede dat er ingevolge artikel 2:25 van de Algemene Plaatselijke Verordening van Rotterdam een vergunning verleend wordt voor: Evenement : STRANO 40 Jaar Categorie : A-evenement Datum en tijd(en) evenem [...]</t>
  </si>
  <si>
    <t>vergunning [1918:1929]</t>
  </si>
  <si>
    <t>vergunning [1918:1928]</t>
  </si>
  <si>
    <t>ROT_1847e_feijenoord_Vergunning.txt::Ontvanger</t>
  </si>
  <si>
    <t>ROT_1847e_feijenoord_Vergunning.txt</t>
  </si>
  <si>
    <t>u [84:85]</t>
  </si>
  <si>
    <t>[...] Nederland B.V. gevestigd te Vianen wordt, krachtens artikel 34 van de Kernenergiewet en artikel 3.4, vierde lid, van het Besluit basisveiligheidsnormen stralingsbescherming (Bbs) voor onbepaalde tijd conform de aanvraag vergunning verleend voor: ## A. TOESTELLEN Het verrichten van handelingen ten behoeve van veterinaire diagnostiek binnen de locatie van Dierenkliniek Hoofdstraat, gelegen aan Hoofdstraat 121/123 te Driebergen-Rijsenburg, met [...]</t>
  </si>
  <si>
    <t>ANVS__PUC_721539_32_1.txt::Ontvanger</t>
  </si>
  <si>
    <t>ANVS__PUC_721539_32_1.txt</t>
  </si>
  <si>
    <t>UT Quality B.V.</t>
  </si>
  <si>
    <t>ut quality b.v</t>
  </si>
  <si>
    <t>UT Quality B.V. [1581:1596]</t>
  </si>
  <si>
    <t>[...] | 6 | | 2.5 | Conclusie | 7 | | 3 | Ondertekening | 8 | ## 1 Het besluit ## 1.1 Vergunning De op 26 juli 2013, aan UT Quality B.V. gevestigd te Dordrecht, verleende vergunning met nummer 2013/0170-15, laatstelijk gewijzigd op 23 juli 2021 met nummer ANVS-PP-2021/0084484-03, wordt op grond van artikel 34 van de Kernenergiewet en de artikelen 3.4, vi [...]</t>
  </si>
  <si>
    <t>ANVS__PUC_721539_32_1.txt::Besluitvormend Orgaan</t>
  </si>
  <si>
    <t>DE AUTORITEIT NUCLEAIRE VEILIGHEID EN STRALINGSBESCHERMING [11406:11464]</t>
  </si>
  <si>
    <t>&lt;!-- image --&gt; ## Geachte In antwoord op het verzoek van 11 mei 2023, deel ik u mede dat er ingevolge artikel 2:25 van de Algemene Plaatselijke Verordening van Rotterdam een vergunning verleend wordt voor: Evenement Categorie : Zazz concerten : A-evenement Datum en tijd(en) evenement [...]</t>
  </si>
  <si>
    <t>ROT_2187e_hoek-van-holland_Vergunning.txt::Ontvanger</t>
  </si>
  <si>
    <t>ROT_2187e_hoek-van-holland_Vergunning.txt</t>
  </si>
  <si>
    <t>[...] Op grond van het bovenstaande heb ik besloten om tot wijziging van de vergunning over te gaan. Autoriteit Nucleaire Veiligheid en Stralingsbescherming Ons kenmerk ANVS-PP-2022/0088409-05 ## 3 Ondertekening DE AUTORITEIT NUCLEAIRE VEILIGHEID EN STRALINGSBESCHERMING, namens deze, Dipl.-Ing. B.R. Keller, afdelingshoofd Belanghebbenden kunnen binnen 6 weken na de dag van verzending van dit besluit een bezwaarschrift indienen bij de Autoriteit Nucleaire Veiligheid en Stralingsbe [...]</t>
  </si>
  <si>
    <t>ANVS__PUC_721539_32_1.txt::Rechtshandeling</t>
  </si>
  <si>
    <t>u [88:89]</t>
  </si>
  <si>
    <t>gewijzigd [1916:1926]</t>
  </si>
  <si>
    <t>gewijzigd [1916:1925]</t>
  </si>
  <si>
    <t>[...] uli 2021 met nummer ANVS-PP-2021/0084484-03, wordt op grond van artikel 34 van de Kernenergiewet en de artikelen 3.4, vierde lid, 3.5 en 3.8, eerste lid van het Besluit basisveiligheidsnormen stralingsbescherming (Bbs), gewijzigd conform de aanvraag. Aan het vergunde in hoofdstuk 1, onder C. TOESTELLEN OP VASTE LOCATIES, wordt na onderdeel 3 het volgende nieuwe onderdeel toegevoegd: 4. één toestel met een hoogspanning van maximaal 200 kilov [...]</t>
  </si>
  <si>
    <t>ANVS__PUC_721539_32_1.txt::Rechtsobject</t>
  </si>
  <si>
    <t>vergunning [1631:1642]</t>
  </si>
  <si>
    <t>vergunning [1631:1641]</t>
  </si>
  <si>
    <t>&lt;!-- image --&gt; ## Geachte In antwoord op het verzoek van 1 december 2024, deel ik u mede dat er ingevolge artikel 2:25 van de Algemene Plaatselijke Verordening van Rotterdam een vergunning verleend wordt voor: Evenement Categorie Data en tijden evenement : Kofferbakverkoop HvH : A-evenement [...]</t>
  </si>
  <si>
    <t>ROT_2466e_hoogvliet_Vergunning.txt::Ontvanger</t>
  </si>
  <si>
    <t>[...] | 7 | | 3 | Ondertekening | 8 | ## 1 Het besluit ## 1.1 Vergunning De op 26 juli 2013, aan UT Quality B.V. gevestigd te Dordrecht, verleende vergunning met nummer 2013/0170-15, laatstelijk gewijzigd op 23 juli 2021 met nummer ANVS-PP-2021/0084484-03, wordt op grond van artikel 34 van de Kernenergiewet en de artikelen 3.4, vierde lid, 3.5 en 3.8, eerste lid van het Beslu [...]</t>
  </si>
  <si>
    <t>ROT_2466e_hoogvliet_Vergunning.txt</t>
  </si>
  <si>
    <t>ANVS__PUC_731277_32_1.txt::Ontvanger</t>
  </si>
  <si>
    <t>ANVS__PUC_731277_32_1.txt</t>
  </si>
  <si>
    <t>Stichting Nederlandse Wetenschappelijk Onderzoek Instituten</t>
  </si>
  <si>
    <t>stichting nederlandse wetenschappelijk onderzoek instituten</t>
  </si>
  <si>
    <t>Stichting Nederlandse Wetenschappelijk Onderzoek Instituten [1630:1689]</t>
  </si>
  <si>
    <t>[...] | 7 | | 2.5 | Conclusie | 7 | | 3 | Ondertekening | 8 | ## 1 Het besluit ## 1.1 Vergunning De op 5 december 2018, aan Stichting Nederlandse Wetenschappelijk Onderzoek Instituten gevestigd te Utrecht, verleende vergunning met nummer ANVS-TSB-2018/0047704-07, wordt op grond van artikel 34 van de Kernenergiewet (Kew) en de artikelen 3.5 en 3.8, eerste en tweede lid, van het Besluit basisveiligheid [...]</t>
  </si>
  <si>
    <t>ANVS__PUC_731277_32_1.txt::Besluitvormend Orgaan</t>
  </si>
  <si>
    <t>DE AUTORITEIT NUCLEAIRE VEILIGHEID EN STRALINGSBESCHERMING [12247:12305]</t>
  </si>
  <si>
    <t>[...] n voor leden van de bevolking en werknemers niet overschreden zullen worden. ## 2.5 Conclusie Op grond van het bovenstaande heb ik besloten om tot wijziging van de vergunning over te gaan. ## 3 Ondertekening DE AUTORITEIT NUCLEAIRE VEILIGHEID EN STRALINGSBESCHERMING, namens deze, Dipl.-Ing. B.R. Keller, afdelingshoofd Belanghebbenden kunnen binnen 6 weken na de dag van verzending van dit besluit een bezwaarschrift indienen bij de Autoriteit Nucleaire Veiligheid en Stralingsbe [...]</t>
  </si>
  <si>
    <t>ANVS__PUC_731277_32_1.txt::Rechtshandeling</t>
  </si>
  <si>
    <t>&lt;!-- image --&gt; ## Geachte In antwoord op het verzoek van 7 juni 2022, deel ik u mede dat er ingevolge artikel 2:25 van de Algemene Plaatselijke Verordening van Rotterdam een vergunning verleend wordt voor: Evenement Categorie : Urban Day winkelcentrum Hoogvliet : A-evenement Datum en [...]</t>
  </si>
  <si>
    <t>ROT_2487e_hoogvliet_Vergunning.txt::Ontvanger</t>
  </si>
  <si>
    <t>ROT_2487e_hoogvliet_Vergunning.txt</t>
  </si>
  <si>
    <t>gewijzigd [1945:1955]</t>
  </si>
  <si>
    <t>gewijzigd [1945:1954]</t>
  </si>
  <si>
    <t>[...] gunning met nummer ANVS-TSB-2018/0047704-07, wordt op grond van artikel 34 van de Kernenergiewet (Kew) en de artikelen 3.5 en 3.8, eerste en tweede lid, van het Besluit basisveiligheidsnormen stralingsbescherming (Bbs), gewijzigd conform de aanvraag. Van het vergunde in hoofdstuk 1, onder B. TOESTELLEN, Instituut AMOLF, wordt de aanhef als volgt gewijzigd: ## Instituut AMOLF Het verrichten van handelingen ten behoeve van wetenschappelijk [...]</t>
  </si>
  <si>
    <t>ANVS__PUC_731277_32_1.txt::Rechtsobject</t>
  </si>
  <si>
    <t>vergunning [1722:1733]</t>
  </si>
  <si>
    <t>vergunning [1722:1732]</t>
  </si>
  <si>
    <t>[...] ndertekening | 8 | ## 1 Het besluit ## 1.1 Vergunning De op 5 december 2018, aan Stichting Nederlandse Wetenschappelijk Onderzoek Instituten gevestigd te Utrecht, verleende vergunning met nummer ANVS-TSB-2018/0047704-07, wordt op grond van artikel 34 van de Kernenergiewet (Kew) en de artikelen 3.5 en 3.8, eerste en tweede lid, van het Besluit basisveiligheidsnormen stralingsbescherming (Bbs), gewijzig [...]</t>
  </si>
  <si>
    <t>ANVS__PUC_732934_32_1.txt::Ontvanger</t>
  </si>
  <si>
    <t>ANVS__PUC_732934_32_1.txt</t>
  </si>
  <si>
    <t>Stichting Het Nederlands Kanker InstituutAntoni van Leeuwenhoek Ziekenhuis</t>
  </si>
  <si>
    <t>&lt;!-- image --&gt; ## Geachte heer In antwoord op uw verzoek d.d. 9 juni 2021 deel ik u mede, dat er ingevolge artikel 2:25 van de Algemene Plaatselijke Verordening van Rotterdam een vergunning verleend wordt voor: Evenement : Circus in de Zorg Type evenement : Evenement met coronatoegangsbew [...]</t>
  </si>
  <si>
    <t>ROT_2973e_kralingen-crooswijk_Vergunning.txt::Ontvanger</t>
  </si>
  <si>
    <t>ROT_2973e_kralingen-crooswijk_Vergunning.txt</t>
  </si>
  <si>
    <t>stichting het nederlands kanker instituutantoni van leeuwenhoek ziekenhuis</t>
  </si>
  <si>
    <t>Stichting Het Nederlands Kanker InstituutAntoni van Leeuwenhoek Ziekenhuis [1746:1820]</t>
  </si>
  <si>
    <t>u [79:80]</t>
  </si>
  <si>
    <t>[...] | 10 | | 3 | Ondertekening | 11 | ## Ons kenmerk ANVS-PP-2018/0047694-10 ## 1 Het besluit ## 1.1 Vergunning De op 20 oktober 2011, aan Stichting Het Nederlands Kanker InstituutAntoni van Leeuwenhoek Ziekenhuis (hierna: NKI) gevestigd te Amsterdam, verleende vergunning met nummer 2011/1331-6, laatstelijk gewijzigd op 7 september 2018, met nummer 2018/0305-06, wordt op grond van artikel 15 onder a, artikel 29 en 34 van de Kern [...]</t>
  </si>
  <si>
    <t>ANVS__PUC_732934_32_1.txt::Besluitvormend Orgaan</t>
  </si>
  <si>
    <t>DE AUTORITEIT NUCLEAIRE VEILIGHEID EN STRALINGSBESCHERMING [18160:18218]</t>
  </si>
  <si>
    <t>[...] p grond van het bovenstaande heb ik besloten om tot wijziging van de vergunning over te gaan. Autoriteit Nucleaire Veiligheid en Stralingsbescherming Ons kenmerk ANVS-PP-2018/0047694-10 ## 3 Ondertekening DE AUTORITEIT NUCLEAIRE VEILIGHEID EN STRALINGSBESCHERMING, namens deze, ir . M.J. Korse-Noordhoek MTD, afdelingshoofd Belanghebbenden kunnen binnen 6 weken na de dag van verzending van dit besluit een bezwaarschrift indienen bij de Autoriteit Nucleaire Veiligheid en Str [...]</t>
  </si>
  <si>
    <t>ANVS__PUC_732934_32_1.txt::Rechtshandeling</t>
  </si>
  <si>
    <t>samengevoegd | gewijzigd</t>
  </si>
  <si>
    <t>&lt;!-- image --&gt; Geachte, In antwoord op het verzoek van 3-5-2022, deel ik u mede dat er ingevolge artikel 2:25 van de Algemene Plaatselijke Verordening van Rotterdam een vergunning verleend wordt voor: Evenement Categorie Datum en tijd(en) evenement Locatie Gebied Data en tijden op- en afbou [...]</t>
  </si>
  <si>
    <t>gewijzigd | samengevoegd</t>
  </si>
  <si>
    <t>ROT_3170e_noord_Vergunning.txt::Ontvanger</t>
  </si>
  <si>
    <t>ROT_3170e_noord_Vergunning.txt</t>
  </si>
  <si>
    <t>samengevoegd [2193:2206] || gewijzigd [2350:2360]</t>
  </si>
  <si>
    <t>gewijzigd [2350:2359] || samengevoegd [2193:2205]</t>
  </si>
  <si>
    <t>u [100:101]</t>
  </si>
  <si>
    <t>[...] wordt op grond van artikel 15 onder a, artikel 29 en 34 van de Kernenergiewet en de artikelen 3.5 en 3.8, eerste, derde en vierde lid van het Besluit basisveiligheidsnormen stralingsbescherming (Bbs) conform de aanvraag samengevoegd met de op 28 september 2016 verleende vergunning met nummer 2016/0513-12, laatstelijk gewijzigd op 7 september 2018, met nummer 2018/0305-06 en gewijzigd conform de aanvraag. Hoofdstuk 1, onderdeel I wordt als volgt gewijzigd: Onder vernummering van A.RADIOACTIEVE STOFFEN EN SPLIJTSTOFFEN worden na volgnummer 14 twee onderdelen ingevoegd: 15. Het voorhanden hebbe [...]</t>
  </si>
  <si>
    <t>ANVS__PUC_732934_32_1.txt::Rechtsobject</t>
  </si>
  <si>
    <t>vergunning [1869:1880]</t>
  </si>
  <si>
    <t>vergunning [1869:1879]</t>
  </si>
  <si>
    <t>[...] ANVS-PP-2018/0047694-10 ## 1 Het besluit ## 1.1 Vergunning De op 20 oktober 2011, aan Stichting Het Nederlands Kanker InstituutAntoni van Leeuwenhoek Ziekenhuis (hierna: NKI) gevestigd te Amsterdam, verleende vergunning met nummer 2011/1331-6, laatstelijk gewijzigd op 7 september 2018, met nummer 2018/0305-06, wordt op grond van artikel 15 onder a, artikel 29 en 34 van de Kernenergiewet en de artikelen 3.5 en 3.8, eerste, derde en vier [...]</t>
  </si>
  <si>
    <t>ANVS__PUC_759074_32_1.txt::Ontvanger</t>
  </si>
  <si>
    <t>ANVS__PUC_759074_32_1.txt</t>
  </si>
  <si>
    <t>R.A. Nederhof, H. van Lom en G.H.H. Blankenvoorde</t>
  </si>
  <si>
    <t>&lt;!-- image --&gt; ## Geachte heer/mevrouw In antwoord op het verzoek van 11 oktober 2022 deel ik u mede dat er ingevolge artikel 2:25 van de Algemene Plaatselijke Verordening van Rotterdam een vergunning verleend wordt voor: Evenement : Veggie Fair Rotterdam Categorie : A-evenement Datum en tijd(en) [...]</t>
  </si>
  <si>
    <t>r.a. nederhof, h. van lom en g.h.h. blankenvoorde</t>
  </si>
  <si>
    <t>ROT_319e_rotterdam-centrum_Vergunning.txt::Ontvanger</t>
  </si>
  <si>
    <t>ROT_319e_rotterdam-centrum_Vergunning.txt</t>
  </si>
  <si>
    <t>R.A. Nederhof, H. van Lom en G.H.H. Blankenvoorde [1832:1881]</t>
  </si>
  <si>
    <t>u [86:87]</t>
  </si>
  <si>
    <t>[...] | 9 | | 3 | Ondertekening | 10 | | Bijlage A | Verklarende begrippenlijst | 11 | ## 1 Het besluit ## 1.1 Vergunning Aan R.A. Nederhof, H. van Lom en G.H.H. Blankenvoorde, handelend in maatschapsverband onder de naam Diergeneeskundig Centrum gevestigd te Dalfsen wordt, krachtens artikel 34 van de Kernenergiewet (Kew) en artikel 3.4, vierde lid van het Besluit basisveiligheidsnormen stral [...]</t>
  </si>
  <si>
    <t>ANVS__PUC_759074_32_1.txt::Besluitvormend Orgaan</t>
  </si>
  <si>
    <t>DE AUTORITEIT NUCLEAIRE VEILIGHEID EN STRALINGSBESCHERMING [16321:16379]</t>
  </si>
  <si>
    <t>[...] schermingsdeskundige en een toezichthoudend medewerker stralingsbescherming. ## 2.5 Conclusie Op grond van het bovenstaande heb ik besloten om tot verlening van de vergunning over te gaan. ## 3 Ondertekening DE AUTORITEIT NUCLEAIRE VEILIGHEID EN STRALINGSBESCHERMING, namens deze, ir . Y . Franken, teamleider Belanghebbenden kunnen binnen 6 weken na de dag van verzending van dit besluit een bezwaarschrift indienen bij de Autoriteit Nucleaire Veiligheid en Stralingsbescherming, [...]</t>
  </si>
  <si>
    <t>ANVS__PUC_759074_32_1.txt::Rechtshandeling</t>
  </si>
  <si>
    <t>&lt;!-- image --&gt; ## Geachte In antwoord op het verzoek van 10 maart 2024, deel ik u mede dat er ingevolge artikel 2:25 van de Algemene Plaatselijke Verordening van Rotterdam een vergunning verleend wordt voor: Evenement : 14th of May Memorial Regatta Rotterdam Categorie : A-evenement D [...]</t>
  </si>
  <si>
    <t>ROT_3269e_overschie_Vergunning.txt::Ontvanger</t>
  </si>
  <si>
    <t>verleend [2175:2184]</t>
  </si>
  <si>
    <t>ROT_3269e_overschie_Vergunning.txt</t>
  </si>
  <si>
    <t>verleend [2175:2183]</t>
  </si>
  <si>
    <t>[...] vestigd te Dalfsen wordt, krachtens artikel 34 van de Kernenergiewet (Kew) en artikel 3.4, vierde lid van het Besluit basisveiligheidsnormen stralingsbescherming (Bbs) voor onbepaalde tijd conform de aanvraag vergunning verleend voor: ## A. TOESTELLEN Het verrichten van handelingen ten behoeve van veterinaire diagnostiek binnen de locatie van Diergeneeskundig Centrum Dalfsen, gelegen aan Van Ittersumstraat 1 te Dalfsen, met ioniserende str [...]</t>
  </si>
  <si>
    <t>ANVS__PUC_759074_32_1.txt::Rechtsobject</t>
  </si>
  <si>
    <t>vergunning [2164:2175]</t>
  </si>
  <si>
    <t>vergunning [2164:2174]</t>
  </si>
  <si>
    <t>[...] Centrum gevestigd te Dalfsen wordt, krachtens artikel 34 van de Kernenergiewet (Kew) en artikel 3.4, vierde lid van het Besluit basisveiligheidsnormen stralingsbescherming (Bbs) voor onbepaalde tijd conform de aanvraag vergunning verleend voor: ## A. TOESTELLEN Het verrichten van handelingen ten behoeve van veterinaire diagnostiek binnen de locatie van Diergeneeskundig Centrum Dalfsen, gelegen aan Van Ittersumstraat 1 te Dalfsen, met ionise [...]</t>
  </si>
  <si>
    <t>ANVS__PUC_795873_32_1.txt::Ontvanger</t>
  </si>
  <si>
    <t>ANVS__PUC_795873_32_1.txt</t>
  </si>
  <si>
    <t>Erik Zimmermann</t>
  </si>
  <si>
    <t>erik zimmermann</t>
  </si>
  <si>
    <t>&lt;!-- image --&gt; ## Geachte In antwoord op het verzoek van 12 maart 2024, deel ik u mede dat er ingevolge artikel 2:25 van de Algemene Plaatselijke Verordening van Rotterdam een vergunning verleend wordt voor: Evenement : Sprookjes Festival 2024 Categorie : A-evenement Datum en tijd(en [...]</t>
  </si>
  <si>
    <t>Erik Zimmermann [1760:1775]</t>
  </si>
  <si>
    <t>ROT_3554e_prins-alexander_Vergunning.txt::Ontvanger</t>
  </si>
  <si>
    <t>ROT_3554e_prins-alexander_Vergunning.txt</t>
  </si>
  <si>
    <t>u [81:82]</t>
  </si>
  <si>
    <t>[...] rtekening | 11 | | Bijlage A | Verklarende begrippenlijst | 12 | ## Ons kenmerk ANVS-PP-2025/0115960-08 ## 1 Het besluit ## 1.1 Vergunning Aan Erik Zimmermann, handelend onder de naam Erik Zimmermann Equine Veterinarian Support, statutair gevestigd te Eindhoven wordt, krachtens artikel 34 van de Kernenergiewet (Kew) en de artikelen 3.5 en 3.8, eerste lid van het Besluit basis [...]</t>
  </si>
  <si>
    <t>ANVS__PUC_795873_32_1.txt::Besluitvormend Orgaan</t>
  </si>
  <si>
    <t>DE AUTORITEIT NUCLEAIRE VEILIGHEID EN STRALINGSBESCHERMING [16970:17028]</t>
  </si>
  <si>
    <t>[...] p grond van het bovenstaande heb ik besloten om tot verlening van de vergunning over te gaan. Autoriteit Nucleaire Veiligheid en Stralingsbescherming Ons kenmerk ANVS-PP-2025/0115960-08 ## 3 Ondertekening DE AUTORITEIT NUCLEAIRE VEILIGHEID EN STRALINGSBESCHERMING, namens deze, Dipl.-Ing. B.R. Keller, directeur Belanghebbenden kunnen binnen 6 weken na de dag van verzending van dit besluit een bezwaarschrift indienen bij de Autoriteit Nucleaire Veiligheid en Stralingsbescher [...]</t>
  </si>
  <si>
    <t>ANVS__PUC_795873_32_1.txt::Rechtshandeling</t>
  </si>
  <si>
    <t>verleend [2092:2101]</t>
  </si>
  <si>
    <t>verleend [2092:2100]</t>
  </si>
  <si>
    <t>&lt;!-- image --&gt; Geachte , In antwoord op het verzoek van 11-4-2023, deel ik u mede dat er ingevolge artikel 2:25 van de Algemene Plaatselijke Verordening van Rotterdam een vergunning verleend wordt voor: Evenement Categorie : Sint Jansfeest : A-evenement Datum en tijd(en) evenement [...]</t>
  </si>
  <si>
    <t>ROT_3668e_prins-alexander_Vergunning.txt::Ontvanger</t>
  </si>
  <si>
    <t>ROT_3668e_prins-alexander_Vergunning.txt</t>
  </si>
  <si>
    <t>[...] dhoven wordt, krachtens artikel 34 van de Kernenergiewet (Kew) en de artikelen 3.5 en 3.8, eerste lid van het Besluit basisveiligheidsnormen stralingsbescherming (Bbs) voor onbepaalde tijd conform de aanvraag vergunning verleend voor: ## A. TOESTELLEN, MOBIEL Het verrichten van handelingen ten behoeve van veterinaire diagnostiek bij paarden op steeds wisselende plaatsen in geheel Nederland, met ioniserende straling uitzendende toestellen b [...]</t>
  </si>
  <si>
    <t>ANVS__PUC_795873_32_1.txt::Rechtsobject</t>
  </si>
  <si>
    <t>u [103:104]</t>
  </si>
  <si>
    <t>vergunning [2081:2092]</t>
  </si>
  <si>
    <t>&lt;!-- image --&gt; ## Geachte heer, mevrouw In antwoord op het verzoek van 04 november 2021, deel ik u mede dat er ingevolge artikel 2:25 van de Algemene Plaatselijke Verordening van Rotterdam een vergunning verleend wordt voor: Evenement : Sinterklaasfeest Categorie : A-evenement met coronatoegangsbewijs [...]</t>
  </si>
  <si>
    <t>ROT_3687e_prins-alexander_Vergunning.txt::Ontvanger</t>
  </si>
  <si>
    <t>ROT_3687e_prins-alexander_Vergunning.txt</t>
  </si>
  <si>
    <t>vergunning [2081:2091]</t>
  </si>
  <si>
    <t>u [89:90]</t>
  </si>
  <si>
    <t>[...] tigd te Eindhoven wordt, krachtens artikel 34 van de Kernenergiewet (Kew) en de artikelen 3.5 en 3.8, eerste lid van het Besluit basisveiligheidsnormen stralingsbescherming (Bbs) voor onbepaalde tijd conform de aanvraag vergunning verleend voor: ## A. TOESTELLEN, MOBIEL Het verrichten van handelingen ten behoeve van veterinaire diagnostiek bij paarden op steeds wisselende plaatsen in geheel Nederland, met ioniserende straling uitzendende toe [...]</t>
  </si>
  <si>
    <t>Autoriteit_Persoonsgegevens__https___www.autoriteitpersoonsgegevens.nl_system_files_file=2024-11_Besluit%20vergunning%20collectief%20winkelverbod%20Muntplein%20Nieuwegein.txt::Ontvanger</t>
  </si>
  <si>
    <t>Autoriteit_Persoonsgegevens__https___www.autoriteitpersoonsgegevens.nl_system_files_file=2024-11_Besluit%20vergunning%20collectief%20winkelverbod%20Muntplein%20Nieuwegein.txt</t>
  </si>
  <si>
    <t>Centrum voor Criminaliteitspreventie en Veiligheid [418:468]</t>
  </si>
  <si>
    <t>[...] de verwerking 'Collectief Winkelverbod' door de in de bijlage genoemde winkeliers van het winkelgebied Muntplein- 2024-025397 ## 1 Inleiding: aanleiding vergunningaanvraag 1. Op maandag 2 september 2024 heeft het Centrum voor Criminaliteitspreventie en Veiligheid (hierna: het CCV) - ingevolge artikel 33, vierde lid, aanhef en onder c, van de Uitvoeringswet Algemene verordening gegevensbescherming (UAVG) - bij de Autoriteit Persoonsgegevens (AP) een bulkvergunningaanvraag ingedie [...]</t>
  </si>
  <si>
    <t>Autoriteit_Persoonsgegevens__https___www.autoriteitpersoonsgegevens.nl_system_files_file=2024-11_Besluit%20vergunning%20collectief%20winkelverbod%20Muntplein%20Nieuwegein.txt::Besluitvormend Orgaan</t>
  </si>
  <si>
    <t>&lt;!-- image --&gt; ## Geachte, In antwoord op uw verzoek d.d. 3 september 2021 deel ik u mede, dat er ingevolge artikel 2:25 van de Algemene Plaatselijke Verordening van Rotterdam een vergunning verleend wordt voor: | Evenement | : | Pop- Up Zomerparade [...]</t>
  </si>
  <si>
    <t>ROT_46c_delfshaven_Vergunning.txt::Ontvanger</t>
  </si>
  <si>
    <t>ROT_46c_delfshaven_Vergunning.txt</t>
  </si>
  <si>
    <t>Autoriteit Persoonsgegevens [15345:15372]</t>
  </si>
  <si>
    <t>u [87:88]</t>
  </si>
  <si>
    <t>[...] chrift indienen, zie www.autoriteitpersoonsgegevens.nl. onder het kopje 'Bezwaar maken tegen een besluit'. Het indienen van een bezwaarschrift schort de werking van dit besluit niet op. Den Haag, 24 september 2024 Autoriteit Persoonsgegevens, Overeenkomstig het door de Autoriteit Persoonsgegevens genomen besluit, ir. N.G. de Jong Directeur Systeemtoezicht, Beveiliging en Technologie &lt;!-- image --&gt; Datum 24 september 2024 Ons kenmerk 202 [...]</t>
  </si>
  <si>
    <t>Autoriteit_Persoonsgegevens__https___www.autoriteitpersoonsgegevens.nl_system_files_file=2024-11_Besluit%20vergunning%20collectief%20winkelverbod%20Muntplein%20Nieuwegein.txt::Rechtshandeling</t>
  </si>
  <si>
    <t>Category</t>
  </si>
  <si>
    <t>verlening [14535:14545]</t>
  </si>
  <si>
    <t>verlening [14535:14544]</t>
  </si>
  <si>
    <t>N</t>
  </si>
  <si>
    <t>Percentage</t>
  </si>
  <si>
    <t>&lt;!-- image --&gt; Geachte, In antwoord op het verzoek van 14 februari 2025, deel ik u mede dat er ingevolge artikel 2:25 van de Algemene Plaatselijke Verordening van Rotterdam een vergunning verleend wordt voor: Evenement : Categorie : Datum en tijd(en) evenement : Werelds Delfshaven 2025 A-even [...]</t>
  </si>
  <si>
    <t>[...] rmeren aan de reeds door de AP beoordeelde modelprotocol en model-DPIA (versie april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 7 Afsluiting en rechtsmiddel Indien u het nie [...]</t>
  </si>
  <si>
    <t>ROT_132e_rotterdam-centrum_Vergunning.txt::Rechtshandeling</t>
  </si>
  <si>
    <t>Autoriteit_Persoonsgegevens__https___www.autoriteitpersoonsgegevens.nl_system_files_file=2024-11_Besluit%20vergunning%20collectief%20winkelverbod%20Muntplein%20Nieuwegein.txt::Rechtsobject</t>
  </si>
  <si>
    <t>vergunning [14553:14564]</t>
  </si>
  <si>
    <t>vergunning [179:190]</t>
  </si>
  <si>
    <t>vergunning [14553:14563]</t>
  </si>
  <si>
    <t>verleend [190:198]</t>
  </si>
  <si>
    <t>[...] s door de AP beoordeelde modelprotocol en model-DPIA (versie april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 7 Afsluiting en rechtsmiddel Indien u het niet eens bent met dit [...]</t>
  </si>
  <si>
    <t>Autoriteit_Persoonsgegevens__https___www.autoriteitpersoonsgegevens.nl_system_files_file=2024-12_Besluit%20Vergunning%20collectieve%20horecaontzegging%20Rembrandt%20District.txt::Ontvanger</t>
  </si>
  <si>
    <t>Autoriteit_Persoonsgegevens__https___www.autoriteitpersoonsgegevens.nl_system_files_file=2024-12_Besluit%20Vergunning%20collectieve%20horecaontzegging%20Rembrandt%20District.txt</t>
  </si>
  <si>
    <t>Koninklijke Horeca Nederland</t>
  </si>
  <si>
    <t>koninklijke horeca nederland</t>
  </si>
  <si>
    <t>Koninklijke Horeca Nederland [433:461]</t>
  </si>
  <si>
    <t>[...] king 'Collectieve Horecaontzegging' door de in de bijlage genoemde horecaondernemers van het horecagebied Rembrandt District- 2024-026481 ## 1 Inleiding: aanleiding vergunningaanvraag 1. Op 12 september 2024 heeft Koninklijke Horeca Nederland (hierna: KHN) - ingevolge artikel 33, vierde lid, aanhef en onder c, van de Uitvoeringswet Algemene verordening gegevensbescherming (UAVG) - bij de Autoriteit Persoonsgegevens (AP) een bulkvergunningaanvraag ingediend n [...]</t>
  </si>
  <si>
    <t>Autoriteit_Persoonsgegevens__https___www.autoriteitpersoonsgegevens.nl_system_files_file=2024-12_Besluit%20Vergunning%20collectieve%20horecaontzegging%20Rembrandt%20District.txt::Besluitvormend Orgaan</t>
  </si>
  <si>
    <t>&lt;!-- image --&gt; Geachte, In antwoord op het verzoek van 4 april 2024, deel ik u mede dat er ingevolge artikel 2:25 van de Algemene Plaatselijke Verordening van Rotterdam een vergunning verleend wordt voor: Evenement : STRANO 40 Jaar Categorie : A-evenement Datum en tijd(en) evenement : Vrijdag 27 september 2024 van 17:00 tot 23:00 uur Zaterdag 28 september 2024 van 14:00 tot 23:00 uur [...]</t>
  </si>
  <si>
    <t>ROT_132e_rotterdam-centrum_Vergunning.txt::Rechtsobject</t>
  </si>
  <si>
    <t>Autoriteit Persoonsgegevens [17216:17243]</t>
  </si>
  <si>
    <t>verleend [190:199]</t>
  </si>
  <si>
    <t>vergunning [179:189]</t>
  </si>
  <si>
    <t>[...] schrift indienen, zie www.autoriteitpersoonsgegevens.nl. onder het kopje 'Bezwaar maken tegen een besluit'. Het indienen van een bezwaarschrift schort de werking van dit besluit niet op. Den Haag, 12 november 2024 Autoriteit Persoonsgegevens, Overeenkomstig het door de Autoriteit Persoonsgegevens genomen besluit, ## ir. N.G. de Jong Directeur Systeemtoezicht, Beveiliging en Technologie ## Ons kenmerk 2024-026481 &lt;!-- image --&gt; Datum [...]</t>
  </si>
  <si>
    <t>Autoriteit_Persoonsgegevens__https___www.autoriteitpersoonsgegevens.nl_system_files_file=2024-12_Besluit%20Vergunning%20collectieve%20horecaontzegging%20Rembrandt%20District.txt::Rechtshandeling</t>
  </si>
  <si>
    <t>verlening [16407:16417]</t>
  </si>
  <si>
    <t>verlening [16407:16416]</t>
  </si>
  <si>
    <t>[...] ren aan de reeds door de AP beoordeelde modelprotocol en model-DPIA (versie augustus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 7 Afsluiting en rechtsmiddel Indien u het nie [...]</t>
  </si>
  <si>
    <t>Autoriteit_Persoonsgegevens__https___www.autoriteitpersoonsgegevens.nl_system_files_file=2024-12_Besluit%20Vergunning%20collectieve%20horecaontzegging%20Rembrandt%20District.txt::Rechtsobject</t>
  </si>
  <si>
    <t>vergunning [16425:16436]</t>
  </si>
  <si>
    <t>vergunning [16425:16435]</t>
  </si>
  <si>
    <t>[...] oor de AP beoordeelde modelprotocol en model-DPIA (versie augustus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 7 Afsluiting en rechtsmiddel Indien u het niet eens bent met dit [...]</t>
  </si>
  <si>
    <t>Rijksoverheid__111_Definitief-besluit-subsidie-pilotproject-van-Gogh-Nationaal-Park.txt::Besluitvormend Orgaan</t>
  </si>
  <si>
    <t>Rijksoverheid__111_Definitief-besluit-subsidie-pilotproject-van-Gogh-Nationaal-Park.txt</t>
  </si>
  <si>
    <t>Rijksoverheid</t>
  </si>
  <si>
    <t>Ministerie van Landbouw, Natuur en Voedselkwaliteit</t>
  </si>
  <si>
    <t>or Natuur en Stikstof, De Minister</t>
  </si>
  <si>
    <t>ministerie van landbouw, natuur en voedselkwaliteit</t>
  </si>
  <si>
    <t>or natuur en stikstof, de minister</t>
  </si>
  <si>
    <t>Ministerie van Landbouw, Natuur en Voedselkwaliteit [14648:14699]</t>
  </si>
  <si>
    <t>or Natuur en Stikstof, De Minister [14754:14788]</t>
  </si>
  <si>
    <t>Autoriteit_Persoonsgegevens__https___www.autoriteitpersoonsgegevens.nl_system_files_file=2025-01_Besluit%20vergunning%20collectief%20winkelverbod%20Rotterdam%20Zuidplein.txt::Besluitvormend Orgaan</t>
  </si>
  <si>
    <t>Autoriteit Persoonsgegevens [15703:15730]</t>
  </si>
  <si>
    <t>[...] schrift indienen, zie www.autoriteitpersoonsgegevens.nl. onder het kopje 'Bezwaar maken tegen een besluit'. Het indienen van een bezwaarschrift schort de werking van dit besluit niet op. Den Haag, 12 december 2024 Autoriteit Persoonsgegevens, Overeenkomstig het door de Autoriteit Persoonsgegevens genomen besluit, ir. N.G. de Jong Directeur Systeemtoezicht, Beveiliging en Technologie ## Ons kenmerk 2024-030739 &lt;!-- image --&gt; Datum 12 decemb [...]</t>
  </si>
  <si>
    <t>Autoriteit_Persoonsgegevens__https___www.autoriteitpersoonsgegevens.nl_system_files_file=2025-01_Besluit%20vergunning%20collectief%20winkelverbod%20Rotterdam%20Zuidplein.txt::Rechtshandeling</t>
  </si>
  <si>
    <t>[...] seer ik u om uw accountant zo vroeg mogelijk te betrekken. ## 3. Correspondentie Alle correspondentie met betrekking tot deze subsidie dient u, met vermelding van bovenstaand verplichtingnummer, te zenden naar: Ministerie van Landbouw, Natuur en Voedselkwaliteit &lt;!-- image --&gt; &lt;!-- image --&gt; I I I or Natuur en Stikstof, De Minister 9 5.1.2,e. 5.1.2.e mw. Wnd. Directeur Natuur namens dez t.a.v. 512e 5.1.2.e 5.1.2.e Als u het niet eens bent met deze beslissing kunt u binnen zes weken na verzending van deze brief een bezwaarsc [...]</t>
  </si>
  <si>
    <t>Rijksoverheid__123_Besluit-verlening-subsidie-voor-project-Rebecca.txt::Besluitvormend Orgaan</t>
  </si>
  <si>
    <t>Rijksoverheid__123_Besluit-verlening-subsidie-voor-project-Rebecca.txt</t>
  </si>
  <si>
    <t>ik</t>
  </si>
  <si>
    <t>verlening [14195:14205]</t>
  </si>
  <si>
    <t>verlening [14195:14204]</t>
  </si>
  <si>
    <t>ik [539:541]</t>
  </si>
  <si>
    <t>[...] rmeren aan de reeds door de AP beoordeelde modelprotocol en model-DPIA (versie april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1 Hierdoor kan een uniforme werkwijze voor alle bi [...]</t>
  </si>
  <si>
    <t>Autoriteit_Persoonsgegevens__https___www.autoriteitpersoonsgegevens.nl_system_files_file=2025-01_Besluit%20vergunning%20collectief%20winkelverbod%20Rotterdam%20Zuidplein.txt::Rechtsobject</t>
  </si>
  <si>
    <t>vergunning [14213:14224]</t>
  </si>
  <si>
    <t>vergunning [14213:14223]</t>
  </si>
  <si>
    <t>[...] s door de AP beoordeelde modelprotocol en model-DPIA (versie april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1 Hierdoor kan een uniforme werkwijze voor alle bij het CCV aangeslot [...]</t>
  </si>
  <si>
    <t>[...] Director heeft vervolgens met het mandaat van de Public Authorities Board overeenstemming bereikt over de JU Grant Agreement. Op grond van artikel 2, eerste lid onder b, van de Kaderwet EZK- en LNV-subsidies verleen ik subsidie voor de uitvoering van het Nederlandse aandeel in het project, zoals beschreven in de Annex 1 van de JU Grant Agreement. Deze annex maakt integraal onderdeel uit van deze beschikking. Het project wordt uitgevoe [...]</t>
  </si>
  <si>
    <t>Rijksoverheid__86_Besluit-wijziging-projectsubsidie-‘Versnellen-en-verbreden-gebruik-netwerkvoorzieningen-Netwerk-Digitaal-Erfgoed’.txt::Besluitvormend Orgaan</t>
  </si>
  <si>
    <t>Rijksoverheid__86_Besluit-wijziging-projectsubsidie-‘Versnellen-en-verbreden-gebruik-netwerkvoorzieningen-Netwerk-Digitaal-Erfgoed’.txt</t>
  </si>
  <si>
    <t>ik [1138:1140]</t>
  </si>
  <si>
    <t>Autoriteit_Persoonsgegevens__https___www.autoriteitpersoonsgegevens.nl_system_files_file=2025-01_Besluit%20vergunning%20collectief%20winkelverbod%20Winterswijk.txt::Besluitvormend Orgaan</t>
  </si>
  <si>
    <t>Autoriteit Persoonsgegevens [15625:15652]</t>
  </si>
  <si>
    <t>[...] rschrift indienen, zie www.autoriteitpersoonsgegevens.nl. onder het kopje 'Bezwaar maken tegen een besluit'. Het indienen van een bezwaarschrift schort de werking van dit besluit niet op. Den Haag, 3 december 2024 Autoriteit Persoonsgegevens, Overeenkomstig het door de Autoriteit Persoonsgegevens genomen besluit, ir. N.G. de Jong Directeur Systeemtoezicht, Beveiliging en Technologie Datum &lt;!-- image --&gt; 3 december 2024 ## Ons kenmerk 2024- [...]</t>
  </si>
  <si>
    <t>Autoriteit_Persoonsgegevens__https___www.autoriteitpersoonsgegevens.nl_system_files_file=2025-01_Besluit%20vergunning%20collectief%20winkelverbod%20Winterswijk.txt::Rechtshandeling</t>
  </si>
  <si>
    <t>[...] brief informeer ik u over mijn besluit over uw verzoek tot ophoging. U vroeg mij om de hoogte van het verleende subsidiebedrag te wijzigen in € 3.000.000. ## Besluit Ik ga akkoord met uw verzoek. Hiermee wijzig ik de volgende punten van mijn beschikking: de verleende subsidie bedraagt € 3.000.000. De voorschotten worden als volgt beschikbaar gesteld: Voor het jaar 2024 geldt dat u binnen twee weken na dagtekening een voorsc [...]</t>
  </si>
  <si>
    <t>Rijksoverheid__29_Gewijzigde-voucherbeschikkingen-pilot-ondernemingsplanaanpak-Gelderse-Vallei.txt::Ontvanger</t>
  </si>
  <si>
    <t>Rijksoverheid__29_Gewijzigde-voucherbeschikkingen-pilot-ondernemingsplanaanpak-Gelderse-Vallei.txt</t>
  </si>
  <si>
    <t>de stichting Vallei Horstee</t>
  </si>
  <si>
    <t>verlening [14817:14827]</t>
  </si>
  <si>
    <t>verlening [14817:14826]</t>
  </si>
  <si>
    <t>de stichting vallei horstee</t>
  </si>
  <si>
    <t>de stichting Vallei Horstee [261:289]</t>
  </si>
  <si>
    <t>u [6239:6240]</t>
  </si>
  <si>
    <t>Autoriteit_Persoonsgegevens__https___www.autoriteitpersoonsgegevens.nl_system_files_file=2025-01_Besluit%20vergunning%20collectief%20winkelverbod%20Winterswijk.txt::Rechtsobject</t>
  </si>
  <si>
    <t>vergunning [14835:14846]</t>
  </si>
  <si>
    <t>vergunning [14835:14845]</t>
  </si>
  <si>
    <t>Autoriteit_Persoonsgegevens__https___www.autoriteitpersoonsgegevens.nl_system_files_file=2025-03_Besluit%20vergunning%20collectief%20winkelverbod%20Schijndel.txt::Besluitvormend Orgaan</t>
  </si>
  <si>
    <t>[...] n Haag Datum \_=, r J �AART -02 ., 5 . Betreft Ophoging Gesubsidieerde adviesdienst t.b.v. pilot ondernemingsplansaanpak ## Besluit Geachte ## 1. Aanvraag Op 16 oktober 2024 ontving ik van de stichting Vallei Horstee de aangepaste versie van het projectplan van 9 september 2024, kenmerk 2446, waarin namens u tevens een subsidie is aangevraagd voor het opstellen van een ondernemingsplan in het kader van de pilot ondernemingsplanaanpak Gelderse Vallei. Op 20 december heeft de stichting Vallei Horstee, naar aanleiding van de beschikking op 9 december 2024 met kenmerk DG RTLG / 85856042, een verzoek tot wijziging van uw voucherbeschikking Ingediend. Met deze hernieuwde beschikking wordt de beschikking van 9 december 2024 ingetrokken. ## 1.1 Toelichting Uw aanvraag ziet toe op het volgende: het ontvangen van een gesubsidieerde adviesdienst, waarmee u als agrarisch ondernemer ondersteuning kunt krijgt van een adviseur bij het opstellen van een ondernemingsplan. Het opstellen van dit ondernemingsplan vindt plaats ten behoeve van de toetsing door de gezamenlijke betrokken overheden, in het kader van de pilot ondernemingsplanaanpak in de Gelderse Vallei, Voor verlening van de gesubsidieerde adviesdienst dienen vouchers verleend te worden aan de agrarisch ondernemers. Deze vouchers kunnen ingeleverd worden bij de Stichting Vallei Horstee, zodat de geleverde adviesdienst vergoed kan worden. U bent één van de agrarisch ondernemers die een voucher ontvangt waarmee u aanspraak kunt maken bij de Stichting Vallei Horstee op een gesubsidieerde adviesdienst. &lt;!-- image --&gt; Directoraat-generaal Regieorganisatie Transitie Landelijke Gebied ## Bezoekadres Bezuldenhoutseweg 73 2594 AC Den Ha g Postadres Postbus 2040 l 2500 EK Den Haag ## Overheldsldentlflcatlenr 00000001003214369000 T 070 379 8911 (algemeen) F 070 378 6011 (algemeen) www.rijksoverheid.nl/lvvn Behandeld door Ons kenmerk DGRTLG / 899414 38 I' &lt;!-- image --&gt; ## 1.2 Omschrijving van uw activiteiten in het kader van de pilot Als agrarisch ondernemer bent u betrokken bij de pilot ondernemingsplaanpak in de Gelderse Vallei. Kern van deze pilot is dat u een ondernemingsplan opstelt, om deze vervolgens te laten toetsen bij de gezamenliJke betrokken overheden. De pilot bestaat in uit een aantal verschillende activiteiten, te weten 'subsidiabele activiteit' en de 'overige activiteiten' in het kader van deze pilot. Als 'subsldia�ele activiteit' stelt u een ondernemingsplan op met ondersteuning en advies van een gesubsidieerde adviesdienst. De overige activiteiten bestaan onder andere uit de gezamenlijke toetsing van dit ondernemingsplan door de betrokken overheden, die deze beoordelen in het kader van toekomstperspectief van uw onderneming. Deze beschikking die u van ons ontvangt is een voucher waarmee u aanspraak kunt maken op een gesubsidieerde adviesdienst bij de Stichting Vallei Horstee. Middels deze voucher worden de kosten vergoed van het gebruik van de adviesdiensten ten behoeve van het opstellen van het ondernemingsplan, Dit staat nader omschreven In 2.1. ## 1,3 Europeesrechtelijke aspecten Op grond van artikel 7 van de Kaderwet EZK- en LNV-subsidies verleen ik geen subsidie als dit naar mijn oordeel leidt tot het verlenen van ongeoorloofde staatssteun in de zin van artikel 107 van het Verdrag betreffende de werking van de Europese Unie (hierna: VWEU). Op basis van uw aanvraag kom ik tot het oordeel dat de subsidie voor de individuele adviesdiensten verstrekt kan worden op grond van verordening (EU) nr. 2472/2022 van de Commissie van 14 december 2022 waarbij bepaalde categorieën steun in de landbouw- en de bosbouwsector en In plattelandsgebieden op grond van de artikelen 107 en 108 van het Verdrag betreffende de werking van de Europese Unie met de interne markt verenigbaar worden verklaard (PbEU 2022, L 327), met name artikel 22. Dit artikel verklaart steun voor adviesdiensten verenigbaar met de interne markt en is vrijgesteld van de voorgenoemde aanmeldingsverplichting uit artikel 108, derde lid , VWEU, mits het advies verband houdt met ten minste één specifieke doelstelling van artikel 6 van Verordening (EU) 2021/2115 en betrekking heeft op ten minste één van de elementen a. t/m i. uit lid 3 van het desbetreffende artikel, alsmede aan de voorwaarden uit het hoofdstuk I van Verordening (EU) nr. 2472/2022. Ik heb geconstateerd dat geen onderneming in moeilijkheden is zoals bedoeld In artikel 2, onder punt 59, van Verordening (EU) nr. 2472/2022. Ik heb verder geconstateerd dat er tegen u geen bevel tot terugvordering uitstaat als bedoeld in artikel 1, vierde lid, onderdeel a, van Verordening (EU) nr. 2472/2022. Voorts heb ik vastgesteld dat met de uitvoering van dit projectplan niet is begonnen dan na de aanvraag van 16 oktober 2024. Er gaat derhalve - onder meer om deze reden · een stimulerend effect uit van deze subsidieverlening aan Directoraat-generaal Regieorganisatie Transitie Landelijke Gebied DG�TLG / 89941438 r · . &lt;!-- image --&gt; Beknopte informatie over deze subsidieverlening is op grond van artikel 9, eerste lid, van Verordening (EU) nr. 2472/2022 gemeld aan de Europese Commissie. De volledige tekst van de onderhavige beschikking wordt gepubliceerd op de staatssteunwebsite op het internet. Artikel 9, eerste lid, van verordening (EU) nr. 2472/2022, bevat de verplichting aan de lidstaten om de steun boven de transparantiedrempel en de in dit artikel genoemde gegevens te publiceren in de State Aid Transparancy Award Module. ## 1.4 Bewaartermijn boekhouding Ik wijs u erop dat de Europese Commissie nog gedurende tien jaar na de verstrekking van deze subsidie, deze achteraf kan controleren. Ik raad u aan de relevante documenten met betrekking tot deze subsidie gedurende deze periode te bewaren. ## 2, Besluit Stichting Vallei Horstee heeft u geïnformeerd dat u bij het ministerie van Landbouw, VisserlJ, Voedselzekerheid en Natuur een voucher kunt aanvragen, waarmee u een gesubsidieerde adviesdienst kunt ontvangen. Ik heb het besluit genomen om u middels deze beschikking een subsid1evoucher te verstrekken ten behoeve van het opstellen van een ondernemingsplan, om dit ondernemingsplan vervolgens te laten toetsen bij gezamenlijke betrokken overheden in het kader v [...]</t>
  </si>
  <si>
    <t>Autoriteit Persoonsgegevens [15670:15697]</t>
  </si>
  <si>
    <t>Rijksoverheid__60_Besluit-op-subsidieverzoek-over-project-Kosten-Baten-Analyse-Transitie-Melkveehouderij-(KBA-TMVH).txt::Ontvanger</t>
  </si>
  <si>
    <t>Rijksoverheid__60_Besluit-op-subsidieverzoek-over-project-Kosten-Baten-Analyse-Transitie-Melkveehouderij-(KBA-TMVH).txt</t>
  </si>
  <si>
    <t>Stichting Wij.land</t>
  </si>
  <si>
    <t>Stichting Wij.land en De Natuurverdubbelaars</t>
  </si>
  <si>
    <t>stichting wij.land</t>
  </si>
  <si>
    <t>stichting wij.land en de natuurverdubbelaars</t>
  </si>
  <si>
    <t>Stichting Wij.land [51:69]</t>
  </si>
  <si>
    <t>Stichting Wij.land en De Natuurverdubbelaars [6629:6673]</t>
  </si>
  <si>
    <t>[...] rift indienen, zie www.autoriteitpersoonsgegevens.nl. onder het kopje 'Bezwaar maken tegen een besluit'. Het indienen van een bezwaarschrift schort de werking van dit besluit niet op. ## Den Haag, 11 februari 2025 Autoriteit Persoonsgegevens, Overeenkomstig het door de Autoriteit Persoonsgegevens genomen besluit, ir. N.G. de Jong Directeur Systeemtoezicht, Beveiliging en Technologie ## Ons kenmerk 2024-037030 &lt;!-- image --&gt; Datum 11 feb [...]</t>
  </si>
  <si>
    <t>Autoriteit_Persoonsgegevens__https___www.autoriteitpersoonsgegevens.nl_system_files_file=2025-03_Besluit%20vergunning%20collectief%20winkelverbod%20Schijndel.txt::Rechtshandeling</t>
  </si>
  <si>
    <t>verlening [14162:14172]</t>
  </si>
  <si>
    <t>verlening [14162:14171]</t>
  </si>
  <si>
    <t>Autoriteit_Persoonsgegevens__https___www.autoriteitpersoonsgegevens.nl_system_files_file=2025-03_Besluit%20vergunning%20collectief%20winkelverbod%20Schijndel.txt::Rechtsobject</t>
  </si>
  <si>
    <t>vergunning [14180:14191]</t>
  </si>
  <si>
    <t>vergunning [14180:14190]</t>
  </si>
  <si>
    <t>Autoriteit_Persoonsgegevens__https___www.autoriteitpersoonsgegevens.nl_system_files_file=2025-07_Besluit%20vergunning%20collectieve%20horecaontzegging%20Oss.txt::Ontvanger</t>
  </si>
  <si>
    <t>Autoriteit_Persoonsgegevens__https___www.autoriteitpersoonsgegevens.nl_system_files_file=2025-07_Besluit%20vergunning%20collectieve%20horecaontzegging%20Oss.txt</t>
  </si>
  <si>
    <t>&amp;gt; Retouradres Postbus 20401 2500 EK Den Haag Stichting Wij.land Datum - 0 9 SEP. 2024 - Betreft Kosten-Baten Analyse Transitie Melkveehouderij" (KBA-TMVH). Verplichtingnummer Geachte ## 1. Aanvraag Op 19 april 2024 ontving ik per e-mail uw brief van 19 april 2024, waarin u namens Stichting Wij.land subsidie aanvraagt voor het project "Kosten-Baten Analyse van de Transitie Melkveehouderij" (hierna: KBA-TMVH). U heeft daarbij een projectplan en begroting aan mij overgelegd. U voert de activiteiten waarvoor u subsidie hebt aangevraagd uit in samenwerking met de provincie Noord-Brabant, BoerenNatuur Fryslán (v.h. Living Lab Fryslán) en De Natuurverdubbelaars op grond van een samenwerkingsovereenkomst. Uit deze overeenkomst vloeit voort dat Stichting Wij.land als penvoerder van dit samenwerkingsverband zal optreden. Omdat de provincie Noord-Brabant en BoerenNatuur Fryslán vanuit deze subsidie geen subsidie ontvangen, is alleen De Natuurverdubbelaars ook aan te merken als subsidieontvanger. U vraagt mij om een subsidiebedrag van € 625.000,- voor de uitvoering van het project. Overige financiering (in kind dan wel in cash) komt van o.a. Brabants Bodem/Provincie Noord-Brabant, en vallen niet onder de subsidiabele kosten. ## 1.1 Procesverloop U heeft op 21 april 2024 een gewijzigde/aangevulde aanvraagbrief gestuurd. Omdat hier sprake is van een samenwerkingsverband met Stichting Wij.land als penvoerder, is ook De Natuurverdubbelaars aan te merken als subsidieontvanger. U heeft in verband daarmee uw begroting nader gespecificeerd, met name vanwege de BTW, en ook omdat de uurtarieven ontbraken. ## 1.2 Beoordeling van uw aanvraag De activiteiten zoals beschreven in uw aanvraag passen binnen het kader van het beleid gericht op het oplossen van duurzaamheidsopgaven van de primaire landbouwsector. De landbouw in Nederland staat onder druk. Waar in het verleden werd ingezet op schaalvergroting en het verhogen van de productiviteit, liggen er nu andere opgaven gericht op een duurzame en toekomstbestendige landbouw: kringlooplandbouw. &lt;!-- image --&gt; Directie Strategie, Kennis en Innovatie ## Bezoekadres Bezuidenhoutseweg 73 2594 AC Den Haag ## Postadres Postbus 20401 2500 EK Den Haag ## Overheidsidentificatienr 00000001858272854000 T 070 379 8911 (algemeen) F 070 378 6100 (algemeen) www:rijksoverheid.nlilvvn Behandeld door ## Ons kenmerk SKI» Uw kenmerk uw brief van 19 april 2024 Bijlage(n) 2 Relatienummer: IBAN/Bankrekeningnommer: Thema's als stikstof, klimaat, biodiversiteit en waterkwaliteit zetten de sector op scherp en maken een transitie naar kringlooplandbouw met minder emissies en hogere toegevoegde waarde onvermijdelijk. Daarnaast stijgen de grondprijzen wat resulteert in een hogere kostprijs per liter melk. Welk perspectief is er nog voor melkveehouderij? Dit project heeft als doel de kosten en baten van de transitie naar natuurinclusieve of biologische melkveehouderij in kaart te brengen door de ontwikkeling van een gestandaardiseerde, openbaar beschikbare en gebruikersvriendelijke methode. De afgelopen 3 jaar hebben Stichting Wij.land en partners melkveehouders geholpen bij het begrijpen van de financiële mogelijkheden en een start gemaakt met het in kaart brengen van economische kengetallen van melkveehouderij in transitie. Hiervoor is door De Natuurverdubbelaars en Alan Accountants en Adviseurs de Kosten Baten Analyse (KBA) Transitie Melkveehouderij rekentool ontwikkeld. Deze tool geeft melkveehouders nieuwe inzichten op basis van hun bestaande boekhouding en verzamelt financiële en bedrijfseconomische data op een uniforme manier. Zo kunnen de economische prestaties vergeleken en in groepsverband vergeleken worden. ## 1.3 Europeesrechtelijke aspecten Op grond van artikel 7 van de Kaderwet EZK- en LNV-subsidies verleen ik geen subsidie als dit naar mijn oordeel leidt tot het verlenen van ongeoorloofde staatssteun in de zin van artikel 107 van het Verdrag betreffende de werking van de Europese Unie (hierna: VWEU). Op basis van uw aanvraag kom ik tot het oordeel dat de subsidie verstrekt kan worden op grond van verordening (EU) nr. 2472/2022 van de Commissie van 14 december 2022 waarbij bepaalde categorieën steun in de landbouw- en de bosbouwsector en in plattelandsgebieden op grond van de artikelen 107 en 108 van het Verdrag betreffende de werking van de Europese Unie met de interne markt verenigbaar worden verklaard (PbEU 2022, L 327), met name artikel 21 . Dit artikel verklaart steun voor kennisuitwisselings- en voorlichtingsacties verenigbaar met de interne markt en vrijgesteld van de voorgenoemde aanmeldingsverplichting uit artikel 108, derde lid, VWEU, mits wordt voldaan aan de voorwaarden uit het 2e tot en met het 8e lid van het desbetreffende artikel, alsmede aan de voorwaarden uit het hoofdstuk I van Verordening (EU) nr. 2472/2022. Ik heb geconstateerd dat Stichting Wij.land en De Natuurverdubbelaars geen ondernemingen in moeilijkheden zijn zoals bedoeld in artikel 2, onder punt 59, van Verordening (EU) nr. 2472/2022. Ik heb verder geconstateerd dat er tegen Stichting Wij.land en De Natuurverdubbelaars geen bevel tot terugvordering uitstaat als bedoeld in artikel 1, vierde lid, onderdeel a, van Verordening (EU) nr. 2472/2022. Voorts heb ik vastgesteld dat met de uitvoering van dit projectplan niet is begonnen dan na de aanvraag van 21 april 2024. Er gaat derhalve - onder meer om deze reden - een stimulerend effect uit van deze subsidieverlening aan Stichting Wij.land en De Natuurverdubbelaars. Directie Strategie, Kennis en Innovatie Directie Strategie, Kennis en Ons kenmerk SKI/ Beknopte informatie over deze subsidieverlening is op grond van artikel 9, eerste lid, van Verordening (EU) nr. 2022/2472 gemeld aan de Europese Commissie. De volledige tekst van de onderhavige beschikking wordt gepubliceerd op www.rijksoverheid.nl. Artikel 9, eerste lid, van verordening (EU) nr. 2472/2022, bevat de verplichting aan de lidstaten om de steun boven de transparantiedrempel en de in dit artikel genoemde gegevens te publiceren in de State Aid Transparancy Award Module. ## 1.4 Bewaartermijn boekhouding Ik wijs u erop dat de Europese Commissie nog gedurende tien jaar na de verstrekking van deze subsidie, deze achteraf kan controleren. Ik raad u aan de relevante documenten met betrekking tot deze subsidie gedurende deze periode te bewaren. ## 2. Besluit In het kader van mijn beleid gericht op het oplossen van duurzaamheidsopgaven van de primaire landbouwsector, verleen ik Stichting Wij.land en De Natuurverdubbelaars hierbij, op grond van artikel 2a, eerste lid, onderdeel c (landbouw), van de Kaderwet EZK- en LNV-subsidies, subsidie voor de uitvoering van de activiteiten van het project "Kosten en baten van transitie in de melkveeho [...]</t>
  </si>
  <si>
    <t>Koninklijke Horeca Nederland [414:442]</t>
  </si>
  <si>
    <t>Rijksoverheid__34_Besluit-subsidiewijziging-Programmabureau-Maritiem-Masterplan-2024-2025-onderdeel-Human-Capital.txt::Rechtsobject</t>
  </si>
  <si>
    <t>Rijksoverheid__34_Besluit-subsidiewijziging-Programmabureau-Maritiem-Masterplan-2024-2025-onderdeel-Human-Capital.txt</t>
  </si>
  <si>
    <t>beschikking</t>
  </si>
  <si>
    <t>subsidie</t>
  </si>
  <si>
    <t>[...] an de verwerking 'Collectieve Horecaontzegging' door de in de bijlage genoemde horecaondernemers van het horecagebied gemeente Oss 2025-010871 ## 1 Inleiding: aanleiding vergunningaanvraag 1. Op 4 april 2025 heeft Koninklijke Horeca Nederland (hierna: KHN) - ingevolge artikel 33, vierde lid, aanhef en onder c, van de Uitvoeringswet Algemene verordening gegevensbescherming (UAVG) - bij de Autoriteit Persoonsgegevens (AP) een bulkvergunningaanvraag ingediend n [...]</t>
  </si>
  <si>
    <t>beschikking [1236:1247]</t>
  </si>
  <si>
    <t>subsidie [1275:1283]</t>
  </si>
  <si>
    <t>Autoriteit_Persoonsgegevens__https___www.autoriteitpersoonsgegevens.nl_system_files_file=2025-07_Besluit%20vergunning%20collectieve%20horecaontzegging%20Oss.txt::Besluitvormend Orgaan</t>
  </si>
  <si>
    <t>Autoriteit Persoonsgegevens [17806:17833]</t>
  </si>
  <si>
    <t>[...] aarschrift indienen, zie www.autoriteitpersoonsgegevens.nl. onder het kopje 'Bezwaar maken tegen een besluit'. Het indienen van een bezwaarschrift schort de werking van dit besluit niet op. Den Haag, 19 juni 2025 Autoriteit Persoonsgegevens, Overeenkomstig het door de Autoriteit Persoonsgegevens genomen besluit, ir. N.G. de Jong Directeur Systeemtoezicht, Beveiliging en Technologie ## Ons kenmerk 2025-010871 &lt;!-- image --&gt; Datum 19 jun [...]</t>
  </si>
  <si>
    <t>Autoriteit_Persoonsgegevens__https___www.autoriteitpersoonsgegevens.nl_system_files_file=2025-07_Besluit%20vergunning%20collectieve%20horecaontzegging%20Oss.txt::Rechtshandeling</t>
  </si>
  <si>
    <t>verlening [16276:16286]</t>
  </si>
  <si>
    <t>verlening [16276:16285]</t>
  </si>
  <si>
    <t>[...] ren aan de reeds door de AP beoordeelde modelprotocol en model-DPIA (versie augustus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1 Hierdoor kan een uniforme werkwijze voor alle bi [...]</t>
  </si>
  <si>
    <t>[...] sterplan. Daarnaast vraagt u om de termijn voor het uitvoeren van de activiteiten waarvoor subsidie is verleend, te verlengen. ## Besluit Ik ga akkoord met uw verzoek. Hiermee wijzig ik de volgende punten van mijn beschikking: De herziende verleende subsidie bedraagt maximaal € 1.074.000,- (€ 840.000,plus € 234.000,-). Dit bedrag is inclusief alle eventuele voor uw rekening blijvende belastingen, waaronder de BTW. De aanvullende subsidie is bestemd voor de activiteiten, [...]</t>
  </si>
  <si>
    <t>Autoriteit_Persoonsgegevens__https___www.autoriteitpersoonsgegevens.nl_system_files_file=2025-07_Besluit%20vergunning%20collectieve%20horecaontzegging%20Oss.txt::Rechtsobject</t>
  </si>
  <si>
    <t>Rijksoverheid__86_Besluit-wijziging-projectsubsidie-‘Versnellen-en-verbreden-gebruik-netwerkvoorzieningen-Netwerk-Digitaal-Erfgoed’.txt::Rechtsobject</t>
  </si>
  <si>
    <t>vergunning [16294:16305]</t>
  </si>
  <si>
    <t>vergunning [16294:16304]</t>
  </si>
  <si>
    <t>beschikking [1169:1180]</t>
  </si>
  <si>
    <t>subsidie [1195:1203]</t>
  </si>
  <si>
    <t>[...] oor de AP beoordeelde modelprotocol en model-DPIA (versie augustus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1 Hierdoor kan een uniforme werkwijze voor alle bij de lokale KHN-afd [...]</t>
  </si>
  <si>
    <t>Autoriteit_Persoonsgegevens__https___www.autoriteitpersoonsgegevens.nl_system_files_file=2025-08_Besluit%20vergunning%20collectieve%20horecaontzegging%20Deventer%202025.txt::Ontvanger</t>
  </si>
  <si>
    <t>Autoriteit_Persoonsgegevens__https___www.autoriteitpersoonsgegevens.nl_system_files_file=2025-08_Besluit%20vergunning%20collectieve%20horecaontzegging%20Deventer%202025.txt</t>
  </si>
  <si>
    <t>Koninklijke Horeca Nederland [444:472]</t>
  </si>
  <si>
    <t>[...] lectieve Horecaontzegging' door de in de bijlage genoemde horecaondernemers van het horecagebied gemeente Deventer - z2022-04284/2025-001079 ## 1 Inleiding: aanleiding vergunningaanvraag 1. Op 9 januari 2025 heeft Koninklijke Horeca Nederland (hierna: KHN) - ingevolge artikel 33, vierde lid, aanhef en onder c, van de Uitvoeringswet Algemene verordening gegevensbescherming (UAVG) - bij de Autoriteit Persoonsgegevens (AP) een bulkvergunningaanvraag ingediend n [...]</t>
  </si>
  <si>
    <t>Autoriteit_Persoonsgegevens__https___www.autoriteitpersoonsgegevens.nl_system_files_file=2025-08_Besluit%20vergunning%20collectieve%20horecaontzegging%20Deventer%202025.txt::Besluitvormend Orgaan</t>
  </si>
  <si>
    <t>Autoriteit Persoonsgegevens [17874:17901]</t>
  </si>
  <si>
    <t>[...] besluit over uw verzoek tot ophoging. U vroeg mij om de hoogte van het verleende subsidiebedrag te wijzigen in € 3.000.000. ## Besluit Ik ga akkoord met uw verzoek. Hiermee wijzig ik de volgende punten van mijn beschikking: de verleende subsidie bedraagt € 3.000.000. De voorschotten worden als volgt beschikbaar gesteld: Voor het jaar 2024 geldt dat u binnen twee weken na dagtekening een voorschot ontvangt van € 250.000. In de maanden april, juli en oktobe [...]</t>
  </si>
  <si>
    <t>[...] waarschrift indienen, zie www.autoriteitpersoonsgegevens.nl. onder het kopje 'Bezwaar maken tegen een besluit'. Het indienen van een bezwaarschrift schort de werking van dit besluit niet op. Den Haag, 14 juli 2025 Autoriteit Persoonsgegevens, Overeenkomstig het door de Autoriteit Persoonsgegevens genomen besluit, ir. N.G. de Jong Directeur Systeemtoezicht, Beveiliging en Technologie ## Ons kenmerk z2022-04284/2025-001079 &lt;!-- image --&gt; Datum [...]</t>
  </si>
  <si>
    <t>Autoriteit_Persoonsgegevens__https___www.autoriteitpersoonsgegevens.nl_system_files_file=2025-08_Besluit%20vergunning%20collectieve%20horecaontzegging%20Deventer%202025.txt::Rechtshandeling</t>
  </si>
  <si>
    <t>verlening [17069:17079]</t>
  </si>
  <si>
    <t>verlening [17069:17078]</t>
  </si>
  <si>
    <t>Autoriteit_Persoonsgegevens__https___www.autoriteitpersoonsgegevens.nl_system_files_file=2025-08_Besluit%20vergunning%20collectieve%20horecaontzegging%20Deventer%202025.txt::Rechtsobject</t>
  </si>
  <si>
    <t>vergunning [17087:17098]</t>
  </si>
  <si>
    <t>vergunning [17087:17097]</t>
  </si>
  <si>
    <t>Autoriteit_Persoonsgegevens__https___www.autoriteitpersoonsgegevens.nl_system_files_file=2025-10_Besluit%20bulkvergunningaanvraag%20Binnenstad%20Tilburg.txt::Besluitvormend Orgaan</t>
  </si>
  <si>
    <t>Autoriteit Persoonsgegevens [16223:16250]</t>
  </si>
  <si>
    <t>[...] hrift indienen, zie www.autoriteitpersoonsgegevens.nl. onder het kopje 'Bezwaar maken tegen een besluit'. Het indienen van een bezwaarschrift schort de werking van dit besluit niet op. Den Haag, 11 september 2025 Autoriteit Persoonsgegevens, Overeenkomstig het door de Autoriteit Persoonsgegevens genomen besluit, ir. N.G. de Jong Directeur Systeemtoezicht, Beveiliging en Technologie &lt;!-- image --&gt; ## Datum 11 september 2025 ## Ons kenmerk [...]</t>
  </si>
  <si>
    <t>Autoriteit_Persoonsgegevens__https___www.autoriteitpersoonsgegevens.nl_system_files_file=2025-10_Besluit%20bulkvergunningaanvraag%20Binnenstad%20Tilburg.txt::Rechtshandeling</t>
  </si>
  <si>
    <t>verlening [15138:15148]</t>
  </si>
  <si>
    <t>verlening [15138:15147]</t>
  </si>
  <si>
    <t>[...] rmeren aan de reeds door de AP beoordeelde modelprotocol en model-DPIA (versie april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3 Deze deelnemerslijst wordt door het CCV via een [...]</t>
  </si>
  <si>
    <t>Autoriteit_Persoonsgegevens__https___www.autoriteitpersoonsgegevens.nl_system_files_file=2025-10_Besluit%20bulkvergunningaanvraag%20Binnenstad%20Tilburg.txt::Rechtsobject</t>
  </si>
  <si>
    <t>vergunning [15156:15167]</t>
  </si>
  <si>
    <t>vergunning [15156:15166]</t>
  </si>
  <si>
    <t>[...] s door de AP beoordeelde modelprotocol en model-DPIA (versie april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3 Deze deelnemerslijst wordt door het CCV via een website actueel geh [...]</t>
  </si>
  <si>
    <t>Autoriteit_Persoonsgegevens__https___www.autoriteitpersoonsgegevens.nl_system_files_file=2025-10_Besluit%20bulkvergunningaanvraag%20CWV%20Centrum%20Hoensbroek.txt::Rechtshandeling</t>
  </si>
  <si>
    <t>verlening [14820:14830]</t>
  </si>
  <si>
    <t>verlening [14820:14829]</t>
  </si>
  <si>
    <t>full_text</t>
  </si>
  <si>
    <t>Autoriteit_Persoonsgegevens__https___www.autoriteitpersoonsgegevens.nl_system_files_file=2025-10_Besluit%20bulkvergunningaanvraag%20CWV%20Centrum%20Hoensbroek.txt::Rechtsobject</t>
  </si>
  <si>
    <t>vergunning [14838:14849]</t>
  </si>
  <si>
    <t>vergunning [14838:14848]</t>
  </si>
  <si>
    <t>## ENERGIEKAMER NMA
Nummer :
## BESLUIT
102560\_2
Betreft: Retail Ltd.
Besluit tot het verlenen van een vergunning voor de levering van gas aan kleinverbruikers op grond van artikel 45, eerste lid van de Gaswet aan Gazprom Marketing &amp;amp; Trading
I.
1.
2.
3.
4.
5.
Aanvraag en procedure
Op 21 april 2011 heeft Gazprom Marketing &amp;amp; Trading Retail Ltd. (hierna: GMTR) bij de
Mededingingsautoriteit (hierna: Energiekamer NMa) een aanvraag voor een vergunning
directeur van de Directie Regulering Energie en Vervoer van de Nederlandse
ingediend, als bedoeld in artikel 45, eerste lid van de Gaswet.
Aanleiding voor deze aanvraag is het voornemen van GMTR om gas te leveren aan
kleinverbruikers, als bedoeld in artikel 43, eerste lid van de Gaswet.
Op 28 april 2011 heeft de Energiekamer NMa de ontvangst van de (incomplete) aanvraag van
1
vermelding van de ontbrekende gegevens en bescheiden, is GMTR hierbij uitgenodigd om de
de vergunning voor het leveren van gas aan kleinverbruikers aan GMTR bevestigd.
aanvraag aan te vullen.
Op 2 mei 2011 heeft GMTR (schriftelijk) de laatste ontbrekende stukken aangeleverd.
Onder
2
gegevens en bescheiden. De Energiekamer NMa heeft de aanvraag per die datum in
Daarmee bevat de aanvraag van GMTR de door artikel 2, tweede lid van het Besluit
behandeling genomen.
Tijdens de behandeling van de aanvraag heeft GMTR op verzoek van de Energiekamer NMa
45, eerste lid sub a Gaswet.
tevens overige (aanvullende) gegevens verstrekt over haar kwaliteiten, als bedoeld in artikel
1 Per brief met kenmerk 102560\_2/2.B1087
2 Besluit van 2 juni 2003,Stb.2003, nr. 234, laatstelijk gewijzigd bij besluit van 5 april 2005, Stb. 2005, nr. 200
vereiste
## II. Juridisch Kader
6. Op grond van artikel 43, eerste lid van de Gaswet is  het verboden om zonder vergunning gas te leveren aan afnemers die naar een op het verbruik in voorgaande jaren gegronde verwachting minder dan 170.000 m 3 gas per jaar verbruiken.
7. De Minister van Economische Zaken, Landbouw en Innovatie (hierna: de Minister) verleent op grond van artikel 45, eerste lid van de Gaswet op aanvraag een vergunning indien de aanvrager genoegzaam aantoont dat hij:
3. (b)  redelijkerwijs in staat kan worden geacht de verplichtingen als opgenomen in hoofdstuk 5 van de Gaswet na te komen.
4. (a)  beschikt over de benodigde organisatorische, financiële en technische kwaliteiten voor een goede uitvoering van zijn taak;
8. Bij 'Besluit mandaat, volmacht en machtiging raad van bestuur van de Nederlands Mededingingsautoriteit' 3 heeft de Minister mandaat, volmacht en machtiging verleend aan de Raad van Bestuur van de Nederlandse Mededingingsautoriteit (hierna: de Raad) tot onder andere het nemen van besluiten die verband houden met artikel 45, eerste lid, van de Gaswet.
9. Bij 'Besluit organisatie, mandaat, volmacht en machtiging NMa 2009 4 heeft de Raad op zijn beurt mandaat en machtiging verleend aan de (plaatsvervangend) directeur en de clustermanagers van de Directie Regulering Energie en Vervoer van de Nederlandse Mededingingsautoriteit voor het nemen van besluiten en het verrichten van overige handelingen die verband houden met de Elektriciteitswet 1998 en de Gaswet. De (plaatsvervangend) directeur en de clustermanagers van de Directie Regulering Energie en Vervoer zijn aldus bevoegd om het onderhavige besluit (in ondermandaat) te nemen.
10. In het 'Besluit vergunning levering gas aan kleinverbruikers' 5 (hierna: het Besluit) zijn de criteria van artikel 45, eerste lid Gaswet uitgewerkt en nadere regels gesteld met betrekking tot de inhoud van en de procedure voor aanvraag van een vergunning.
Criteria voor beoordeling van de aanvraag
11. In artikel 3 van het Besluit zijn de criteria van artikel 45, eerste lid Gaswet uitgewerkt. In onderdeel III. van het onderhavige besluit met opschrift 'Beoordeling' wordt nader op deze criteria in gegaan.
3 Besluit van 1 juli 2005, Stcrt. 2005, 126, laatstelijk gewijzigd bij besluit van 10 mei 2010, Stcrt. 2010, 7606 4 Besluit van 29 september 2009, Stcrt. 2009, nr. 14819, laatstelijk gewijzigd bij besluit van 6 april 2010,
5 Besluit van 2 juni 2003, Stb. 2003, nr. 234, laatstelijk gewijzigd bij besluit van 5 april 2005, Stb. 2005, nr.200
Stcrt . 2010, nr.  9370
Inhoud van en procedure voor aanvraag
12. Een aanvraag dient op grond van artikel 2, eerste lid van het Besluit te worden ingediend bij de directeur van de Directie Regulering Energie en Vervoer. In artikel 2, tweede lid van het Besluit is bepaald welke gegevens de aanvraag ten minste dient te bevatten. Op grond van artikel 4:2, tweede lid van de Algemene wet bestuursrecht kan bij de vergunningaanvraag aanvullende informatie worden gevoegd of kan door de Energiekamer NMa hierom worden gevraagd, indien deze informatie benodigd is voor het beoordelen van de aanvraag. 6
## III. Beoordeling
## Introductie
De Energiekamer NMa beoordeelt in het hierna volgende of GMTR, conform artikel 45, eerste lid van de Gaswet, genoegzaam heeft aangetoond te beschikken over 1) de vereiste organisatorische, financiële en technische kwaliteiten, en 2) redelijkerwijs in staat kan worden geacht de verplichtingen uit hoofdstuk 5 van de Gaswet na te komen.
Organisatorische, financiële en technische kwaliteiten (artikel 45, eerste lid onder a Gaswet)
13. In artikel 3, tweede lid onder a tot en met d van het Besluit is bepaald wanneer de aanvrager beschikt over de benodigde organisatorische, financiële en technische kwaliteiten voor een goede uitvoering van zijn taak.
## Overbrugging uitgaven en inkomsten (sub a)
14. Op grond van artikel 3, tweede lid onder a van het Besluit is vereist dat de aanvrager financieel in staat is om de termijn tussen uitgaven voor inkoop van gas en transportcapaciteit en de inkomsten van kleinverbruikers te overbruggen. Op basis van de verstrekte gegevens en bescheiden is de Energiekamer NMa van oordeel dat GMTR genoegzaam heeft aangetoond aan dit vereiste te voldoen.
## Administratieve organisatie en controle (sub b)
15. Op grond van artikel 3, tweede lid onder b van het Besluit is vereist dat de aanvrager beschikt over een goede administratieve organisatie, met inbegrip van de financiële administratie, en over een goede interne of externe controle hierop. Op basis van de verstrekte gegevens en bescheiden is de Energiekamer NMa van oordeel dat GMTR genoegzaam heeft aangetoond aan dit vereiste te voldoen.
## Non-faillissement (sub c) / geen surseance van betaling (sub d)
16. Op grond van artikel 3, tweede lid onder c en d van het Besluit is vereist dat de aanvrager niet in staat van faillissement verkeert en hem geen surseance van betaling is verleend. GMTR heeft in dit verband informatie verstrekt van Companies House, een uitvoerend agentschap in Engeland van het 'Department for Business, Innnovation and Skills' dat verantwoordelijk is
6 Besluit van 2 juni 2003, Stb. 2003, nr. 234, p.7
voor de registratie van bedrijfsinformatie zoals vastgelegd in de 'Companies Act 2006' en aanverwante wetgeving. Hieruit is gebleken dat GMTR niet in staat van faillissement verkeert en dat voor GMTR geen surseance van betaling is aangevraagd. Op basis van de gegevens en bescheiden is de Energiekamer van oordeel dat GMTR genoegzaam heeft aangetoond aan voornoemd vereiste te voldoen.
Nakoming van de verplichtingen in hoofdstuk 5 Gaswet (artikel 45, eerste lid onder b Gaswet)
17. In artikel 3, eerste lid van het Besluit is bepaald wanneer de aanvrager redelijkerwijs in staat kan worden geacht te verplichtingen als opgenomen in hoofdstuk 5 van de Gaswet na te komen.
## Inkoop- en transportcontracten
18. Op grond van artikel 3, eerste lid van het Besluit is vereist dat de aanvrager over zodanige inkoop- en transportcontracten (hierna: gasinkoop contracten) beschikt dat hij, gelet op de verwachten afzet, in staat zal zijn om op betrouwbare wijze zorg te dragen voor de levering van gas aan iedere kleinverbruiker die daarom verzoekt. GMTR heeft ten behoeve van de dienstverlening voor gas een overeenkomst gesloten met [VERTROUWELIJK] voor [VERTROUWELIJK]. Deze overeenkomst ziet op de verkoop en de levering van gas en aanverwante diensten.  De Energiekamer NMa is van oordeel dat voornoemde overeenkomst waarborgt dat GMTR, gelet op haar afzetprognoses, [VERTROUWELIJK] in staat zal zijn om op een betrouwbare wijze zorg te dragen voor de levering van gas aan iedere kleinverbruiker die daarom verzoekt. Op basis van de gegevens en bescheiden is de Energiekamer NMa aldus van oordeel dat GMTR [VERTROUWELIJK] genoegzaam heeft aangetoond aan dit vereiste te voldoen.
19. Met betrekking tot de gasinkoop [VERTROUWELIJK] heeft GMTR verklaard [VERTROUWELIJK]. [VERTROUWELIJK] De Energiekamer NMa ziet aanleiding tot het opnemen van een specifiek voorschrift in de vergunning teneinde erop toe te zien dat GMTR [VERTROUWELIJK] gelet op de te verwachte afzet, in staat zal zijn om op betrouwbare wijze zorg te dragen voor de levering van gas aan iedere kleinverbruiker die daarom verzoekt.
## Redelijke voorwaarden
21. In artikel 3, derde lid van het Besluit is bepaald dat een aanvrager redelijke voorwaarden hanteert, indien deze voldoen aan de vereisten als opgenomen in de onderdelen a tot en met d van dit artikel.
## Offertes en overeenkomsten (sub a) /betalingsregeling (sub b)/ regeling voor het opzeggen en ontbinden (sub c)
22. Op grond van artikel 3, derde lid onderdeel a van het Besluit is vereist dat de aanvrager duidelijke offertes en overeenkomsten hanteert, waarin de hoogte van de tarieven en de opbouw hiervan is aangegeven. Op grond van artikel 3, derde lid onderdeel b en c van het Besluit is voorts vereist dat de aanvrager een transparante en redelijke betalingsregeling hanteert, alsmede een transparante en redelijke regeling voor het opzeggen en ontbinden van overeenkomsten. GMTR heeft in dit verband onder meer voorbeelden verstrekt van offertes,
overeenkomsten en voorwaarden voor de  levering van gas aan kleinverbruikers. Op basis van de gegevens en bescheiden is de Energiekamer NMa van oordeel dat GMTR genoegzaam heeft aangetoond aan de voornoemde vereisten te voldoen.
## Klachten- en geschillenregeling  (sub d)
23. Op grond van artikel 3, derde lid onderdeel d van het Besluit is vereist dat de aanvrager in staat is om klachten en geschillen op adequate wijze te behandelen.  GMTR heeft in dit verband een toereikende beschrijving van haar interne klachtenprocedure overgelegd, alsmede een bewijs van registratie bij de Geschillencommissie Energie en Water. Op basis van de gegevens en bescheiden is de Energiekamer NMa van oordeel dat GMTR genoegzaam heeft aangetoond aan de voornoemde vereisten te voldoen.
## IV.  Besluit
24. De Energiekamer NMa is - onder verwijzing naar onderdeel III. van onderhavig besluit  - van oordeel dat Gazprom Marketing &amp;amp; Trading Retail Ltd. genoegzaam heeft aangetoond te beschikken over de benodigde organisatorische, financiële en technische kwaliteiten voor de goede uitvoering van zijn taak, alsmede redelijkerwijs in staat kan worden geacht om de verplichtingen als opgenomen in hoofdstuk 5 van de Gaswet na te komen, als bedoeld in artikel 45, eerste lid van de Gaswet.
25. Met inachtneming van artikel 45, eerste lid van de Gaswet en het Besluit vergunning levering gas aan kleinverbruikers, besluit de Energiekamer NMa namens de Minister aan Gazprom Marketing &amp;amp; Trading Retail Ltd. een vergunning te verlenen voor het leveren van gas aan kleinverbruikers.
26. Aan de vergunning wordt het voorschrift verbonden dat Gazprom Marketing &amp;amp; Trading Retail Ltd. onverwijld opgave doet aan de directeur van de Energiekamer NMa van wijzigingen in de bij aanvraag verstrekte gegevens en bescheiden. Hieronder wordt verstaan tenminste de artikel 2, tweede lid, sub b, e, f en g, van het Besluit opgenomen gegevens en bescheiden, alsmede de overige (aanvullende) gegevens omtrent haar (verwachte) financiële, technische en organisatorische kwaliteiten.
27. Aan de vergunning wordt voorts het voorschrift verbonden dat GMTR [VERTROUWELIJK] dient aan te tonen [VERTROUWELIJK] in staat te zullen zijn op een betrouwbare wijze zorg te dragen voor de levering van gas aan iedere kleinverbruiker die daarom verzoekt.
28. Aan de vergunning wordt tenslotte het voorschrift verbonden dat Gazprom Marketing &amp;amp; Trading Retail Ltd. jaarlijks binnen één maand na vaststelling haar jaarrekening als bedoeld in artikel 2:361 e.v. BW aan de directeur van de Directie Regulering Energie en Vervoer toezendt.
29. Hierbij wordt gewezen op de bevoegdheid van de Minister om, conform artikel 47, eerste lid van de Gaswet, de vergunning van Gazprom Marketing &amp;amp; Trading Retail Ltd. in te trekken, onder meer in het geval de in de vergunning opgenomen voorschriften niet worden nagekomen.
30. Van dit besluit wordt mededeling gedaan in de Staatscourant. Een versie van dit besluit zal tevens gepubliceerd worden op de internetpagina van de Energiekamer NMa.
31. Dit besluit treedt in werking met ingang van de dag waarop het conform artikel 3:41 van de Algemene wet bestuursrecht is bekend gemaakt.
Den Haag,
Datum:
De Minister van Economische Zaken, Landbouw en Innovatie namens deze:
Janine Verweij Clustermanager Consumentenmarkt
Tegen dit besluit kan degene, wiens belang rechtstreeks bij dit besluit is betrokken, binnen zes weken na de dag van bekendmaking van dit besluit een gemotiveerd bezwaarschrift indienen bij de Raad van Bestuur van de Nederlandse Mededingingsautoriteit, Juridische Dienst, Postbus 16326, 2500 BH Den Haag. In dit bezwaarschrift kan een belanghebbende op basis van artikel 7:1a, eerste lid, van de Algemene wet bestuursrecht, de Raad van Bestuur van de Nederlandse Mededingingsautoriteit verzoeken in te stemmen met rechtstreeks beroep bij de administratieve rechter.</t>
  </si>
  <si>
    <t>Autoriteit_Persoonsgegevens__https___www.autoriteitpersoonsgegevens.nl_system_files_file=2025-10_Besluit%20bulkvergunningaanvraag%20CWV%20Winkelcentrum%20Donderberg.txt::Besluitvormend Orgaan</t>
  </si>
  <si>
    <t>Autoriteit Persoonsgegevens [16222:16249]</t>
  </si>
  <si>
    <t>[...] schrift indienen, zie www.autoriteitpersoonsgegevens.nl. onder het kopje 'Bezwaar maken tegen een besluit'. Het indienen van een bezwaarschrift schort de werking van dit besluit niet op. Den Haag, 8 september 2025 Autoriteit Persoonsgegevens, Overeenkomstig het door de Autoriteit Persoonsgegevens genomen besluit, ir. N.G. de Jong Directeur Systeemtoezicht, Beveiliging en Technologie &lt;!-- image --&gt; ## Datum 8 september 2025 ## Ons kenmerk 2 [...]</t>
  </si>
  <si>
    <t>Autoriteit_Persoonsgegevens__https___www.autoriteitpersoonsgegevens.nl_system_files_file=2025-10_Besluit%20bulkvergunningaanvraag%20CWV%20Winkelcentrum%20Donderberg.txt::Rechtshandeling</t>
  </si>
  <si>
    <t>verlening [14675:14685]</t>
  </si>
  <si>
    <t>verlening [14675:14684]</t>
  </si>
  <si>
    <t>## BESLUIT
Nummer: 102574\_1/31
Betreft zaak: Besluit tot het verlenen van een vergunning voor de levering van elektriciteit aan kleinverbruikers op grond van artikel 95d, eerste lid, van de  Elektriciteitswet 1998 aan Kas Energie Nederland  B.V.
## I. Aanvraag en procedure
1. Op 5 februari 2013 heeft Kas Energie Nederland B.V. (hierna: KEN) bij de Nederlandse Mededingingsautoriteit (hierna: NMa) een aanvraag voor een vergunning ingediend, als bedoeld in artikel 95d, eerste lid, van de Elektriciteitswet 1998.
2. Aanleiding voor deze aanvraag tot het verlenen van een vergunning (hierna: de aanvraag) is het voornemen van KEN om elektriciteit te leveren aan kleinverbruikers, als bedoeld in artikel 95a, eerste lid, van de Elektriciteitswet 1998.
3. Op 11 februari 2013 heeft de NMa de ontvangst van de incomplete aanvraag aan KEN bevestigd 1 . Onder vermelding van de ontbrekende gegevens en bescheiden, is KEN hierbij in de gelegenheid gesteld om de aanvraag aan te vullen.
4. In de periode van 28 februari 2013 tot en met 11 maart 2013 heeft KEN de laatste ontbrekende stukken aangeleverd. Daarmee bevat de aanvraag van KEN de door artikel 2, tweede lid, van het Besluit vergunning levering elektriciteit aan kleinverbruikers 2 (hierna: het Besluit) vereiste gegevens en bescheiden. De NMa heeft de aanvraag op diezelfde datum in behandeling genomen.
1 Per brief met kenmerk 102574\_1/2
2 Besluit van 8 mei 2003, Stb. 2003, nr. 207, laatstelijk gewijzigd bij besluit van 5 april 2005, Stb. 2005, nr. 200
&lt;!-- image --&gt;
5. Met ingang van 1 april 2013 is de NMa samengegaan met de Consumentenautoriteit en de Onafhankelijke Post en Telecommunicatie Autoriteit (OPTA), onder de naam Autoriteit Consument en Markt (hierna ACM) 3 .
6. Op 30 mei 2013 heeft ACM op grond van artikel 4.14, derde lid, van de Algemene wet bestuursrecht de beslistermijn voor de aanvraag vanaf 11 juni 2013 verlengd met acht weken.
7. Tijdens de behandeling van de aanvraag heeft KEN op verzoek van ACM tevens overige (aanvullende) gegevens verstrekt over haar kwaliteiten, als bedoeld in artikel 95d, eerste lid, sub a van de Elektriciteitswet 1998.
## II.   Juridisch Kader
8. Op grond van artikel 95a, eerste lid, van de Elektriciteitswet 1998 is het verboden om zonder vergunning elektriciteit te leveren aan afnemers die beschikken over een aansluiting op een net met een totale maximale doorlaatwaarde van ten hoogste 3*80 A.
9. De Minister van Economische Zaken (hierna: de Minister) verleent op grond van artikel 95d, eerste lid, van de Elektriciteitswet 1998 op aanvraag een vergunning indien de aanvrager genoegzaam aantoont dat hij:
3. (a)  beschikt over de benodigde organisatorische, financiële en technische kwaliteiten voor een goede uitvoering van zijn taak;
4. (b)  redelijkerwijs in staat kan worden geacht de verplichtingen als opgenomen in hoofdstuk 8 van de Elektriciteitswet 1998 na te komen.
10. Bij 'Besluit mandaat, volmacht en machtiging ACM' 4 heeft de Minister mandaat, volmacht en machtiging verleend aan ACM tot onder andere het nemen van besluiten die verband houden met artikel 95d, eerste lid, van de Elektriciteitswet 1998.
11. Bij 'Besluit organisatie, mandaat, volmacht en machtiging ACM 2013' 5 is mandaat en machtiging verleend aan de directeur en de teammanagers van de directie Consumenten van ACM voor het nemen van besluiten en het verrichten van overige handelingen die verband houden met de Elektriciteitswet 1998 voor zover deze specifiek op consumentenbelangen zien. De directeur en teammanagers van de directie Consumenten zijn aldus bevoegd om het onderhavige besluit (in ondermandaat) te nemen.
3
Besluit van 13 maart 2013, houdende vaststelling van het tijdstip van inwerkingtreding van de  Instellingswet Autoriteit Consument en Markt, Stb. 103, 2013
4 Besluit van 2 april 2013, Stcrt. 2013, nr. 9333
5 Besluit van 2 april 2013, Strct. 2013, nr. 9697
&lt;!-- image --&gt;
## Pagina 2/6 Muzenstraat 41 | 2511 WB Den Haag Postbus 16326 | 2500 BH Den Haag
12. In het Besluit zijn de criteria van artikel 95d, eerste lid Elektriciteitswet 1998 uitgewerkt en nadere regels gesteld met betrekking tot de inhoud van en de procedure voor de aanvraag van een vergunning.
Criteria voor beoordeling van de aanvraag
13. In artikel 3 van het Besluit zijn de criteria van artikel 95d, eerste lid, Elektriciteitswet 1998 uitgewerkt. In onderdeel III van het onderhavige besluit met opschrift 'Beoordeling' wordt nader op deze criteria in gegaan.
Inhoud van en procedure voor aanvraag
14. Een aanvraag dient op grond van artikel 2, eerste lid, van het Besluit te worden ingediend bij ACM. In artikel 2 van het Besluit is bepaald welke gegevens de aanvraag ten minste dient te bevatten. Op grond van artikel 4:2, tweede lid, van de Algemene wet bestuursrecht kan bij de aanvraag aanvullende informatie worden gevoegd of kan door ACM hierom worden gevraagd indien deze informatie benodigd is voor het beoordelen van de aanvraag. Op grond van artikel 4:2, tweede lid, van de Algemene wet bestuursrecht kan te allen tijde een aanvraag worden aangevuld met informatie, indien deze informatie benodigd is voor het beoordelen van de aanvraag 6 .
## III.  Beoordeling
## Introductie
15. ACM beoordeelt in het hierna volgende of KEN, conform artikel 95d, eerste lid, van de Elektriciteitswet 1998 jo. artikel 3 van het Besluit, genoegzaam heeft aangetoond te beschikken over de vereiste organisatorische, financiële en technische kwaliteiten en redelijkerwijs in staat kan worden geacht de verplichtingen uit hoofdstuk 8 van de Elektriciteitswet 1998 na te komen.
Organisatorische, financiële en technische kwaliteiten
16. In artikel 3, eerste lid, onderdeel a tot en met d, van het Besluit is bepaald wanneer de aanvrager beschikt over de benodigde organisatorische, financiële en technische kwaliteiten voor een goede uitvoering van zijn taak.
## Programmaverantwoordelijkheid
17. Op grond van artikel 3, eerste lid, onderdeel a, van het Besluit is vereist dat aan de aanvrager, of indien de aanvrager de programmaverantwoordelijkheid heeft overgedragen, degene aan wie de aanvrager de programmaverantwoordelijkheid heeft overgedragen, voor voldoende lange termijn een erkenning als programmaverantwoordelijke is verleend. Op basis van de verstrekte
6 Besluit van 2 juni 2003, Stb. 2003, nr. 234, p.7
&lt;!-- image --&gt;
3/6
gegevens en bescheiden is ACM van oordeel dat KEN  genoegzaam heeft aangetoond aan dit vereiste te voldoen.
## Administratieve organisatie en controle
18. Op grond van artikel 3, eerste lid, onderdeel b, van het Besluit is vereist dat de aanvrager beschikt over een goede administratieve organisatie, met inbegrip van de financiële administratie, en over een goede interne of externe controle hierop. Op basis van de verstrekte gegevens en bescheiden is ACM van oordeel dat KEN genoegzaam heeft aangetoond aan dit vereiste te voldoen.
## Non-faillissement (onderdeel c) / geen surseance van betaling (onderdeel d)
19. Op grond van artikel 3, eerste lid, onderdeel c en d, van het Besluit is vereist dat de aanvrager niet in staat van faillissement verkeert en hem geen surseance van betaling is verleend. KEN heeft in dit verband een verklaring van de Rechtbank Den Haag overlegd van 11 juli 2013 op basis van de registers, bedoeld in artikel 19 en 222a van de Faillissementswet. Op basis van de gegevens en bescheiden is ACM van oordeel dat KEN genoegzaam heeft aangetoond aan voornoemd vereiste te voldoen.
## Financiële Kwaliteit
20. KEN  heeft bij de aanvraag over het boekjaar 2012 de jaarrekeningen van KEN, Kasken Holding B.V. en van Kas Energy B.V. aan ACM verstrekt. Daarnaast heeft KEN onder meer een gespecificeerde liquiditeitsprognose over de periode t/m maart 2014 op basis van de verwachte afzet verstrekt. Uit de verstrekte informatie heeft ACM genoegzaam kunnen vaststellen dat KEN beschikt over voldoende financiële kwaliteit voor een goede uitvoering van zijn taak.
## Redelijke voorwaarden
21. In artikel 3, tweede lid, van het Besluit is bepaald dat een aanvrager redelijke voorwaarden hanteert, indien deze voldoen aan de vereisten als opgenomen in de onderdelen a tot en met d van dit artikel.
## Offertes en overeenkomsten/betalingsregeling/ regeling voor het opzeggen en ontbinden van overeenkomsten
22. Op grond van artikel 3, tweede lid, onderdeel a, van het Besluit is vereist dat de aanvrager duidelijke offertes en overeenkomsten hanteert, waarin de hoogte van de tarieven en de opbouw hiervan is aangegeven. Op grond van artikel 3, derde lid, onderdeel b en c, van het Besluit is voorts vereist dat de aanvrager een transparante en redelijke betalingsregeling hanteert, alsmede een transparante en redelijke regeling voor het opzeggen en ontbinden van overeenkomsten. KEN heeft in dit verband onder meer voorbeelden verstrekt van offertes, overeenkomsten en voorwaarden voor de levering van elektriciteit aan kleinverbruikers. Op basis van de gegevens en bescheiden is ACM van oordeel dat KEN genoegzaam heeft aangetoond aan de voornoemde vereisten te voldoen.
&lt;!-- image --&gt;
4/6
## Muzenstraat 41 | 2511 WB Den Haag Postbus 16326 | 2500 BH Den Haag
## Klachten- en geschillenregeling
23. Op grond van artikel 3, tweede lid, onderdeel d, van het Besluit is vereist dat de aanvrager in staat is om klachten en geschillen op adequate wijze te behandelen. KEN  heeft in dit verband een toereikende beschrijving van haar interne klachtenprocedure overgelegd. Tevens heeft KEN bewijs geleverd van registratie bij de Geschillencommissie Energie en Water. Op basis van de gegevens en bescheiden is ACM van oordeel dat KEN genoegzaam heeft aangetoond aan de voornoemde vereisten te voldoen.
## IV. Besluit
24. ACM is - onder verwijzing naar onderdeel III van onderhavig besluit - van oordeel dat KEN genoegzaam heeft aangetoond te beschikken over de benodigde organisatorische, financiële en technische kwaliteiten voor de goede uitvoering van zijn taak, alsmede redelijkerwijs in staat kan worden geacht om de verplichtingen als opgenomen in hoofdstuk 8 van de Elektriciteitswet 1998 na te komen, als bedoeld in artikel 95d, eerste lid, van de Elektriciteitswet 1998.
25. Met inachtneming van artikel 95d, eerste lid, van de Elektriciteitswet 1998 en het Besluit vergunning levering elektriciteit aan kleinverbruikers, besluit ACM namens de Minister aan KEN een vergunning te verlenen voor het leveren van elektriciteit aan kleinverbruikers.
26. Aan de vergunning wordt het voorschrift verbonden dat KEN onverwijld opgave doet aan de directeur van de Directie Consumenten van wijzigingen in de bij aanvraag verstrekte gegevens en bescheiden. Hieronder wordt verstaan tenminste de in artikel 2, tweede lid, onderdelen a, d, e, f, van het Besluit opgenomen gegevens en bescheiden, alsmede de overige (aanvullende) gegevens omtrent haar (verwachte) financiële, technische en organisatorische kwaliteiten.
27. Aan de vergunning wordt tenslotte het voorschrift verbonden dat KEN  jaarlijks binnen één maand na vaststelling zijn jaarrekening als bedoeld in artikel 2:361 e.v. Burgerlijk Wetboek aan de directeur van de Directie Consumenten toezendt.
28. Gewezen wordt op de bevoegdheid van de Minister om, conform artikel 95f, eerste lid, van de Elektriciteitswet 1998, de vergunning van KEN  in te trekken, onder meer in het geval de in de vergunning opgenomen voorschriften niet worden nagekomen.
29. Van dit besluit wordt mededeling gedaan in de Staatscourant. Een versie van dit besluit zal tevens gepubliceerd worden op de website van ACM.
&lt;!-- image --&gt;
5/6
## Muzenstraat 41 | 2511 WB Den Haag Postbus 16326 | 2500 BH Den Haag
30. Dit besluit treedt in werking met ingang van de dag waarop het conform artikel 3:41 van de Algemene wet bestuursrecht is bekend gemaakt.
Den Haag,
Datum: 25 juli 2013
De Minister van Economische Zaken, namens deze: Autoriteit Consument en Markt
voor deze,
R.J. Spencer
Teammanager Directie Consumenten
Tegen dit besluit kan degene, wiens belang rechtstreeks bij dit besluit is betrokken, binnen zes weken na de dag van bekendmaking van dit besluit een gemotiveerd bezwaarschrift indienen bij de Autoriteit Consument en Markt, Directie Juridische Zaken, Postbus 16326, 2500 BH Den Haag. In het bezwaarschrift kan een belanghebbende op basis van artikel 7:1a, eerste lid, van de Algemene wet bestuursrecht, de Autoriteit Consument en Markt verzoeken in te stemmen met rechtstreeks beroep bij het College van Beroep voor het bedrijfsleven.
&lt;!-- image --&gt;
6/6</t>
  </si>
  <si>
    <t>Autoriteit_Persoonsgegevens__https___www.autoriteitpersoonsgegevens.nl_system_files_file=2025-10_Besluit%20bulkvergunningaanvraag%20CWV%20Winkelcentrum%20Donderberg.txt::Rechtsobject</t>
  </si>
  <si>
    <t>vergunning [14693:14704]</t>
  </si>
  <si>
    <t>## Autori e... Consument 0 Markt
&lt;!-- image --&gt;
Ons kenmerk: ACM/DC/2014/201725
Betreft zaak 13.1228.53: Besluit tot het verlenen van een vergunning voor de levering van gas aan kleinverbruikers op grond van artikel 45, eerste lid, van de Gaswet aan NLD Energie U.A.
## I. Aanvraag en procedure
1. Op 20 november 2013 heeft NLD Energie U.A. (hierna: NLD) bij de Autoriteit Consument en Markt (hierna: ACM) een aanvraag voor een leveringsvergunning (hierna: de aanvraag) ingediend, als bedoeld in artikel 45, eerste lid, van de Gaswet.
2. Aanleiding voor de aanvraag is het voornemen van NLD om gas te leveren aan kleinverbruikers als bedoeld in artikel 43, eerste lid, van de Gaswet.
3. Op 26 november 2013 heeft ACM de ontvangst van de aanvraag per brief aan NLD bevestigd. Onder vermelding van de ontbrekende gegevens en bescheiden, is NLD op 23 december 2013 per e-mail in de gelegenheid gesteld om de aanvraag aan te vullen. ACM heeft op diezelfde datum de beslistermijn opgeschort.
4. ACM heeft op grond van artikel 4:14, derde lid, van de Algemene wet bestuursrecht de beslistermijn voor de aanvraag verlengd met acht weken.
5. Tijdens de behandeling van de aanvraag heeft NLD op verzoek van ACM tevens overige (aanvullende) gegevens verstrekt over zijn kwaliteiten, als bedoeld in artikel 45, eerste lid sub a, van de Gaswet.
6. Op 19 maart 2014 zijn alle vragen, aangaande de organisatorische, technische en financiele kwaliteit, afdoende beantwoord door NLD.
## II. Juridisch Kader
7. Op grond van artikel 43, eerste lid, van de Gaswet is het verboden om zonder vergunning gas te leveren aan afnemers die beschikken over een aansluiting op een net met een totale maximale capaciteit van ten hoogste 40 m 3   (n) per uur.
BESLUIT
## a h CD  	 C @ 8 CI) cr ca N c m o  1 , 3 cn cn 3 ry  	--, s 33 · ry  	cr) CO A l t . 0  	 N1 .4,, * 8 cn \_..,. .....\_  , ?  11 ry r') CJ1 cn 111) 0  	 0 \_\_, O -.4  	 0 -3 o co 1 -\ 1 1 --rQ 0 ,) (r) 0 * I \  	C CD * CO o1 i -' D) 1 · trl ¢) SD O ( 0 (0 SD = Cs) Pagina
N
:
CD
## Autoriteit Consument &amp;amp; Markt Autoriteit
&lt;!-- image --&gt;
8. De Minister van Economische Zaken (hierna: de Minister) verleent op grond van artikel 45, eerste lid, van de Gaswet op aanvraag een vergunning indien de aanvrager genoegzaam aantoont dat hij:
2. (a)  beschikt over de benodigde organisatorische, financiele en technische kwaliteiten voor een goede uitvoering van zijn taak;
3. (b)  redelijkerwijs in staat kan worden geacht de verplichtingen als opgenomen in hoofdstuk 5 van de Gaswet na te komen.
9. Bij 'Besluit mandaat, volmacht en machtiging ACM'' heeft de Minister mandaat, volmacht en machtiging verleend aan ACM tot onder andere het nemen van besluiten die verband houden met artikel 45, eerste lid, van de Gaswet.
10. Bij 'Besluit organisatie, mandaat, volmacht en machtiging ACM 2013' 2  is mandaat en machtiging verleend aan de directeur en de teammanagers van de Directie Consumenten van ACM voor het nemen van besluiten en het verrichten van overige handelingen die verband houden met de Elektriciteitswet 1998 en de Gaswet voor zover deze specifiek op consumentenbelangen zien. De directeur en de teammanagers van de Directie Consumenten zijn aldus bevoegd om het onderhavige besluit (in ondermandaat) te nemen.
11. In het Besluit vergunning levering elektriciteit aan kleinverbruikers3   (hierna: het Besluit) zijn de criteria van artikel 45, eerste lid, van de Gaswet uitgewerkt en nadere regels gesteld met betrekking tot de inhoud van en de procedure voor aanvraag van een vergunning.
## Criteria voor beoordeling van de aanvraag
12. In artikel 3 van het Besluit zijn de criteria van artikel 45, eerste lid, Gaswet uitgewerkt. In onderdeel III van het onderhavige besluit met opschrift 'Beoordeling' wordt op deze criteria nader ingegaan.
## Inhoud van en procedure voor aanvraag
13. Een aanvraag dient op grond van artikel 2, eerste lid, van het Besluit te worden ingediend bij ACM. In artikel 2 van het Besluit is bepaald welke gegevens de aanvraag ten minste dient te bevatten. Op grond van artikel 4:2, tweede lid, van de Algemene wet bestuursrecht kan bij de aanvraag aanvullende informatie worden gevoegd of kan door ACM hierom worden gevraagd indien deze informatie benodigd is voor het beoordelen van de aanvraag. Op grond van artikel 4:2, tweede lid, van de Algemene wet bestuursrecht kan te alien tijde een aanvraag worden aangevuld met informatie, indien deze informatie benodigd is voor het beoordelen van de aanvraag.
1 Besluit van 2 april 2013, Stcrt. 2013, nr. 9333
2   Besluit van 2 april 2013, Stcrt. 2013, nr. 9697
3   Besluit van 8 mei 2003, Stb. 2003, nr. 207, laatstelijk gewijzigd bij besluit van 5 april 2005, Stb. 2005, nr. 200
## Autoriteit Consument &amp;amp; Markt Autoriteit
&lt;!-- image --&gt;
## III. Beoordeling
## Introductie
14. ACM beoordeelt in het hierna volgende of NLD conform artikel 45, eerste lid, van de Gaswet jo. artikel 3 van het Besluit, genoegzaam heeft aangetoond to beschikken over de vereiste organisatorische, financiele en technische kwaliteiten, on redelijkerwijs in staat kan worden geacht de verplichtingen uit hoofdstuk 5 van de Gaswet na to komen.
## Nakoming van de verplichtingen in hoofdstuk 5 Gaswet
15.  In artikel 3, eerste lid, van het Besluit is bepaald wanneer de aanvrager redelijkerwijs in staat kan worden geacht de verplichtingen als opgenomen in hoofdstuk 5 van de Gaswet na to komen.
## Inkoopen transportcontracten
16.  Op grond van artikel 3, eerste lid, van het Besluit is vereist dat de aanvrager over zodanige inkoop- en transportcontracten beschikt dat hij, gelet op de verwachte afzet, in staat zal zijn om op betrouwbare wijze zorg to dragen voor de levering van gas aan iedere kleinverbruiker die daarom verzoekt. NLD heeft ten behoeve van de dienstverlening voor gas een overeenkomst gesloten. Deze overeenkomst ziet op de verkoop on de levering van gas en aanverwante diensten. ACM is van oordeel dat voornoemde overeenkomst voor voldoende lange termijn is aangegaan en waarborgt dat NLD, gelet op zijn afzetprognoses, in staat zal zijn om op een betrouwbare wijze zorg to dragen voor de levering van gas aan iedere kleinverbruiker. Op basis van de verstrekte gegevens en bescheiden is ACM aldus van oordeel dat NLD genoegzaam heeft aangetoond aan dit vereiste to voldoen.
## Organisatorische, financiele en technische kwaliteiten
17.  In artikel 3, tweede lid, onderdeel a tot en met d, van het Besluit is bepaald wanneer de aanvrager beschikt over de benodigde organisatorische, financiele en technische kwaliteiten voor een goede uitvoering van zijn taak.
## Overbrugging uitgaven en inkomsten
18.  Op grond van artikel 3, tweede lid, onderdeel a, van het Besluit is vereist dat de aanvrager financieel in staat is om de termijn tussen uitgaven voor inkoop van gas en transportcapaciteit en de inkomsten van kleinverbruikers to overbruggen. Op basis van de verstrekte gegevens en bescheiden is ACM van oordeel dat NLD genoegzaam heeft aangetoond aan dit vereiste to voldoen.
## Administratieve organisatie en controle
19.  Op grond van artikel 3, tweede lid, onderdeel b, van het Besluit is vereist dat de aanvrager, in dit geval NLD, beschikt over een goede administratieve organisatie, met inbegrip van de financiele administratie, en over een goede interne of externe controle hierop. Op basis van de verstrekte gegevens en bescheiden is ACM van oordeel dat NLD genoegzaam heeft aangetoond aan dit vereiste to voldoen.
&lt;!-- image --&gt;
## Autoriteit Consument &amp;amp; Markt Autoriteit
&lt;!-- image --&gt;
## Non-faillissement / geen surseance van betaling
20.  Op grond van artikel 3, tweede lid, onderdeel c en d, van het Besluit is vereist dat de aanvrager niet in staat van faillissement verkeert en hem geen surseance van betaling is verleend. NLD heeft in dit verband een verklaring van de Rechtbank Noord-Nederland, locatie Assen overgelegd van 14 november 2013 op basis van de registers, als bedoeld in artikel 19 en 222a van de Faillissementswet. Op basis van de verstrekte gegevens en bescheiden is ACM van oordeel dat NLD genoegzaam heeft aangetoond aan dit vereiste te voldoen.
## Redelijke voorwaarden
21.  In artikel 3, derde lid, van het Besluit is bepaald dat een aanvrager redelijke voorwaarden hanteert, indien deze voldoen aan de vereisten als opgenomen in de onderdelen a tot en met d van dit artikel.
Offertes en overeenkomsten / betalingsregeling / regeling voor het opzeggen en ontbinden
22.  Op grond van artikel 3, derde lid, onderdeel a, van het Besluit is vereist dat de aanvrager duidelijke offertes en overeenkomsten hanteert, waarin de hoogte van de tarieven en de opbouw hiervan is aangegeven. Op grond van artikel 3, derde lid, onderdeel b en c, van het Besluit is voorts vereist dat de aanvrager een transparante en redelijke betalingsregeling hanteert, alsmede een transparante en redelijke regeling voor het opzeggen en ontbinden van overeenkomsten. NLD heeft in dit verband voorbeelden verstrekt van offertes, overeenkomsten en voorwaarden voor de levering van gas aan kleinverbruikers. Op basis van de verstrekte gegevens en bescheiden is ACM van oordeel dat NLD genoegzaam heeft aangetoond aan de voornoemde vereisten te voldoen.
## Klachten- en geschillenregeling
23.  Op grond van artikel 3, derde lid, onderdeel d, van het Besluit is vereist dat de aanvrager in staat is om klachten en geschillen op adequate wijze te behandelen. NLD heeft in dit verband een toereikende beschrijving van zijn interne klachtenprocedure overgelegd. Tevens heeft NLD bewijs geleverd van registratie bij de Geschillencommissie Energie en Water. Op basis van de gegevens en bescheiden is ACM van oordeel dat NLD genoegzaam heeft aangetoond aan de voornoemde vereisten te voldoen.
## Auton eit Consument &amp;amp; Markt Autoriteit
&lt;!-- image --&gt;
## IV. Besluit
24.  ACM is - onder verwijzing naar onderdeel Ill van onderhavig besluit - van oordeel dat NLD genoegzaam heeft aangetoond te beschikken over de benodigde organisatorische, financiele en technische kwaliteiten voor de goede uitvoering van zijn taak, alsmede redelijkerwijs in staat kan worden geacht om de verplichtingen als opgenomen in hoofdstuk 5 van de Gaswet na te komen, als bedoeld in artikel 45, eerste lid, van de Gaswet.
25.  Met inachtneming van artikel 45, eerste lid, van de Gaswet en het Besluit verleent ACM namens de Minister aan NLD een vergunning voor het leveren van gas aan kleinverbruikers.
26.  Aan de vergunning wordt het voorschrift verbonden dat NLD onverwijld opgave doet aan de directeur van de Directie Consumenten van wijzigingen in de bij de aanvraag verstrekte gegevens en bescheiden. Hieronder wordt verstaan tenminste de in artikel 2, tweede lid, onderdelen b, e, f en g, van het Besluit opgenomen gegevens en bescheiden, alsmede de overige (aanvullende) gegevens omtrent zijn (verwachte) financiele, technische en organisatorische kwaliteiten.
27.  Aan de vergunning wordt tenslotte het voorschrift verbonden dat NLD jaarlijks, binnen een maand na vaststelling, zijn jaarrekening als bedoeld in artikel 2:361 e.v. Burgerlijk Wetboek aan de directeur van de Directie Consumenten toezendt.
28.  Indien NLD niet voldoet aan de bij wet, het Besluit of de bij dit besluit gestelde voorschriften, of indien NLD naar het oordeel van de Minister om een andere reden niet langer in staat wordt geacht de plichten behorende bij de vergunde activiteit na te komen kan de Minister conform artikel 47, eerste lid, van de Gaswet, de aan NLD verleende vergunning intrekken.
29.  Van dit besluit wordt mededeling gedaan in de Staatscourant. Een versie van dit besluit zal tevens gepubliceerd worden op de website van ACM.
&lt;!-- image --&gt;
## Autoriteit Consument &amp;amp; Markt Autoriteit
&lt;!-- image --&gt;
30. Dit besluit treedt in werking met ingang van de dag waarop het conform artikel 3:41 van de Algemene wet bestuursrecht is bekend gemaakt.
2. R.J. Spencer Teammanager Directie Consumenten
Den Haag,
Datum:  	APR. 2014
De Minister van Economische Zaken namens deze:
Autoriteit Consument en Markt voor deze,
Tegen dit besluit kan degene, wiens belang rechtstreeks bij dit besluit is betrokken, binnen zes weken na de dag van bekendmaking van dit besluit een gemotiveerd bezwaarschrift indienen bij de Autoriteit Consument en Markt, Directie Juridische Zaken, Postbus 16326, 2500 BH Den Haag. In het bezwaarschrift kan een belanghebbende op basis van artikel 7:1a, eerste lid, van de Algemene wet bestuursrecht, de Autoriteit Consument en Markt verzoeken in to stemmen met rechtstreeks beroep bij het College van Beroep voor het bedrijfsleven.
99</t>
  </si>
  <si>
    <t>vergunning [14693:14703]</t>
  </si>
  <si>
    <t>## Autoriteit Consument &amp;amp; Markt Autoriteit
&lt;!-- image --&gt;
Ons kenmerk: ACM/DC/2014/201872
Zaaknummer: 14.0322.53
Besluit tot het wijzigen van de tenaamstelling van de vergunning van Eneco Business BV in Eneco Zakelijk BV voor de levering van elektriciteit aan kleinverbruikers op grond van artikel 95d, eerste lid, van de Elektriciteitswet 1998.
## I. Aanvraag en procedure
1. Bij besluit van 4 juni 2004 heeft de directeur Dienst uitvoering en toezicht Energie van de Nederlandse Mededingingsautoriteit (hierna:DTe), thans de Autoriteit Consument en Markt (hierna: ACM), namens de (toenmalige) Minister van Economische Zaken aan ENECO Energiehandelsbedrijf BV een vergunning verleend voor de levering van elektriciteit aan kleinverbruikers, als bedoeld in artikel 95d, eerste lid, van de Elektriciteitswet 1998 (hierna: de vergunning)'.
2. De vergunning is, gelet op artikel 95e, eerste lid, van de Elektriciteitswet 1998, verleend onder het voorschrift dat ENECO Energiehandelsbedrijf BV wijzigingen ten aanzien van de naam en het adres van ENECO Energiehandelsbedrijf BV onverwijld aan DTe doorgeeft.
3. Bij besluit van 9 december 20082  is de statutaire naam van ENECO Energiehandelsbedrijf BV gewijzigd in Eneco Business BV.
4. Bij brief met dagtekening d.d. 5 maart 201e heeft de rechtsgeldige vertegenwoordiger van Eneco Business BV kenbaar gemaakt dat de statutaire naam van Eneco Business BV per 1 april 2014 zal worden gewijzigd in Eneco Zakelijk BV. ACM is daartoe verzocht de vergunning op naam to stellen van Eneco Zakelijk BV.
5. Op verzoek van ACM heeft aanvrager op 3 april 2014 een uittreksel van de Kamer van Koophandel en een afschrift van de akte van statutenwijziging verstrekt.
1 Besluit met kenmerk 101758\_5/8
2 Besluit met kenmerk 102517\_1/7
3 Brief met kenmerk14.0322.53 / 2014101001
## BESLUIT
## P u e info@acm.nl |www.acm.nl | www.consuwijzer.nl T 070 722 20 00 | F 070 722 Postbus 16326 |2500 BH Den Haag Muzenstraat 41 | 2511 WB Den Haag 23 55
&lt;!-- image --&gt;
## Autoriteit Consument &amp;amp; Markt ·
6. Daarnaast heeft de aanvrager een verklaring van de rechtsgeldige vertegenwoordiger van verstrekt dat behalve de naam er niets zal wijzigen in de financiele, organisatorische en technische kwaliteit.
## II.  	Juridisch Kader
7. Op grond van artikel 95a, eerste lid, van de Elektriciteitswet 1998 is het verboden om zonder vergunning elektriciteit te leveren aan afnemers die beschikken over een aansluiting op een net met een totale maximale doorlaatwaarde van ten hoogste 3*80 A.
8. De Minister van Economische Zaken (hierna: de Minister) verleent op grond van artikel 95d, eerste lid, van de Elektriciteitswet 1998 op aanvraag een vergunning indien de aanvrager genoegzaam aantoont dat hij:
3. (a)  beschikt over de benodigde organisatorische, financiele en technische kwaliteiten voor een goede uitvoering van zijn taak;
4. (b)  redelijkerwijs in staat kan worden geacht de verplichtingen als opgenomen in hoofdstuk 8 van de Elektriciteitswet 1998 na te komen.
9. Bij 'Besluit mandaat, volmacht en machtiging ACM' 4 heeft de Minister mandaat, volmacht en machtiging verleend aan ACM tot onder andere het nemen van besluiten die verband houden met artikel 95d, eerste lid, van de Elektriciteitswet 1998.
10. Bij Besluit organisatie, mandaat, volmacht en machtiging ACM 2013 5 is mandaat en machtiging verleend aan de directeur en de teammanagers van de Directie Consumenten van ACM voor het nemen van besluiten en het verrichten van overige handelingen die verband houden met de Elektriciteitswet 1998 voor zover deze specifiek op consumentenbelangen zien. De directeur en teammanagers van de Directie Consumenten zijn aldus bevoegd om het onderhavige besluit (in ondermandaat) te nemen.
11. In het Besluit zijn de criteria van artikel 95d, eerste lid Elektriciteitswet 1998 uitgewerkt en nadere regels gesteld met betrekking tot de inhoud van en de procedure voor de aanvraag van een vergunning.
4 Besluit van 2 april 2013, Stcrt. 2013, nr. 9333
5 Besluit van 2 april 2013, Strct. 2013, nr. 9697
## Autoriteit Consument &amp;amp; Markt
&lt;!-- image --&gt;
## III.  	Beoordeling
12. ACM beoordeelt de aanvraag tot wijziging van de tenaamstelling van de vergunning als volgt:
13. Aanvrager heeft door middel van een uittreksel van de Kamer van Koophandel en een akte van statutenwijziging aangetoond dat de bedrijfsnaam is gewijzigd in Eneco Zakelijk BV.
14. ACM komt op basis van de verklaring van de rechtsgeldige vertegenwoordigers tot het oordeel dat het onderhavige besluit zich beperkt tot een wijziging in de tenaamstelling van de vergunning en geen enkele betrekking heeft op de organisatorische, technische en financiele kwaliteit van de aanvrager.
15. ACM merkt bij randnummer 14 op dat het onderhavige besluit niet vooraf is gegaan door een toetsing op de vereiste financiele, technische en organisatorische kwaliteit als beschreven in het juridisch kader, alsmede het nalevingsgedrag inzake de overige wettelijke verplichtingen die rusten op de aanvrager. ACM heeft het recht om op ieder moment deze kwaliteiten to controleren.
## IV.  	Besluit
16. Gelet op artikel 95d, eerste lid, van de Elektriciteitswet 1998, het Besluit en het bovenstaande, besluit de Minister van Economische Zaken dat de leveringsvergunning welke ten name is gesteld van Eneco Business BV op naam gesteld wordt van Eneco Zakelijk BV.
17. Van dit besluit wordt mededeling gedaan in de Staatscourant. Een versie van dit besluit zal tevens gepubliceerd worden op de website van ACM.
## Autoriteit Consument &amp;amp; Markt Autoriteit
&lt;!-- image --&gt;
18. Dit besluit treedt in werking met ingang van de dag waarop het conform artikel 3:41 van de Algemene wet bestuursrecht is bekend gemaakt.
Den Haag,
Datum:   0
8 APR.  2014
De Minister van Economische Zaken, namens deze:
Autoriteit Consument en Markt voor deze,
R.J. Spencer
Teammanager Directie Consumenten
Tegen dit besluit kan degene, wiens belang rechtstreeks bij dit besluit is betrokken, binnen zes weken na de dag van bekendmaking van dit besluit een gemotiveerd bezwaarschrift indienen bij de Autoriteit Consument en Markt, Directie Juridische Zaken, Postbus 16326, 2500 BH Den Haag. In het bezwaarschrift kan een belanghebbende op basis van artikel 7:1a, eerste lid, van de Algemene wet bestuursrecht, de Autoriteit Consument en Markt verzoeken in to stemmen met rechtstreeks beroep bij het College van Beroep voor het bedrijfsleven.
4/4</t>
  </si>
  <si>
    <t>Autoriteit_Persoonsgegevens__https___www.autoriteitpersoonsgegevens.nl_uploads_2023-09_Besluit%20vergunning%20collectief%20winkelverbod%20Breda.txt::Besluitvormend Orgaan</t>
  </si>
  <si>
    <t>Autoriteit Persoonsgegevens [15743:15770]</t>
  </si>
  <si>
    <t>## Autoriteit Consument &amp;amp; Markt
&lt;!-- image --&gt;
Ons kenmerk: ACM/DC/2015/205923
Betreft zaaknummer 15.1002.53: Besluit op basis van artikel, 95f, eerste lid, van de Elektriciteitswet 1998 tot het intrekken van de vergunning van MKB Energie B.V. voor de levering van elektriciteit aan kleinverbruikers
## Procedure Procedure 1
1. Op 28 januari 2004 heeft de Nederlandse Mededingingsautoriteit namens de toenmalige Minister van Economische Zaken (hierna: de Minister) aan MKB Energie B.V. (hierna: MKB Energie) een vergunning verleend, als bedoeld in artikel 95 d, eerste lid, van de Elektriciteitswet 1998 voor het leveren van elektriciteit aan afnemers die beschikken over een aansluiting op een net met een totale maximale doorlaatwaarde van ten hoogste 3*80 A (hierna: kleinverbruikers.)1 1. Op 28 januari 2004 heeft de Nederlandse Mededingingsautoriteit namens de toenmalige Minister van Economische Zaken (hierna: de Minister) aan MKB Energie B.V. (hierna: MKB Energie) een vergunning verleend, als bedoeld in artikel 95 d, eerste lid, van de Elektriciteitswet 1998 voor het leveren van elektriciteit aan afnemers die beschikken over een aansluiting op een net met een totale maximale doorlaatwaarde van ten hoogste 3*80 A (hierna: kleinverbruikers.)1
2. Op 17 september 2015 heeft de rechtsvertegenwoordiger van MKB Energie verzocht om de verstrekte vergunning aan MKB Energie in te trekken. e   t e  ddr dee verstrekte vergunning aan MKB Energie in te trekken.
3. In het verzoek, genoemd onder randnummer 2, heeft ACM de verklaring ontvangen dat MKB Energie geen elektriciteit meer levert aan kleinverbruikers en er aldus geen overdracht van klanten aan een andere, vergunninghoudende energieleverancier hoeft plaats te vinden. 3. In het verzoek, genoemd onder randnummer 2, heeft ACM de verklaring ontvangen dat MKB Energie geen elektriciteit meer levert aan kleinverbruikers en er aldus geen overdracht van klanten aan een andere, vergunninghoudende energieleverancier hoeft plaats te vinden.
## Il. Juridisch Kader II. Juridisch Kader
- 5a.corote lid van de Flektriciteitswet 1998 is het verboden om zonder 4. Op grond van artikel 95a, eerste lid, van de Elektriciteitswet 1998 is het verboden om zonder vergunning elektriciteit te leveren aan kleinverbruikers.
5. De Minister kan op basis van artikel 95f, eerste lid, van de Elektriciteitswet 1998 een op grond van artikel 95d Elektriciteitswet 1998 verleende vergunning voor het leveren van elektriciteit aan kleinverbruikers intrekken.
6. Op basis van artikel 95f, eerste lid, van de Elektriciteitswet 1998 kan een vergunning worden ingetrokken indien:
- a. de houder van de vergunning dit verzoekt;
1 101647\_9 Besluit MKB Energie BV
## BESLUIT
## P agi e info@acm.nl | www.acm.nl | www.consuwijzer.nl T 070 722 20 00 | F 070 722 23 55 Postbus 16326 | 2500 BH Den Haag Muzenstraat 41 | 2511 WB Den Haag
## Autoriteit Consument &amp;amp; Markt
&lt;!-- image --&gt;
b. de houder van de vergunning in onvoldoende mate voldoet aan de verplichting, bedoeld in artikel 95b;
- c. de houder van de vergunning de in de vergunning opgenomen voorschriften of opgelegde beperkingen niet nakomt;
- d. de houder van de vergunning bij de aanvraag onjuiste of onvolledige gegevens heeft verstrekt ve v do  ve e u sn v e vsin g a v ae zou hebben geleid;
- e. de houder van de vergunning naar het oordeel van Onze Minister om andere redenen niet langer in staat moet worden geacht de vergunde activiteit of de in de vergunning opgenomen voorwaarden na te komen;
- f. de houder van de vergunning de voorschriften bij of krachtens de artikelen 95k en 95l niet nakomt.
7. Bij 'Besluit mandaat, volmacht en machtiging ACM'² heeft de Minister mandaat, volmacht en machtiging verleend aan ACM tot onder andere het nemen van besluiten die verband houden met artikel 95f, eerste lid, van de Elektriciteitswet 1998.
8. Bij 'Besluit organisatie, mandaat, volmacht en machtiging ACM 2013'³ is mandaat en machtiging verleend aan de directeur en de teammanagers van de Directie Consumenten van ACM voor het nemen van besluiten en het verrichten van overige handelingen die verband houden met de Elektriciteitswet 1998 voor zover deze specifiek op consumentenbelangen zien. De directeur en teammanagers van de Directie Consumenten zijn aldus bevoegd om het onderhavige besluit (in ondermandaat) te nemen.
## ill. Beoordeling
9. Op basis van de door de rechtsvertegenwoordiger van MKB Energie verstrekte informatie, is aannemelijk dat de activiteiten waarvoor de leveringsvergunning is verleend aan MKB Energie, niet langer door MKB Energie worden uitgeoefend. Hiermee is het belang om de verleende vergunning in stand te houden komen te vervallen.
2 Besluit van 2 april 2013, Stcrt. 2013, nr. 9333.
3 Besluit van 2 april 2013, Stcrt. 2013, nr. 9697.
## Autoriteit Consument &amp;amp; Markt
&lt;!-- image --&gt;
## IV. Besluit
10. Gelet op artikel 95f, eerste lid, onderdeel a van de Elektriciteitswet en het bovenstaande, besluit de Minister de aan MKB Energie verleende vergunning als bedoeld in artikel 95d van de Elektriciteitswet 1998 voor het leveren van elektriciteit aan kleinverbruikers in te trekken.
11. Van dit besluit wordt mededeling gedaan in de Staatscourant. Een versie van dit besluit zal tevens gepubliceerd worden op de website van ACM.
12. Dit besluit treedt in werking met ingang van de dag waarop het conform artikel 3:41 van de Algemene wet bestuursrecht is bekend gemaakt.
Den Haag,
Datum:
9 OKT 2015
De Minister van Economische Zaken namens deze:
Autoriteit Consument en Markt voor deze,
## R.J. Spencer
Teammanager Directie Consumenten
Tegen dit besluit kan degene, wiens belang rechtstreeks bij dit besluit is betrokken, binnen zes weken na de dag van bekendmaking van dit besluit een gemotiveerd bezwaarschrift indienen bij de Autoriteit Consument en Markt, Directie Juridische Zaken, Postbus 16326, 2500 BH Den Haag. In het bezwaarschrift kan een belanghebbende op basis van artikel 7:1a, eerste lid, van de Algemene wet bestuursrecht, de Autoriteit Consument en Markt verzoeken in te stemmen met rechtstreeks beroep bij het College van Beroep voor het bedrijfsleven.
3/3</t>
  </si>
  <si>
    <t>[...] schrift indienen, zie www.autoriteitpersoonsgegevens.nl. onder het kopje 'Bezwaar maken tegen een besluit'. Het indienen van een bezwaarschrift schort de werking van dit besluit niet op. Den Haag, 14 augustus 2023 Autoriteit Persoonsgegevens, Overeenkomstig het door de Autoriteit Persoonsgegevens genomen besluit, ir. C.M. Schut, MPA Directeur Systeemtoezicht, Beveiliging en Technologie &lt;!-- image --&gt; Datum 14 augustus 2023 Ons kenmerk z202 [...]</t>
  </si>
  <si>
    <t>Autoriteit_Persoonsgegevens__https___www.autoriteitpersoonsgegevens.nl_uploads_2023-09_Besluit%20vergunning%20collectief%20winkelverbod%20Breda.txt::Rechtshandeling</t>
  </si>
  <si>
    <t>verlening [14934:14944]</t>
  </si>
  <si>
    <t>verlening [14934:14943]</t>
  </si>
  <si>
    <t>Autoriteit_Persoonsgegevens__https___www.autoriteitpersoonsgegevens.nl_uploads_2023-09_Besluit%20vergunning%20collectief%20winkelverbod%20Breda.txt::Rechtsobject</t>
  </si>
  <si>
    <t>## Besluit
Ons kenmerk:
ACM/DE/2015/201616\_OV
Zaaknummer:
14.1384.53
## BESLUIT
Besluit van de Minister van Economische Zaken als bedoeld in artikel 10, eerste lid, van de Warmtewet.
&lt;!-- image --&gt;
1/9
| Besluit       | Besluit                                                                                                                                        |
|---------------|------------------------------------------------------------------------------------------------------------------------------------------------|
| Inhoudsopgave | Inhoudsopgave                                                                                                                                  |
| 1             | Aanvraag en procedure ....................................................................................................... 3                |
| 2             | Juridisch kader ..................................................................................................................... 4        |
| 3             | Beoordeling ........................................................................................................................... 6      |
| 4             | Besluit .................................................................................................................................... 8 |
## Besluit
## 1 Aanvraag en procedure
1. Op 2 december 2014, ontvangen op 4 december 2014, 1 heeft Green Spread Warmte B.V. (hierna: aanvrager) een aanvraag voor een vergunning ingediend, als bedoeld in artikel 10, eerste lid van de Warmtewet.
2. Op 13 januari 2015, heeft de Autoriteit Consument en Markt (hierna: ACM) de ontvangst van de complete aanvraag per brief bevestigd 2 , en aanvrager verzocht  aanvullende gegevens ten aanzien van zijn kwaliteiten zoals bedoeld in artikel 10, eerste lid onder a van de Warmtewet en de verplichtingen zoals genoemd in artikel 10,eerste lid onder b van de Warmtewet te overleggen .
3. Op 28 januari 2015 heeft ACM per brief de volgende aanvullende gegevens van aanvrager ontvangen: aangepast tarievenblad, een correcte openingsbalans en een accountantsverklaring.  Daarmee zijn alle vragen aangaande de organisatorische, technische en financiële kwaliteit en de verplichtingen zoals genoemd in artikel 10, eerste lid onder b Warmtewet afdoende beantwoord door aanvrager 3 .
1 Met kenmerk ACM:  2014103452.
2 Brief met kenmerk ACM 2015200046
3 Brief met kenmerk ACM 2015100185.
&lt;!-- image --&gt;
## Besluit
## 2 Juridisch kader
4. In dit hoofdstuk wordt het wettelijk kader beschreven dat ten grondslag ligt aan dit besluit.
5. Op grond van artikel 9 van de Warmtewet is het verboden om zonder vergunning warmte te leveren aan verbruikers die warmte afnemen van een warmtenet en een aansluiting hebben van maximaal 100 kilowatt. Dit verbod geldt niet ten aanzien van een leverancier die warmte levert aan ten hoogste 10 verbruikers tegelijk, per jaar niet meer warmte levert dan 10.000 gigajoules of de verhuurder of eigenaar is van het gebouw, ten behoeve waarvan de warmte wordt geleverd.
3. 6.
4. Op grond van artikel 10, eerste lid, van de Warmtewet verleent de Minister op aanvraag een vergunning indien de aanvrager genoegzaam aantoont dat hij: a. beschikt over de benodigde organisatorische,  financiële en technische kwaliteiten voor een goede uitvoering van zijn taak; b. redelijkerwijs in staat kan worden geacht de verplichtingen  als opgenomen in hoofdstuk 2 van de Warmtewet na te komen.
7. De Minister zal met terugwerkende kracht aan ACM volmacht en machtiging verlenen tot onder andere het nemen van besluiten die verband houden met artikel 10, eerste lid van de Warmtewet. 4 ACM is derhalve bevoegd tot het beoordelen en verlenen danwel afwijzen van de vergunningaanvraag tot het leveren van warmte.
8. In het Warmtebesluit zijn de criteria van artikel 10, eerste lid  Warmtewet uitgewerkt en nadere regels gesteld met betrekking tot de inhoud van en de procedure voor de aanvraag van een vergunning.
## Inhoud van en procedure voor de aanvraag
9. Een aanvraag dient op grond van artikel 9, eerste lid, van het Warmtebesluit te worden ingediend bij ACM. In artikel 9 van het Warmtebesluit is bepaald welke gegevens de aanvraag ten minste dient te bevatten. Op grond van artikel 4:2, tweede lid, van de Algemene wet
4 Besluit van de Minister van Economische Zaken van 2 april 2013, nr. WJZ / 13052618, houdende regels inzake de verlening van mandaat, volmacht en machtiging aan de ACM (Besluit mandaat, volmacht en machtiging ACM)
## Besluit
bestuursrecht kan bij de aanvraag aanvullende informatie worden gevoegd of kan door ACM hierom worden gevraagd indien deze informatie benodigd is voor het beoordelen van de aanvraag. Op grond van artikel 4:2, tweede lid, van de Algemene wet bestuursrecht kan te allen tijde een aanvraag worden aangevuld met informatie, indien deze informatie benodigd is voor het beoordelen van de aanvraag.
## Criteria voor beoordeling van de aanvraag
10. In artikel 9 van het Warmtebesluit zijn de criteria van artikel 10, eerste lid,  Warmtewet uitgewerkt. In onderdeel 3. van het onderhavige besluit met opschrift 'Beoordeling' wordt nader op deze criteria in gegaan.
## Besluit
## 3 Beoordeling
## Introductie
11. ACM beoordeelt in het hierna volgende of aanvrager, conform artikel 10, eerste lid, van de Warmtewet jo. artikel 9 van het Warmtebesluit, genoegzaam heeft aangetoond te beschikken over de vereiste organisatorische, financiële en technische kwaliteiten voor een goede uitvoering van zijn taak en redelijkerwijs in staat kan worden geacht de verplichtingen uit hoofdstuk 2 van de Warmtewet na te komen. In artikel 9, vierde lid, onderdeel a tot en met d, van het Warmtebesluit is bepaald wanneer de aanvrager beschikt over de benodigde organisatorische, financiële en technische kwaliteiten voor een goede uitvoering van zijn taak.
## Organisatorische, financiële en technische kwaliteiten
## Administratieve organisatie en controle
12. Op grond van artikel 9, vierde lid, onderdeel a, van het Warmtebesluit is vereist dat de aanvrager beschikt over een goede administratieve organisatie, met inbegrip van de financiële administratie, en over een goede interne of externe controle hierop. Op basis van de verstrekte gegevens en bescheiden is de Minister van oordeel dat aanvrager genoegzaam heeft aangetoond aan dit vereiste te voldoen 5 .
## Non-faillissement / geen surseance van betaling
13. Op grond van artikel 9, vierde lid, onderdeel b en c, van het Warmtebesluit is vereist dat de aanvrager niet in staat van faillissement verkeert en hem geen surseance van betaling is verleend. Aanvrager heeft in dit verband een verklaring van de Rechtbank Gelderland, locatie Arnhem overlegd van  25 november 2014 op basis van de registers, bedoeld in artikel 19 en 222a van de Faillissementswet. Op basis van de gegevens en bescheiden is ACM van oordeel dat aanvrager genoegzaam heeft aangetoond aan voornoemd vereiste te voldoen 6 .
## Doeltreffend systeem voor beheersing van de kwaliteit van zijn te leveren goederen en diensten
14. Op grond van artikel 9, vierde lid , onderdeel d, van het Warmtebesluit is vereist dat de aanvrager beschikt over een doeltreffend systeem voor de beheersing van de kwaliteit van zijn te leveren goederen en diensten. Op basis van de verstrekte gegevens en bescheiden is ACM van oordeel dat aanvrager genoegzaam heeft aangetoond aan dit vereiste te voldoen. 7
5 Aanvraagformulier antwoorden op vragen 6.1 tot en met 6.2 en bijlage B Businessplan.
6 Aanvraagformulier antwoorden op vragen 7.1, bijlage E Openingsbalans, bijlage F Non-faillietverklaring  en bijlagen bij brief d.d. 27 januari 2015 met kenmerk ACM/DE/2015/200046.
7 Aanvraagformulier antwoorden op vragen 9.1 tot en met 9.3 en bijlage B Businessplan
&lt;!-- image --&gt;
6/9
## Besluit
## Betrouwbare levering
15. In artikel 2, eerste lid, van de Warmtewet  is bepaald dat een warmteleverancier zorg draagt voor een betrouwbare levering.  Uit de door aanvrager overgelegde prognose van de warmtevraag van de verbruikers en de beschrijving van de wijze waarop aan deze vraag tegemoet wordt gekomen, concludeert ACM dat aanvrager in staat is om zorg te dragen voor een betrouwbare levering van warmte.
## Redelijke voorwaarden
## Overeenkomst
16. In artikel 2, eerste lid van de Warmtewet is bepaald dat een warmteleverancier redelijke voorwaarden hanteert. In artikel 3 van de Warmtewet is bepaald dat de warmteleverancier een overeenkomst tot levering van warmte opstelt. In dit artikel is tevens aangegeven welke gegevens deze overeenkomst minimaal dient te bevatten. Op basis van de verstrekte gegevens en bescheiden is ACM van oordeel dat aanvrager overeenkomsten hanteert die de gegevens bevatten welke zijn opgenomen in artikel 3 van de Warmtewet.
## Klachten- en geschillenregeling
17. Op grond van artikel 3, tweede lid, van de Warmtewet is vereist dat verbruikers geschillen die voortvloeien uit de desbetreffende overeenkomst kunnen voorleggen aan een onafhankelijke geschillencommissie. De geschillencommissie dient snel, transparant, eenvoudig en goedkoop te zijn. Aanvrager heeft in dit verband een toereikende beschrijving van de gehanteerde klachten- en geschillenregeling voor verbruikers overgelegd. Tevens heeft aanvrager bewijs geleverd van registratie bij de Geschillencommissie Energie en Water 8 . Op basis van de gegevens en bescheiden is de Minister van oordeel dat aanvrager genoegzaam heeft aangetoond aan de voornoemde vereisten te voldoen.
8 Aanvraagformulier bijlage J Intakeformulier geschillencommissie Energie.
## Besluit
## 4 Besluit
18. ACM is -onder verwijzing naar onderdeel 3. van onderhavig besluit -van oordeel dat Green Spread Warme B.V. genoegzaam heeft aangetoond te beschikken over de benodigde organisatorische, financiële en technische kwaliteiten voor de goede uitvoering van zijn taak, alsmede redelijkerwijs in staat kan worden geacht om de verplichtingen als opgenomen in hoofdstuk 2 van de Warmtewet na te komen
19. Met inachtneming van artikel 10, eerste lid, van de Warmtewet en het Warmtebesluit, besluit ACM aan Greenspread Warmte B.V. een vergunning te verlenen voor het leveren van warmte aan verbruikers.
20. Met toepassing van de bevoegdheid opgenomen in artikel 10, derde lid, van de Warmtewet verbindt ACM aan de vergunning het voorschrift dat Greenspread Warmte B.V. onverwijld opgave doet aan ACM van wijzigingen in de bij de aanvraag verstrekte gegevens en bescheiden. Hieronder wordt in ieder geval verstaan de in artikel 9, tweede lid, onderdelen a, c en f van het Warmtebesluit vermelde gegevens en bescheiden, alsmede de overige (aanvullende) gegevens omtrent zijn (verwachte) financiële, technische en organisatorische kwaliteiten.
21. Aan de vergunning wordt het voorschrift verbonden dat de warmte bestemd voor ruimteverwarming wordt geleverd op een minimum temperatuur van 25 graden Celsius en een maximumtemperatuur van 55 graden Celsius en dat de warmte bestemd voor warm tapwater wordt geleverd op minimaal 60 graden Celsius en maximaal 80 graden Celsius.
22. Aan de vergunning wordt tenslotte het voorschrift verbonden dat Greenspread warmte B.V. jaarlijks - binnen één maand na vaststelling - zijn jaarrekening als bedoeld in artikel 2:361 e.v. Burgerlijk Wetboek aan ACM toezendt.
23. Gewezen wordt op de bevoegdheid van ACM om, conform artikel 11 van de Warmtewet de vergunning van Greenspread Warmte in te trekken, onder meer in het geval de in de vergunning opgenomen voorschriften niet worden nagekomen.
24. Van dit besluit wordt mededeling gedaan in de Staatscourant. Een versie van dit besluit zal tevens gepubliceerd worden op de website van ACM.
## Besluit
25. Dit besluit treedt in werking met ingang van de dag waarop het conform artikel 3:41 van de Algemene wet bestuursrecht is bekend gemaakt.
Den Haag,
Datum:
De Minister van Economische Zaken namens deze: Autoriteit Consument en Markt voor deze,
drs. F.E. Koel Teammanager Directie Energie
Tegen dit besluit kan degene, wiens belang rechtstreeks bij dit besluit is betrokken, binnen zes weken na de dag van bekendmaking van dit besluit een gemotiveerd bezwaarschrift indienen bij Autoriteit Consument en Markt (ACM). Postadres: Postbus 16326, 2500 BH Den Haag, ter attentie van de directie Juridische Zaken. In het bezwaarschrift kan een belanghebbende op basis van artikel 7:1a, eerste lid, van de Algemene wet bestuursrecht, de Minister van Economische Zaken verzoeken in te stemmen met rechtstreeks beroep bij het College van Beroep voor het bedrijfsleven.
9/9</t>
  </si>
  <si>
    <t>vergunning [14952:14963]</t>
  </si>
  <si>
    <t>vergunning [14952:14962]</t>
  </si>
  <si>
    <t>Autoriteit_Persoonsgegevens__https___www.autoriteitpersoonsgegevens.nl_uploads_2023-09_Besluit%20vergunning%20collectieve%20horecaontzegging%20Leidsebuurt.txt::Ontvanger</t>
  </si>
  <si>
    <t>Autoriteit_Persoonsgegevens__https___www.autoriteitpersoonsgegevens.nl_uploads_2023-09_Besluit%20vergunning%20collectieve%20horecaontzegging%20Leidsebuurt.txt</t>
  </si>
  <si>
    <t>Koninklijke Horeca Nederland [423:451]</t>
  </si>
  <si>
    <t>[...] van de verwerking 'Collectieve Horecaontzegging' door de in de bijlage genoemde horecaondernemers van het horecagebied Leidsebuurt z2023-01388 ## 1 Inleiding: aanleiding vergunningaanvraag 1. Op 9 maart 2023 heeft Koninklijke Horeca Nederland (hierna: KHN) - ingevolge artikel 33, vierde lid, aanhef en onder c, van de Uitvoeringswet Algemene verordening gegevensbescherming (UAVG) - bij de Autoriteit Persoonsgegevens (AP) een bulkvergunningaanvraag ingediend n [...]</t>
  </si>
  <si>
    <t>&lt;!-- image --&gt;
&lt;!-- image --&gt;
## Besluit
Besluit Holthausen Clean Energy B.V. vergunning levering elektriciteit aan kleinverbruikers
| Kenmerk    | ACM/UIT/126178   |
|------------|------------------|
| Zaaknummer | ACM/17/000209    |
| Datum      | 27 juli 2017     |
Besluit van de Autoriteit Consument en Markt op grond van artikel 45, eerste lid, van de Elektriciteitswet 1998 tot het verlenen van een vergunning voor de levering van elektriciteit aan kleinverbruikers aan Holthausen Clean Energy B.V..
## I. Aanvraag en procedure
1. Op 1 februari 2017 heeft Holthausen Clean Energy B.V. bij de Autoriteit Consument en Markt (ACM) een aanvraag voor een vergunning ingediend 1 (hierna: aanvraag).
2. Muzenstraat 41 2511 WB  Den Haag 2. Aanleiding voor deze aanvraag is het voornemen van Holthausen Clean Energy B.V. om elektriciteit te leveren aan kleinverbruikers 2 .
3. Op 2 februari 2017 heeft de ACM de ontvangst van de aanvraag schriftelijk bevestigd aan Holthausen Clean Energy B.V..
4. Op 8 februari 2017 heeft de ACM Holthausen Clean Energy B.V. de kans gegeven de aanvraag aan te vullen. De ACM heeft de beslistermijn opgeschort met ingang van de dag na dagtekening van de uitnodiging om de aanvraag aan te vullen. Op 2 maart 2017 heeft er bij de ACM een gesprek plaatsgevonden. Vervolgens is er verschillende malen schriftelijk contact geweest.
5. Op 17 juli 2017 heeft Holthausen Clean Energy B.V. alle ontbrekende stukken en informatie aangeleverd die nodig waren voor de beoordeling. Hiermee bevatte de aanvraag van Holthausen Clean Energy B.V. op dat moment de vereiste gegevens en documenten op grond van het 'Besluit vergunning levering elektriciteit aan kleinverbruikers' 3 (hierna: het Besluit). Tijdens de behandeling van de aanvraag heeft Holthausen Clean Energy B.V. op verzoek van de ACM ook de nodige aanvullende gegevens verstrekt 4 .
6. Op 17 juli 2017 heeft Holthausen Clean Energy B.V. alle vragen over de organisatorische, technische en financiële kwaliteit voldoende beantwoord.
1 Artikel 95d, eerste lid en artikel 95a, eerste lid, van de Elektriciteitswet 1998.
2 Als bedoeld in artikel 95a, eerste lid, van de Elektriciteitswet 1998.
3 Artikel 2, tweede lid, van het Besluit vergunning levering elektriciteit aan kleinverbruikers.
4 Artikel 95d, eerste lid sub a, van de Elektriciteitswet 1998.
Openbaar www.
070 7
## II. Juridisch Kader
7. Het is verboden om zonder vergunning elektriciteit te leveren aan afnemers die beschikken over een aansluiting op een net met een totale maximale doorlaatwaarde van ten hoogste 3*80 A. Dit wordt bepaald in artikel 95a, eerste lid, van de Elektriciteitswet 1998.
8. De minister van Economische Zaken (hierna: de minister) verleent op grond van artikel 95d, eerste lid, van de Elektriciteitswet 1998 een vergunning aan een aanvrager die voldoende aantoont dat hij:
3. (a) beschikt over de benodigde organisatorische, financiële en technische kwaliteiten voor een goede uitvoering van zijn taak;
4. (b) redelijkerwijs in staat kan worden geacht de verplichtingen na te komen als opgenomen in hoofdstuk 8 van de Elektriciteitswet 1998.
9. Bij 'Besluit mandaat, volmacht en machtiging ACM' 5 heeft de minister mandaat, volmacht en machtiging verleend aan de ACM tot onder andere het nemen van besluiten die verband houden met artikel 95d, eerste lid, van de Elektriciteitswet 1998.
10. Bij 'Besluit organisatie, mandaat, volmacht en machtiging ACM 2013' 6 heeft de Directie Consumenten van de ACM mandaat en machtiging gekregen om besluiten te nemen en overige handelingen te verrichten die verband houden met de Elektriciteitswet 1998 voor zover deze specifiek met consumentenbelangen te maken hebben. De directeur en de teammanagers van de Directie Consumenten zijn bevoegd om een beslissing te nemen op deze aanvraag.
11. In het Besluit zijn de criteria van artikel 95d, eerste lid, Elektriciteitswet 1998 uitgewerkt. Ook staan hier de inhoudelijke en procedurele regels waaraan een vergunningaanvrager zich moet houden.
## Criteria voor beoordeling van de aanvraag
12. In artikel 3 van het Besluit zijn de criteria van artikel 95d, eerste lid, Elektriciteitswet 1998 uitgewerkt. Op deze criteria gaat de ACM verder in onder het kopje 'Beoordeling' in onderdeel III (zie hieronder).
## Inhoud van en procedure voor de aanvraag
13. Een aanvraag moet bij de ACM worden ingediend op grond van artikel 2, eerste lid, van het ' Besluit vergunning levering elektriciteit aan kleinverbruikers ' . In artikel 2 van het Besluit staat welke gegevens de aanvraag tenminste moet bevatten. De ACM vraagt om aanvullende gegevens 7 als dat voor de beoordeling van de aanvraag noodzakelijk is.
5 Besluit van 2 april 2013, Stcrt. 2013, nr. 9333.
6 Besluit van 2 april 2013, Stcrt. 2013, nr. 9697.
7 Artikel 4:2, tweede lid, van de Algemene wet bestuursrecht.
&lt;!-- image --&gt;
## III.  Beoordeling
## Introductie
14. De ACM beoordeelt hieronder of Holthausen Clean Energy B.V. voldoende heeft aangetoond te beschikken over de vereiste organisatorische, financiële en technische kwaliteiten 8 . De ACM beoordeelt verder of Holthausen Clean Energy B.V. redelijkerwijs in staat kan worden geacht de verplichtingen na te komen uit hoofdstuk 8 van de Elektriciteitswet 1998.
## Organisatorische, financiële en technische kwaliteiten
15. In artikel 3, eerste lid, onderdeel a tot en met d, van het Besluit is bepaald wanneer de aanvrager beschikt over de benodigde organisatorische, financiële en technische kwaliteiten voor een goede uitvoering van zijn taak.
## Programmaverantwoordelijkheid
16. De aanvrager moet voor voldoende lange termijn een erkenning als programmaverantwoordelijke hebben 9 . Als de aanvrager deze programmaverantwoordelijkheid heeft overgedragen aan een contactpersoon, dan moet de contactpersoon deze erkenning bezitten. De ACM is van oordeel dat Holthausen Clean Energy B.V. voldoende heeft aangetoond aan dit vereiste te voldoen.
## Administratieve organisatie en controle
17. De aanvrager moet 10 een goede algemene en financiële administratie voeren, en zorgen dat hierop een goede interne of externe controle plaatsvindt. De ACM is van oordeel dat Holthausen Clean Energy B.V. heeft aangetoond aan dit vereiste te voldoen. De ACM baseert zich hierbij op de gegevens en documenten die de aanvrager heeft aangeleverd en met name op het Assurancerapport van een onafhankelijke accountant.
## Non-faillissement / geen surseance van betaling
18. De aanvrager mag niet in staat van faillissement verkeren en hem mag geen surseance van betaling zijn verleend 11 . Holthausen Clean Energy B.V. heeft dit voldoende aangetoond aan de hand van een verklaring van de rechtbank Groningen van 10 februari 2017 12 .
## Financiële kwaliteit
19. Holthausen Clean Energy B.V. heeft bij de aanvraag een prognose gedaan over de ontwikkeling van zijn financiële positie. Hiervan heeft Holthausen Clean Energy B.V. ook bewijzen in de vorm van documentatie en overeenkomsten aangeleverd. De ACM stelt vast dat Holthausen Clean Energy B.V. beschikt over voldoende financiële kwaliteit voor een goede uitvoering van zijn taak.
8 Artikel 95d, eerste lid, van de Elektriciteitswet 1998 jo. artikel 3 van het Besluit.
9
Artikel 3, eerste lid, onderdeel a, van het Besluit.
10
Artikel 3, tweede lid, onderdeel b, van het Besluit.
11
Artikel 3, tweede lid, onderdeel c en d, van het Besluit.
12 Op basis van de registers, als bedoeld in artikel 19 en 222a van de Faillissementswet.
&lt;!-- image --&gt;
## Redelijke voorwaarden
20. Een aanvrager hanteert redelijke voorwaarden als deze voldoen aan artikel 3, tweede lid van het Besluit, onderdelen a tot en met d.
Offertes en overeenkomsten/betalingsregeling / regeling voor het opzeggen en ontbinden
21. De aanvrager moet duidelijke offertes en overeenkomsten gebruiken voor de uitvoering van zijn onderneming 13 . Hij moet hierin aangeven welke tarieven hij hanteert en wat de opbouw daarvan is. Daarnaast moet de aanvrager een transparante en redelijke betalingsregeling hanteren en ook een transparante en redelijke regeling voor het opzeggen en ontbinden van overeenkomsten 14 . Holthausen Clean Energy B.V. heeft aangetoond dit te doen aan de hand van offertes, overeenkomsten en voorwaarden voor de levering van elektriciteit aan kleinverbruikers. De ACM is van oordeel  dat Holthausen Clean Energy B.V. heeft aangetoond aan deze vereisten te voldoen.
## Klachten- en geschillenregeling
22. De aanvrager moet in staat zijn om klachten en geschillen op adequate wijze te behandelen 15 . Holthausen Clean Energy B.V. heeft een goede interne klachtenprocedure laten zien. Ook heeft Holthausen Clean Energy B.V. bewijs geleverd dat het geregistreerd is bij de Geschillencommissie Energie en bij de Geschillencommissie Energie Zakelijk. De ACM is van oordeel dat Holthausen Clean Energy B.V. heeft aangetoond aan de vereisten te voldoen.
## IV.  Besluit
23. De ACM is van oordeel dat Holthausen Clean Energy B.V. heeft aangetoond te beschikken over de benodigde organisatorische, financiële en technische kwaliteiten voor de goede uitvoering van zijn taak. Holthausen Clean Energy B.V. kan redelijkerwijs in staat worden geacht om de verplichtingen als opgenomen in hoofdstuk 8 van de Elektriciteitswet 1998 na te komen, als bedoeld in artikel 95d, eerste lid, van de Elektriciteitswet 1998.
24. De ACM verleent namens de minister aan Holthausen Clean Energy B.V. een vergunning voor het leveren van elektriciteit aan kleinverbruikers 16 .
25. Aan de vergunning wordt het voorschrift verbonden dat Holthausen Clean Energy B.V. blijvend voldoet aan de vereisten voor vergunningverlening. Vinden er wijzigingen plaats in gegevens en documenten die Holthausen Clean Energy B.V. bij de aanvraag had verstrekt, dan geeft Holthausen Clean Energy B.V. die direct op aan de directeur van de Directie Consumenten. Dit geldt voor tenminste de wijzigingen in de documenten en gegevens, genoemd in artikel 2, tweede lid, onderdelen a, d, e, f, van het Besluit. Maar ook voor de overige (aanvullende) gegevens omtrent zijn huidige en verwachte financiële, technische en organisatorische kwaliteiten.
26. Holthausen Clean Energy B.V. moet jaarlijks zijn jaarrekening aan de directeur van de Directie Consumenten van de ACM sturen. Dit moet gebeuren binnen één maand nadat de jaarrekening is vastgesteld 17 .
13 Artikel 3, derde lid, onderdeel a, van het Besluit.
14 Artikel 3, derde lid, onderdeel b en c, van het Besluit.
15 Artikel 3, tweede lid, onderdeel d, van het Besluit.
16 Artikel 95d, eerste lid, van de Elektriciteitswet 1998 en het Besluit vergunning levering elektriciteit aan kleinverbruikers.
17 Artikel 2:361 e.v. Burgerlijk Wetboek.
&lt;!-- image --&gt;
27. De minister kan de vergunning intrekken als Holthausen Clean Energy B.V. niet langer meer voldoet aan de wet 18 , het Besluit of de voorschriften die bij het Besluit zijn gesteld, of om andere redenen.
28. De openbare versie van dit besluit publiceert ACM op haar website.
29. Dit besluit treedt in werking met ingang van de dag waarop het bekend is gemaakt 19 .
Den Haag, 18 juli 2017
Hoogachtend, De Minister van Economische Zaken,
namens deze:
Autoriteit Consument en Markt, voor deze:
w.g.
ir. E.J. Hummelen Teammanager Directie Consumenten
18 Artikel 95f, eerste lid, van de Elektriciteitswet 1998.
19 Artikel 3:41 van de Algemene wet bestuursrecht.</t>
  </si>
  <si>
    <t>Autoriteit_Persoonsgegevens__https___www.autoriteitpersoonsgegevens.nl_uploads_2023-09_Besluit%20vergunning%20collectieve%20horecaontzegging%20Leidsebuurt.txt::Besluitvormend Orgaan</t>
  </si>
  <si>
    <t>Autoriteit Persoonsgegevens [17268:17295]</t>
  </si>
  <si>
    <t>Muzenstraat 41 www.acm.nl
## Autoriteit Consument £ Markt Autoriteit
&lt;!-- image --&gt;
## Besluit
Kenmerk
: ACM/UIT/177356
Zaaknummer : ACM/17/005977
Besluit van de Autoriteit Consument en Markt tot het intrekken van de vergunning van Energie der Nederlanden voor de levering van elektriciteit aan kleinverbruikers. 1
## I. Aanvraag en Procedure
1. Op 15 september 2006 heeft de voormalige Nederlandse Mededingingsautoriteit, thans de Autoriteit Consument en Markt (hierna: ACM), namens de minister van Economische Zaken aan Anode B.V. een vergunning verleend 2  voor de levering van elektriciteit aan afnemers die beschikken over een aansluiting op een net met een totale maximale doorlaatwaarde van ten hoogste 3*80 A (hierna: kleinverbruikers) 3 .
2. Bij besluit van 23 juli 2013 is de statutaire naam van Anode B.V. gewijzigd in Energie der Nederlanden B.V. (hierna: EdN) 4
3. EdN heeft de ACM in een brief van 31 augustus 2017 gevraagd om de vergunning aan EdN in te trekken.
4. In zijn brief van 31 augustus 2017 heeft de rechtsgeldige vertegenwoordiger van EdN verklaard dat EdN geen elektriciteit meer levert aan kleinverbruikers. Daarnaast heeft EdN verklaard geen kleinverbruikende klanten meer in haar portefeuille te hebben. Dat betekent dat er dus geen overdracht van klanten aan een andere, vergunninghoudende energieleverancier hoeft plaats te vinden.
## II. Juridisch Kader
5. Het is verboden om zonder vergunning elektriciteit te leveren aan kleinverbruikers. Dit is bepaald in artikel 95a, eerste lid, van de Elektriciteitswet 1998.
6. De minister kan een op basis van artikel 95d van de Elektriciteitswet 1998 verleende vergunning voor het leveren van elektriciteit aan kleinverbruikers intrekken. Dit kan de minister op basis van artikel 95f, eerste lid, van de Elektriciteitswet 1998.
7. Een vergunning kan op basis van artikel 95f, eerste lid, Elektriciteitswet 1998 worden ingetrokken als de vergunninghouder:
- a. hierom vraagt;
^ Artikel 95f, eerste lid, sub a, van de Elektriciteitswet 1998
3 Besluit tot verlening vergunning met kenmerk 102461/3.BT827
4 Artikel 95a, eerste lid, van de Elektriciteitswet 1998
Besluit tot naamswijziging van vergunning met kenmerk ACM/DC/2013/202834
2511 WB Den Haag 070 722 20 00
Openbaar
- b. niet meer voldoet aan de verplichting, zoals beschreven in artikel 95b van de Elektriciteitswet 1998;
- c. de voorschriften of opgelegde beperkingen niet nakomt;
- d. bij de aanvraag onjuiste of onvolledige gegevens heeft gegeven. De vergunning wordt ingetrokken als blijkt dat, wanneer de vergunninghouder wel de juiste en volledige gegevens had ingediend, de ACM dan een andere beschikking had afgegeven;
- e. naar het oordeel van de minister om andere redenen niet langer in staat moet worden geacht de vergunde activiteit of de voorwaarden voor de vergunning na te komen;
- f. de voorschriften volgens de artikelen 95k en 95I van de Elektriciteitswet 1998 niet nakomt.
8. Bij 'Besluit mandaat, volmacht en machtiging ACM' 5 heeft de minister mandaat, volmacht en machtiging verleend aan de ACM tot onder andere het nemen van besluiten die verband houden met artikel 95f, eerste lid, van de Elektriciteitswet 1998.
9. Bij 'Besluit organisatie, mandaat, volmacht en machtiging ACM 2013' 6 heeft de directie Consumenten van de ACM mandaat en machtiging gekregen voor het nemen van besluiten en het verrichten van overige handelingen die verband houden met de Elektriciteitswet 1998 voor zover deze specifiek met consumentenbelangen te maken hebben. De directeur en teammanagers van de Directie Consumenten zijn bevoegd om een beslissing te nemen op deze aanvraag.
## Ill Beoordeling
10. De ACM acht het aannemelijk dat EdN de activiteiten waarvoor het de leveringsvergunning had, niet langer beoefent. Hiermee is het belang om de verleende vergunning in stand te houden komen te vervallen.
* Besluit van 2 april 2013, Stcrt. 2013, nr. 9333
Besluit van 2 april 2013, Stcrt. 2013, nr. 9697
## IV. Besluit
11. De minister besluit de vergunning voor het leveren van elektriciteit aan kleinverbruikers 7 van EdN in te trekken 8 .
12. De openbare versie van dit besluit publiceert ACM op haar website.
13. Dit besluit treedt in werking met ingang van de dag waarop het bekend is gemaakt 9 .
Den Haag, 15 september 2017 (datum feitelijke ondertekening)
Hoogachtend, De Minister van Economische Zaken, namens deze:
Autoriteit Consument en Markt, voor deze:
w.g.
mr. drs. J.L. van de Braak Teammanager Directie Consumenten
Als u rechtstreeks belanghebbende bent, kunt u bezwaar maken tegen dit besluit. Stuur uw gemotiveerde bezwaarschrift naar de Autoriteit Consument en Markt, Juridische Zaken, postbus 16326, 2500 BH Den Haag. Graag ontvangen wij uw bezwaarschrift binnen zes weken na de dag waarop dit besluit bekend is gemaakt. In uw bezwaarschrift kunt u de Autoriteit Consument en Markt verzoeken in te stemmen met rechtstreeks beroep bij de bestuursrechter.
7 Artikel 95d van de Elektriciteitswet 1998
^ Artikel 95f, eerste lid, onderdeel a van de Elektriciteitswet
Artikel 3:40 en 3:41 van de Algemene wet bestuursrecht</t>
  </si>
  <si>
    <t>[...] ling] via een website actueel gehouden, zodat kenbaar is welke horecaondernemers deelnemen aan het collectief verbod in een bepaald gebied. &lt;!-- image --&gt; Datum 15 augustus 2023 Den Haag, 15 augustus 2023 Autoriteit Persoonsgegevens, Overeenkomstig het door de Autoriteit Persoonsgegevens genomen besluit, ir. C.M. Schut, MPA Directeur Systeemtoezicht, Beveiliging en Technologie ## Ons kenmerk z2023-01388 &lt;!-- image --&gt; Datum 15 aug [...]</t>
  </si>
  <si>
    <t>Autoriteit_Persoonsgegevens__https___www.autoriteitpersoonsgegevens.nl_uploads_2023-09_Besluit%20vergunning%20collectieve%20horecaontzegging%20Leidsebuurt.txt::Rechtshandeling</t>
  </si>
  <si>
    <t>verlening [15728:15738]</t>
  </si>
  <si>
    <t>verlening [15728:15737]</t>
  </si>
  <si>
    <t>Autoriteit_Persoonsgegevens__https___www.autoriteitpersoonsgegevens.nl_uploads_2023-09_Besluit%20vergunning%20collectieve%20horecaontzegging%20Leidsebuurt.txt::Rechtsobject</t>
  </si>
  <si>
    <t>vergunning [15746:15757]</t>
  </si>
  <si>
    <t>vergunning [15746:15756]</t>
  </si>
  <si>
    <t>Autoriteit_Persoonsgegevens__https___www.autoriteitpersoonsgegevens.nl_uploads_2023-09_Besluit%20vergunning%20collectieve%20horecaontzegging%20Zandvoort.txt::Ontvanger</t>
  </si>
  <si>
    <t>Autoriteit_Persoonsgegevens__https___www.autoriteitpersoonsgegevens.nl_uploads_2023-09_Besluit%20vergunning%20collectieve%20horecaontzegging%20Zandvoort.txt</t>
  </si>
  <si>
    <t>Koninklijke Horeca Nederland [411:439]</t>
  </si>
  <si>
    <t>[...] en van de verwerking 'Collectieve Horecaontzegging' door de in de bijlage genoemde horecaondernemers van het horecagebied Zandvoort z2023-02775 ## 1 Inleiding: aanleiding vergunningaanvraag 1. Op 17 mei 2023 heeft Koninklijke Horeca Nederland (hierna: KHN) - ingevolge artikel 33, vierde lid, aanhef en onder c, van de Uitvoeringswet Algemene verordening gegevensbescherming (UAVG) - bij de Autoriteit Persoonsgegevens (AP) een bulkvergunningaanvraag ingediend n [...]</t>
  </si>
  <si>
    <t>Autoriteit_Persoonsgegevens__https___www.autoriteitpersoonsgegevens.nl_uploads_2023-09_Besluit%20vergunning%20collectieve%20horecaontzegging%20Zandvoort.txt::Besluitvormend Orgaan</t>
  </si>
  <si>
    <t>Autoriteit Persoonsgegevens [16333:16360]</t>
  </si>
  <si>
    <t>[...] voort via een website actueel gehouden, zodat kenbaar is welke horecaondernemers deelnemen aan het collectief verbod in een bepaald gebied. &lt;!-- image --&gt; Datum 15 augustus 2023 Den Haag, 15 augustus 2023 Autoriteit Persoonsgegevens, Overeenkomstig het door de Autoriteit Persoonsgegevens genomen besluit, ir. C.M. Schut, MPA Directeur Systeemtoezicht, Beveiliging en Technologie ## Ons kenmerk z2023-02275 &lt;!-- image --&gt; Datum 15 aug [...]</t>
  </si>
  <si>
    <t>Autoriteit_Persoonsgegevens__https___www.autoriteitpersoonsgegevens.nl_uploads_2023-09_Besluit%20vergunning%20collectieve%20horecaontzegging%20Zandvoort.txt::Rechtshandeling</t>
  </si>
  <si>
    <t>verlening [15279:15289]</t>
  </si>
  <si>
    <t>verlening [15279:15288]</t>
  </si>
  <si>
    <t>Autoriteit_Persoonsgegevens__https___www.autoriteitpersoonsgegevens.nl_uploads_2023-09_Besluit%20vergunning%20collectieve%20horecaontzegging%20Zandvoort.txt::Rechtsobject</t>
  </si>
  <si>
    <t>vergunning [15297:15308]</t>
  </si>
  <si>
    <t>vergunning [15297:15307]</t>
  </si>
  <si>
    <t>Autoriteit_Persoonsgegevens__https___www.autoriteitpersoonsgegevens.nl_uploads_imported_besluit_boete_mobiele_camera-autos_rotterdam.txt::Ontvanger</t>
  </si>
  <si>
    <t>Autoriteit_Persoonsgegevens__https___www.autoriteitpersoonsgegevens.nl_uploads_imported_besluit_boete_mobiele_camera-autos_rotterdam.txt</t>
  </si>
  <si>
    <t>&lt;!-- image --&gt;
## MINISTERIE VAN SOCIALE ZAKEN EN WERKGELEGENHEID
AI/CK/B/KEW No. 2003/12096
## DE STAATSSECRETARIS VAN SOCIALE ZAKEN EN WERKGELEGENHEID
Mede namens de Staatssecretaris van Volkshuisvesting, Ruimtelijke Ordening en Milieubeheer en in overeenstemming met de Minister van Economische Zaken;
Gezien de aanvraag d.d. 6 februari 2003 van Corus Staal B.V. te IJmuiden strekkende tot wijziging van een vergunning als bedoeld in artikel 29 van de Kernenergiewet en als bedoeld in hoofdstuk 4, artikel 23, van het Besluit stralingsbescherming;
Gelet op de artikelen 15, onder a, 29-31 en 34 van de Kernenergiewet en het bepaalde in hoofdstuk 4 van het Besluit stralingsbescherming;
Gelet op de d.d. 7 mei 1998, onder nr. 98/469 S, AI/CK/VCR/KEW, verleende vergunning, laatstelijk gewijzigd d.d. 20 april 2001, onder nr. 2000/70861, AI/CK/B/KEW;
Overwegende, dat de aanvrager reeds eerder een overeenkomstige vergunning met betrekking tot dezelfde plaats was verleend en niet is te verwachten dat door gebruikmaking van de vergunning nadeliger gevolgen voor mensen, dieren, planten en goederen kunnen worden veroorzaakt dan bij de eerder verleende vergunning in aanmerking is genomen.
## B E S L U I T :
De d.d. 7 mei 1998, onder nr. 98/469 S, AI/CK/VCR/KEW, verleende vergunning, laatstelijk gewijzigd d.d. 20 april 2001, onder nr. 2000/70861, AI/CK/B/KEW, wordt gewijzigd zodat deze thans luidt als volgt:
Aan Corus Staal B.V., Wenckebachstraat 1 te Velsen-Noord (gem. Velsen), wordt vergunning verleend voor:
- -het verrichten van handelingen met radioactieve stoffen;
- -het verrichten van handelingen met ioniserende straling uitzendende toestellen.
- -het verrichten van handelingen met splijtstoffen;
## In deze vergunning wordt verstaan onder:
- -algemeen coördinerend deskundige:
Stralingsdeskundige als bedoeld in artikel 9, eerste lid, van het Besluit stralingsbescherming, in
de vergunningsaanvraag aangeduid als voorzitter van het Committee Radiological Aspects IJmuiden (CRAY), die namens de ondernemer intern toestemming verleent voor handelingen met ioniserende straling, interne voorschriften opstelt en namens de ondernemer intern (onafhankelijk) toezicht en controle uitoefent op de naleving van de wettelijke bepalingen, de vergunningsvoorschriften en de interne voorschriften ten aanzien van alle handelingen met ingekapselde bronnen en ioniserende straling uitzendende toestellen en in die zin jegens de ondernemer verantwoordelijk is voor alle toepassingen van ioniserende straling binnen het kader van de vergunning;
- -bergplaats:
Ruimte, uitsluitend bedoeld voor de opslag van radioactieve stoffen. De voorschriften die gelden ten aanzien van de bergplaats worden verder uitgewerkt in deze vergunning;
- -besmettingscontrole:
Onder een besmettingscontrole wordt verstaan een controle van een voorwerp (niet zijnde een ingekapselde bron) op radioactieve besmetting. Bij deze controle wordt nagegaan of zich op de betreffende plaatsen radioactiviteit bevindt. Bij besmettingscontrole van een bronhouder worden die plaatsen gecontroleerd waarvan wordt verwacht dat in geval van een defect van de bron het eerst besmetting zal optreden;
- -bewaakte zone:
Een ruimte wordt aangemerkt als bewaakte zone indien de door verblijf in die ruimte mogelijk in een kalenderjaar te ontvangen effectieve dosis hoger is dan 1 mSv en lager dan 6 mSv of de mogelijk in een kalenderjaar te ontvangen equivalente dosis hoger is dan:
- -15 mSv voor de ooglens, of
- -50 mSv voor de huid, gemiddeld over enig blootgesteld huidoppervlak van 1 cm 2 , en lager dan:
- -45 mSv voor de ooglens,
- -150 mSv voor handen, onderarmen, voeten en enkels;
- -150 mSv voor de huid, gemiddeld over enig blootgesteld huidoppervlak van 1 cm 2 , of
- -bron:
Toestel dan wel radioactieve stof;
- -broncertificaat:
Document, opgemaakt door de producent van de ingekapselde bron, waarop de belangrijkste gegevens zijn vermeld. In ieder geval moeten activiteit, nuclide, gegevens van de capsule, classificatie volgens ISO 2919:1999 en bronnummer van de ingekapselde bron worden vermeld. Van bronnen die vóór 1995 zijn geproduceerd moeten de gegevens worden vastgelegd voor
zover ze beschikbaar zijn of te achterhalen zijn;
- -bronhouder:
Behuizing van een ingekapselde bron, waaruit deze niet zonder hulpgereedschap is te verwijderen;
- -coördinerend deskundige:
Stralingsdeskundige als bedoeld in artikel 9, eerste lid, van het Besluit stralingsbescherming, die jegens de ondernemer ervoor zorgt dat de handelingen met ioniserende straling plaatsvinden binnen de kaders en voorschriften van deze vergunning. Deze coördinerend deskundige coördineert tevens de handelingen van de toezichthoudend deskundigen;
- -deskundigheidsniveau:
Niveau als bedoeld in artikel 9, tweede lid, van het Besluit stralingsbescherming;
- -diploma ioniserende straling:
Diploma als bedoeld in artikel 132, tweede lid, van het Besluit stralingsbescherming;
- -effectieve dosis:
De som van de gewogen equivalente doses in alle verschillende organen en weefsels ten gevolge van inwendige en uitwendige bestraling;
- -gecontroleerde zone:
Een ruimte wordt aangemerkt als gecontroleerde zone indien:
- a. de door verblijf in die ruimte mogelijk in een kalenderjaar te ontvangen effectieve dosis groter of gelijk is aan 6 mSv, of de mogelijk in een kalenderjaar te ontvangen equivalente dosis groter of gelijk is aan:
2. -45 mSv voor de ooglens,
- -150 mSv voor de huid, gemiddeld over enig blootgesteld huidoppervlak van 1 cm 2 , of
- b. er een mogelijkheid is van verspreiding van radioactieve stoffen vanuit de ruimte zodanig dat personen in een kalenderjaar een effectieve dosis kunnen ontvangen die hoger is dan 1 mSv of een equivalente dosis die groter is dan:
- -150 mSv voor handen, onderarmen, voeten en enkels, of
- -15 mSv voor de ooglens, of
- -handeling:
- -50 mSv voor de huid, gemiddeld over enig blootgesteld huidoppervlak van 1 cm 2 ;
Het bereiden, voorhanden hebben, toepassen of zich ontdoen van een kunstmatige bron of van een natuurlijke bron, voor zover deze natuurlijke bron is of wordt bewerkt met het oog op zijn radioactieve eigenschappen, dan wel het gebruiken of voorhanden hebben van een toestel, uitgezonderd bij een interventie, een ongeval of een radiologische noodsituatie;
- -ingekapselde bron:
Radioactieve stoffen die zijn ingebed in of gehecht aan vast dragermateriaal of zijn omgeven door een omhulling van materiaal met dien verstande dat hetzij het dragermateriaal hetzij de omhulling voldoende weerstand bieden om onder normale gebruiksomstandigheden elke verspreiding van radioactieve stoffen te voorkomen;
- -lektest:
Een lektest is een controle van de behuizing van een radioactieve stof (vaak een capsule als ingekapselde bron) op radioactieve besmetting. Een bron wordt verondersteld lek te zijn wanneer een afgewreven activiteit van meer dan 185 becquerel wordt aangetoond;
- -locatie:
De inrichting als aangewezen krachtens artikel 1.1, derde lid, van de Wet milieubeheer of plaats, waar een handeling of werkzaamheid wordt verricht, zoals is beschreven in de aanvraag;
- -radioactieve besmetting:
Onder radioactieve besmetting (anders dan voor vervoer) wordt verstaan een alfa besmetting van 0,4 becquerel (Bq) of meer per cm 2 of een bèta/gamma besmetting van 4 Bq of meer per cm 2 . Het betreft hier een afgewreven activiteit, waarbij het volgende in aanmerking wordt genomen:
- ∗ Het oppervlak dat wordt afgewreven bedraagt circa 5 cm 2 .
- ∗ De detectielimiet van de meting bedraagt voor alle nucliden maximaal 2 Bq. Deze waarde geldt dus zowel voor alfa als voor bèta/gamma bronnen. Hierbij is uitgegaan van technisch redelijk haalbare detectiegrenzen van meetapparatuur en niet van radiotoxiciteit. Dit omdat anders voor de minder toxische stoffen een besmetting moet worden toegestaan, die vanuit het ALARA-principe opgeruimd had moeten worden.
Onder radioactieve besmetting in het kader van vervoer wordt verstaan een alfa besmetting van 0,04 Bq of meer per cm 2 of een bèta/gamma besmetting van 0,4 Bq of meer per cm 2 ;
- -stralingsbeschermingseenheid:
Organisatie-onderdeel, als bedoeld in artikel 12 van het Besluit stralingsbescherming, waarbinnen de algemeen coördinerend deskundige en de andere onafhankelijk van de toepassing werkende stralingsdeskundigen zijn ondergebracht;
- -stralingsincident:
Ongewenste gebeurtenis, als bedoeld in artikel 13 van het Besluit stralingsbescherming, die direct of op termijn een onvoorziene radioactieve besmetting en/of blootstelling aan ioniserende straling van personen zou kunnen veroorzaken (bijvoorbeeld: brand, defecte apparatuur, vermissing of ongeval);
- -terreingrens:De begrenzing van de locatie, zoals aangegeven in de bij de aanvraag d.d. 17 maart 1997 gevoegde risico-analyse; toestel:
Toestel dat ioniserende straling kan uitzenden en geen radioactieve stof, splijtstof of erts bevat;
- -toezichthoudend deskundige:
Stralingsdeskundige als bedoeld in artikel 9, eerste lid, van het Besluit stralingsbescherming, die zelfstandig handelingen met ioniserende straling uitvoert of onder wiens toezicht handelingen met ioniserende straling worden uitgevoerd;
- -voldoende instructie:
Instructie als bedoeld in artikel 15 en 16 van het Besluit stralingsbescherming, gericht op de handeling waarbij de werknemer betrokken is;
- -waarschuwingsteken:
Waarschuwingsteken voor gevaar van besmetting of voor het kunnen ontvangen van een dosisequivalent, als bedoeld in artikel 20, eerste lid, van het Besluit stralingsbescherming, verder uitgewerkt in de Regeling waarschuwingssignalering ioniserende straling.
## Deze vergunning is uitsluitend van toepassing voor het volgende:
## A. RADIOACTIEVE STOFFEN
Binnen de locatie van Corus Staal B.V., gelegen aan de Wenckebachstraat 1 te Velsen-Noord (gem. Velsen), mogen met radioactieve stoffen uitsluitend handelingen worden verricht ten behoeve van meet- en regeldoeleinden, ijkdoeleinden, afschermingsdoeleinden, stof-emissiemetingen en laboratoriumtoepassingen binnen de volgende omvang:
1. het voorhanden hebben en toepassen van ingekapselde bronnen met een activiteit van maximaal 200 gigabecquerel (GBq) per bron en een gezamenlijke activiteit van maximaal 3 terabecquerel (TBq);
2. het voorhanden hebben en toepassen van zes (6) ingekapselde bronnen krypton-85 met een activiteit van maximaal 7,4 GBq per bron en een gezamenlijke activiteit van maximaal 44,4 GBq;
3. het voorhanden hebben van 81,4 kilogram verarmd uraan, vast verwerkt in een container die een radioactieve bron bevat.
Buiten de locatie van Corus Staal B.V., gelegen aan de Wenckebachstraat 1 te Velsen-Noord (gem. Velsen), binnen een straal van 15 kilometer om de locatie, mogen met radioactieve stoffen uitsluitend handelingen worden verricht ten behoeve van stofmetingen binnen de volgende omvang:
4. het voorhanden hebben en toepassen van acht (8) ingekapselde bronnen krypton-85 met een activiteit van maximaal 1,85 GBq per bron en een gezamenlijke activiteit van maximaal 14,8 GBq;
5. het uitvoeren van besmettingscontroles aan ingekapselde bronnen.
## B. TOESTELLEN
Binnen de locatie van Corus Staal B.V., gelegen aan de Wenckebachstraat 1 te Velsen-Noord (gem. Velsen, mogen met toestellen uitsluitend handelingen worden verricht ten behoeve van materiaalonderzoek en meet- en regeldoeleinden binnen de volgende omvang:
- -maximaal 50 toestellen, elk met een hoogspanning van maximaal 200 kilovolt (kV).
## Algemeen
- a. de op 7 februari 2003 en op 17 maart 1997 ingediende aanvragen met de daarbij behorende bijlagen maken deel uit van deze vergunning;
- b. de bronnen zijn voor toepassing en opslag uitsluitend aanwezig en worden gebruikt na verlening van een daartoe strekkende schriftelijke interne toestemming door of namens de ondernemer met instemming van de algemeen coördinerend deskundige;
- c. de schriftelijke interne toestemming omvat naast een duidelijke omschrijving van de handelingen en de ruimten waarin deze plaatsvinden, ook een inventarisatie en evaluatie van de risico's, een nadere invulling van voorschriften en maatregelen en een beargumenteerde beoordeling van in ieder geval de volgende aspecten:
4. -de rechtvaardiging, gelet ook op eventuele beschikbare alternatieven;
5. -de toepassing van het ALARA-beginsel gericht op bescherming van werknemers en andere personen, van milieu en op de beperking van afval;
6. -de in acht te nemen grenswaarden voor bescherming van personen en milieu;
- d. in de navolgende gevallen:
8. -het starten van een toepassing met een toestel;
9. -een nieuwe toepassing van ingekapselde bronnen groter dan 50 GBq;
10. -het beëindigen van een toepassing;
11. -een nieuwe toepassing van ingekapselde bronnen die niet kunnen voldoen aan de eisen daaraan gesteld in de International Standard ISO 2919:1999;
12. -elke wijziging die ten opzichte van voorgaande jaren aanleiding zou kunnen geven tot een relevante risicotoename voor het milieu,
zendt de algemeen coördinerend deskundige de schriftelijke toestemming tijdig vooraf toe aan de Afdeling Beschikkingen van het Centraal Kantoor van de Arbeidsinspectie, Postbus 90801, 2509 LV 's-Gravenhage, onder vermelding van de vergunning waar de wijziging betrekking op heeft;
- e. wijziging van de persoon van de algemeen coördinerend deskundige, mutaties in de organisatie van de stralingsbescherming, alsmede wijzigingen van en aanvullingen op de mandateringsbeschikking en de bij de vergunningsaanvraag ingediende Regeling 'Verantwoordelijkheden en bevoegdheden stralingshygiëne' en afwijking en/of wijziging van de stralingsdeskundigheid ten opzichte van die welke in deze vergunning is voorgeschreven, aangevuld met een motivatie, worden gemeld aan de Afdeling Beschikkingen van het Centraal Kantoor van de Arbeidsinspectie, Postbus 90801, 2509 LV 's-Gravenhage, onder vermelding van de vergunning waar de wijziging betrekking op heeft.
## Voorschriften
Aan deze vergunning worden de hierna volgende voorschriften verbonden:
## I. Organisatie
- a. door de ondernemer is de heer J.Th. van Nes als algemeen coördinerend deskundige aangewezen. De algemeen coördinerend deskundige is verantwoordelijk voor het functioneren van de Stralingsbeschermingseenheid en is in het bezit van het diploma ioniserende straling niveau 3 of een gelijkwaardig diploma;
- b. de ondernemer zorgt ervoor dat binnen de stralingsbeschermingseenheid, naast de algemeen coördinerend deskundige, ten minste 1 deskundige die ten minste het diploma ioniserende
straling niveau 3, of een gelijkwaardig diploma heeft behaald, werkzaam is op het gebied van stralingsbescherming. De algemeen coördinerend deskundige heeft voldoende secretariële en administratieve ondersteuning;
- c. overeenkomstig de bij de aanvraag gevoegde stukken is de algemeen coördinerend deskundige namens de ondernemer verantwoordelijk voor:
2. -het verlenen van interne toestemmingen voor handelingen met ioniserende straling,
3. -de uitvoering van intern toezicht op de naleving van de wettelijke bepalingen, de vergunningsvoorschriften en de interne voorschriften ten aanzien van alle handelingen met bronnen;
4. -het opstellen van interne voorschriften, en
- d. de ondernemer zorgt ervoor dat de handelingen met de bronnen uitsluitend geschieden door of onder verantwoordelijkheid van een coördinerend deskundige. Deze coördinerend deskundige wordt aangewezen door de ondernemer in overleg met de algemeen coördinerend deskundige;
- e. de ondernemer zorgt ervoor dat iedere toepassing van ioniserende straling uitsluitend binnen de aanwijzingen van de algemeen coördinerend deskundige geschiedt door of onder verantwoordelijkheid van een toezichthoudend deskundige. Deze toezichthoudend deskundige wordt aangewezen door de ondernemer in overleg met de algemeen coördinerend deskundige. De toezichthoudend deskundigen hebben voor de verschillende toepassingen ten minste het volgende niveau van stralingsdeskundigheid of een gelijkwaardig niveau:
- f. bij straling betrokken personeel dient aantoonbaar voldoende instructie te hebben gehad.
besmettingscontrole/reinigen ingekapselde bronnen:
niveau 3
ingekapselde bronnen en toestellen met een matig risico:
niveau 4
10 of meer ingekapselde bronnen en/of toestellen met een gering risico en/of bij één of meer ingekapselde bronnen met een activiteit van 50 GBq of meer:
niveau 4
toepassing van minder dan 10 ingekapselde bronnen en/of toestellen met een gering risico:
niveau 5;
## II. Ingekapselde bronnen
## A. Algemeen
- a. een binnenkomende zending met een ingekapselde bron wordt rechtstreeks naar de daarvoor bestemde ruimte gebracht, waar zij door of onder toezicht van ter zake kundig personeel wordt uitgepakt en gecontroleerd, onder andere op radioactieve besmetting van de verpakking. Wanneer de zending met een ingekapselde bron buiten werktijd wordt afgeleverd wordt deze direct opgeslagen in een bergplaats;
- b. retouremballage van een zending met een ingekapselde bron wordt, alvorens zij de locatie verlaat, zowel in- als uitwendig ontdaan van radioactieve besmetting. Aanduidingen of waarschuwingstekens van radioactiviteit zijn hierop niet waarneembaar;
- c. de constructie van een ingekapselde bron voldoet aan de eisen daaraan gesteld in de International Standard ISO 2919:1999;
- d. indien, in tegenstelling tot hetgeen hierboven is voorgeschreven, de ingekapselde bron niet hoeft te voldoen aan de voorschriften in de International Standard ISO 2919:1999 of daaraan niet kan voldoen, dan is de constructie van de ingekapselde bron zodanig dat verspreiding van radioactiviteit wordt voorkomen;
- e. de ingekapselde bron gaat vergezeld van een broncertificaat waarop de specifieke gegevens van de ingekapselde bron zijn weergegeven;
- f. de omstandigheden waaronder het feitelijk gebruik van de ingekapselde bron plaatsvindt, mogen niet zwaarder zijn dan waarvoor deze is ontworpen;
- g. de ingekapselde bron is niet lek en heeft geen oppervlaktebesmetting;
- h. het beheer van de ingekapselde bron is zodanig dat steeds bekend is wat de gegevens van iedere bron zijn. De ingekapselde bron is daartoe, indien praktisch mogelijk, voorzien van een serienummer;
- i. de americium/beryllium bronnen zijn omgeven door een dubbele roestvrij stalen capsulering;
- j. de americium/beryllium bronnen zijn in de meetopstelling voorzien van een elektrische beveiligingslus indien de bronnen ingebracht zijn in een cokesbunker of ertsbunker.
## B. Handelingen
- a. de ingekapselde bron bevindt zich alleen in de stralingspositie indien met de apparatuur wordt gewerkt. Aan de buitenzijde van de bronhouder is duidelijk waarneembaar of de ingekapselde bron zich in de stralingspositie bevindt;
- b. handelingen aan de bronhouder geschieden uitsluitend na toestemming en volgens instructies van de toezichthoudend deskundige;
- c. het apparaat, waarin de ingekapselde bron zich bevindt, is zodanig opgesteld, dat op de plaats waar zich personen kunnen bevinden geen uitwendige bestraling van enig deel van het lichaam kan worden veroorzaakt, die een omgevingsdosisequivalenttempo van meer dan 7,5 microsievert per uur tot gevolg heeft;
- d. voor americium/beryllium bronnen geldt dat bij alarmering door de beveiligingslus en bovendien telkens wanneer het elektrische gedeelte van een sonde, waarin zich een neutronenbron bevindt, is gedemonteerd, de sonde zo spoedig mogelijk op inwendige besmetting en lekkage van de radioactieve bron wordt onderzocht. Van dit onderzoek wordt aantekening gehouden in een register;
- e. indien de handelingen met de meet- en/of regelapparatuur, waarvan een radioactieve bron deel uitmaakt, gedurende 10 dagen of langer zullen worden onderbroken, wordt de ingekapselde bron opgeborgen in de bergplaats. Bij het tijdelijk stilleggen van een gehele productie-eenheid moet vooraf contact worden opgenomen met de algemeen coördinerend deskundige, die passende veiligheidsmaatregelen voorschrijft en toestemming geeft voor het verwijderen van de bron;
- f. elke neutronensonde van een vochtigheidsmeter, welke in de cokesbunker c.q. ertsbunker is aangebracht, is omgeven door een beschermpijp die aan het uiteinde is dichtgelast. Zowel de koker als de conus van de beschermpijpen worden iedere drie maanden geïnspecteerd. De resultaten van deze inspecties worden in een register bijgehouden. De beschermpijpen worden
bij een plaatselijke slijtage van 50% of meer vervangen;
- g. in de nabijheid van de ingekapselde bron zijn geen brandbare, brandbevorderende of explosieve stoffen aanwezig, tenzij hun aanwezigheid voor de bedrijfsvoering noodzakelijk is;
- h. er zijn maatregelen genomen om te voorkomen dat de ingekapselde bron onbevoegd of onbedoeld in de stralingspositie kan worden gebracht;
- i. het verwisselen van de ingekapselde bron en het verwijderen van de ingekapselde bron uit de bronhouder geschiedt uitsluitend, conform een op schrift gestelde procedure en door een ter zake kundige, die ten minste in het bezit is van het diploma ioniserende straling niveau 4A of een gelijkwaardig diploma.
## III. Toestellen
## A. Algemeen
- a. het gebruikte toestel voldoet aan daarvoor geldende aanvaarde productie- en veiligheidseisen.
## B. Handelingen
- a. ruimte en gebruik van het toestel zijn in stralingshygiënisch opzicht op elkaar afgestemd; buiten de ruimte bedraagt bij gebruik van het toestel op betreedbare plaatsen de effectieve dosis niet meer dan 1 millisievert per jaar;
- b. de bediening van het toestel geschiedt op een plaats waar de effectieve dosis minder bedraagt dan 1 millisievert per jaar;
- c. het toestel wordt gebruikt in een bewaakte zone;
- d. de handelingen voldoen aan door of namens de ondernemer opgestelde werk- en onderhoudsvoorschriften;
- e. het toestel mag slechts dan worden gebruikt wanneer de beveiligingen die op het apparaat zijn aangebracht ter beperking van de stralingsniveaus buiten het apparaat, in goede staat functioneren;
- f. indien met bouwkundige voorzieningen de benodigde dosisbeperking niet kan worden verkregen, wordt deze door middel van organisatorische maatregelen gerealiseerd.
## IV. Bergplaats
- a. de bergplaats is uitsluitend bestemd voor de opslag van radioactieve stoffen en voldoet aan de volgende eisen:
2. -de effectieve dosis aan de buitenzijde is zo laag als redelijkerwijs mogelijk is. In ieder geval wordt op geen enkel punt op 0,1 meter afstand van het oppervlak van de bergplaats een dosisequivalenttempo gemeten van meer dan 1 microsievert per uur;
3. -de buitenzijde van de bergplaats is voorzien van een duidelijk leesbaar en onuitwisbaar opschrift "RADIOACTIEVE STOFFEN", en van een duidelijk zichtbaar waarschuwingsteken;
4. -de bergplaats is deugdelijk afgesloten en kan uitsluitend geopend worden door de ondernemer en personen die daartoe van hem de bevoegdheid hebben gekregen;
- -de constructie van de bergplaats waarborgt een brandwerendheid van ten minste 60 minuten. Hieronder wordt verstaan dat alle bouwdelen bij verhitting (volgens NEN 6068) hun functie gedurende ten minste 60 minuten blijven vervullen en dat de constructieonderdelen van de bergplaats voldoen aan klasse 1 als bedoeld in NEN 6065. Een vaste bergplaats is bovendien bekend bij de plaatselijke brandweer;
- -wanneer de bergplaats eenvoudig te verplaatsen is, wordt deze geplaatst in een afsluitbare ruimte of kast, die deugdelijk is afgesloten en uitsluitend geopend kan worden door de ondernemer en personen die daartoe van hem de bevoegdheid hebben gekregen.
## V. Radioactieve afvalstoffen
- a. radioactieve afvalstoffen worden zo spoedig als redelijkerwijs mogelijk is op adequate wijze afgegeven aan een aangewezen instelling of dienst zoals bedoeld in artikel 37, zevende en achtste lid, van het Besluit stralingsbescherming. Tijdelijke opslag van radioactieve afvalstoffen voor een periode van maximaal 2 jaar is toegestaan met het oog op verval tot niet-radioactieve afvalstoffen of uit overwegingen die een efficiënte wijze van afvoer naar een erkende ophaaldienst beogen;
- b. de opslag geschiedt in deugdelijke containers in een daarvoor bestemde ruimte die voldoet aan de eisen gesteld aan een bergplaats.
## VI. Milieubelasting
- a. de door de vergunde handelingen veroorzaakte bijdrage aan de effectieve dosis buiten de locatie is zo laag als redelijkerwijs mogelijk is. De multifunctionele individuele dosis (MID) overschrijdt in geen geval de waarde van 10 microsievert per jaar;
- b. teneinde een wijziging van de terreingrensdosis te kunnen vaststellen, zorgt Corus Staal B.V. er voor dat de overige bedrijven die zijn gevestigd binnen de terreingrenzen van de locatie aan Corus Staal B.V. meedelen dat een wijziging bij deze bedrijven optreedt ten aanzien van hun handelingen met bronnen.
## VII. Controle, registratie en meldingen
## A. Algemeen
- a. door de ondernemer worden de gegevens die betrekking hebben op de stralingshygiëne, ondergebracht in een overzichtelijk beheersysteem. Dit systeem dat ook de in deze vergunning genoemde registraties en rapportages bevat, wordt ten minste vijf jaar bewaard;
- b. de bepaling van de blootstelling van de blootgestelde werknemer als bedoeld in artikel 87 van het Besluit stralingsbescherming, geschiedt volgens een schriftelijk vastgelegd protocol. Dit protocol is onderdeel van de instructie aan de werknemer;
- c. een afschrift van de vergunning is op het kantoor van de algemeen coördinerend deskundige aanwezig.
## B. Toestellen
- a. in een register wordt aantekening gehouden van alle aanwezige toestellen, gespecificeerd naar:
2. -merk, type en bouwjaar,
- -maximale hoogspanning van de generator, en
- -de plaats en aard van de toepassing;
- b. de genomen maatregelen voor toestellen, als bedoeld in artikel 18 van het Besluit stralingsbescherming worden geregistreerd;
- c. het toestel en de beveiligingen worden ten minste eenmaal per jaar door een deskundige (of een bedrijf dat hiervoor vergunning heeft) op deugdelijke werking gecontroleerd. De afscherming en het stralingsniveau buiten het toestel worden ook ten minste eenmaal per jaar gecontroleerd. De resultaten van deze controles worden geregistreerd, onder vermelding van:
- -de datum van de controle,
- -eventuele gebreken en daarop volgende reparaties, en
- -degene die de controle heeft uitgevoerd,
- -stralingsniveaus buiten het toestel;
- d. tevens wordt aantekening gehouden van elke demontage en/of reparatie aan het toestel onder vermelding van:
- -de datum en het tijdstip van aanvang en beëindiging van elke relevante demontage danwel reparatie van het toestel,
- -degene die de demontage en/of de reparatie heeft uitgevoerd,
- -de resultaten van de controle op de goede werking van het toestel, de beveiligingen en de afscherming, na de demontage en/of reparatie.
- -eventuele gebreken en aard van de reparaties, en
## C. Radioactieve stoffen
- a. ingekapselde bronnen worden periodiek gecontroleerd.
2. Minimaal jaarlijks vindt een visuele controle van de ingekapselde bron plaats. Wanneer deze wordt toegepast in een bronhouder vindt een visuele controle van de bronhouder plaats. Daarnaast wordt de ingekapselde bron en/of bronhouder/meetopstelling minimaal jaarlijks volgens een schriftelijk vastgelegde procedure gecontroleerd op lekken, radioactieve besmetting en op het dosisequivalenttempo aan de buitenzijde van de bronhouder. Hierbij wordt beschadiging van de ingekapselde bron voorkomen. De resultaten van deze controles worden
geregistreerd, onder vermelding van:
- -de datum van de controle,
- -de wijze waarop de controle werd uitgevoerd,
- -het nummer van de bron die is gecontroleerd,
- -de naam van degene die de controle verrichtte, en
- -de resultaten van de controle;
- b. de lektest en/of besmettingscontrole hoeven niet te worden uitgevoerd bij ingekapselde bronnen met een activiteit van minder dan 1 MBq en van minder dan 0,02 Re inh of bij gasvormige ingekapselde bronnen;
- c. wanneer de ingekapselde bron definitief niet meer wordt gebruikt, wordt aan deze ingekapselde bron, voordat deze wordt opgeslagen in de bergplaats of wordt overgedragen, volgens een schriftelijk vastgelegde procedure een lektest uitgevoerd. Wanneer een lek/besmetting wordt geconstateerd boven de vermelde grenzen, wordt gehandeld zoals in deze vergunning is beschreven onder stralingsincident;
- d. in een speciaal daarvoor bestemd register, dat zich in of nabij de bergplaats bevindt, wordt de hoeveelheid radioactiviteit die zich in de bergplaats bevindt aangetekend. Deze registratie vindt minimaal plaats gespecificeerd naar nuclide en activiteit. Elke uitgifte of ontvangst van de
radioactieve stof uit of in de bergplaats wordt meteen in dit register aangetekend. Bij uitgifte wordt bovendien de bestemming aangetekend.
## D. Rapportage
- a. in het eerste kwartaal van ieder jaar rapporteert de algemeen coördinerend deskundige over het voorafgaande jaar in een jaarverslag aan de ondernemer. Het jaarverslag bevat een opsomming van de activiteiten in dat jaar in het kader van de stralingsbescherming en van de resultaten daarvan. In deze opsomming komt in ieder geval een overzicht voor van:
2. ∗ alle aanwezige toestellen, gespecificeerd naar merk, type en bouwjaar, maximale hoogspanning van de generator, en de plaats en aard van de toepassing;
3. ∗ de totaal aanwezige hoeveelheid ingekapselde bronnen gespecificeerd naar nuclide en activiteit;
4. ∗ wijzigingen van de situatie, binnen het kader van de vergunning;
5. ∗ de blootgestelde werknemers;
6. ∗ nieuw verleende schriftelijke interne toestemmingen;
7. ∗ de geregistreerde en/of berekende effectieve doses van de blootgestelde werknemers;
8. ∗ een inschatting van de totale stralingsbelasting voor het milieu ten gevolge van alle bronnen binnen de locatie tezamen. De stralingsniveaus buiten de locatie worden in kaart gebracht met behulp van een plattegrond van de locatie;
9. ∗ de controlewerkzaamheden die door of namens de algemeen coördinerend deskundige zijn uitgevoerd en de resultaten daarvan.
Afhankelijk van de hoogte van de effectieve dosis wordt ook nader inzicht geboden in de mogelijkheden die redelijkerwijs bestaan om de dosis verdergaand te reduceren (ALARA). In het jaarverslag zal dit cijfermateriaal worden geëvalueerd in vergelijking met de gegevens van de twee jaar daarvoor.
Tevens wordt in dit jaarverslag inzicht gegeven in de beoordeling van rechtvaardiging van nieuwe handelingen binnen het kader van de vergunning en eventuele evaluatie van bestaande handelingen, alsmede van de maatregelen die zijn genomen om de effectieve dosis ten gevolge van deze handelingen zo laag als redelijkerwijs mogelijk te houden en de resultaten daarvan. Dit jaarverslag wordt tevens in het eerste kwartaal van ieder jaar in vijfvoud toegezonden aan de Afdeling Beschikkingen van het Centraal Kantoor van de Arbeidsinspectie, Postbus 90801, 2509 LV 's-Gravenhage.
## VIII. Stralingsincident
- a. bij een stralingsincident worden onverwijld zodanige maatregelen getroffen, dat (verdergaande) besmetting en/of blootstelling, zoals bedoeld in artikel 13, eerste lid, van het Besluit stralingsbescherming, van personen wordt tegengegaan;
- b. bij een stralingsincident worden terstond de betrokken inspecties gewaarschuwd:
3. -de Arbeidsinspectie, en
Dit kan hetzij rechtstreeks hetzij via het alarm-incidentennummer: 070-3832425 van het Ministerie van Volkshuisvesting, Ruimtelijke Ordening en Milieubeheer, dat 24 uur per dag bereikbaar is.
- -de VROM-Inspectie Regio Zuid-West.
## IX. Overdracht
- a. indien definitief geen handelingen meer met de bronnen zullen worden verricht, wordt hiervan binnen 4 weken mededeling gedaan aan de Staatssecretaris van Sociale Zaken en Werkgelegenheid. In dat geval ontdoet de vergunninghouder zich zo spoedig mogelijk, doch in ieder geval uiterlijk binnen twee jaar van de bronnen. Dit ontdoen geschiedt alleen
overeenkomstig het gestelde in artikel 37, zevende en achtste lid, van het Besluit stralingsbescherming. Na afvoer van de bronnen zal de vergunning worden ingetrokken. Tot dat tijdstip is een afschrift
van de vergunning in de betrokken locatie aanwezig.
Van het verlenen van deze vergunning wordt mededeling gedaan door plaatsing in de Staatscourant.
's-Gravenhage, 26 maart 2003 de Staatssecretaris van Sociale Zaken en Werkgelegenheid, M. Rutte namens deze: de wnd. Directeur Centraal Kantoor van de Arbeidsinspectie,
dr. P.B. Koster
&lt;!-- image --&gt;
## Arbeidsinspectie
Centraal</t>
  </si>
  <si>
    <t>de korpschef</t>
  </si>
  <si>
    <t>de korpschef [46708:46720]</t>
  </si>
  <si>
    <t>[...] aniseren. Er zijn vijf opschalingsniveaus, waarbij GRIP I het laagste niveau is en GRIP V het hoogste niveau. &lt;!-- image --&gt; Datum 17 november 2022 Ons kenmerk z2021-17798 ## 5 Dictum De AP legt aan de korpschef wegens overtreding van artikel 4c, eerste lid, van de Wpg een bestuurlijke boete op ten bedrage van: € 5o.000,-- (zegge: vijftigduizend euro). 22 Hoogachtend, Autoriteit Persoonsgegevens, w.g. mr. A. Wolfsen vo [...]</t>
  </si>
  <si>
    <t>Autoriteit_Persoonsgegevens__https___www.autoriteitpersoonsgegevens.nl_uploads_imported_besluit_boete_mobiele_camera-autos_rotterdam.txt::Besluitvormend Orgaan</t>
  </si>
  <si>
    <t>Autoriteit Persoonsgegevens [46883:46910]</t>
  </si>
  <si>
    <t>[...] z2021-17798 ## 5 Dictum De AP legt aan de korpschef wegens overtreding van artikel 4c, eerste lid, van de Wpg een bestuurlijke boete op ten bedrage van: € 5o.000,-- (zegge: vijftigduizend euro). 22 Hoogachtend, Autoriteit Persoonsgegevens, w.g. mr. A. Wolfsen voorzitter ## Rechtsmiddelenclausule Indien u het niet eens bent met dit besluit kunt u binnen zes weken na de datum van verzending van het besluit digitaal of op papier een bezwaarschri [...]</t>
  </si>
  <si>
    <t>Autoriteit_Persoonsgegevens__https___www.autoriteitpersoonsgegevens.nl_uploads_imported_besluit_boete_mobiele_camera-autos_rotterdam.txt::Rechtshandeling</t>
  </si>
  <si>
    <t>legt [46699:46703]</t>
  </si>
  <si>
    <t>[...] jk te organiseren. Er zijn vijf opschalingsniveaus, waarbij GRIP I het laagste niveau is en GRIP V het hoogste niveau. &lt;!-- image --&gt; Datum 17 november 2022 Ons kenmerk z2021-17798 ## 5 Dictum De AP legt aan de korpschef wegens overtreding van artikel 4c, eerste lid, van de Wpg een bestuurlijke boete op ten bedrage van: € 5o.000,-- (zegge: vijftigduizend euro). 22 Hoogachtend, Autoriteit Persoonsgegevens, w.g. [...]</t>
  </si>
  <si>
    <t>Autoriteit_Persoonsgegevens__https___www.autoriteitpersoonsgegevens.nl_uploads_imported_besluit_boete_mobiele_camera-autos_rotterdam.txt::Rechtsobject</t>
  </si>
  <si>
    <t>bestuurlijke boete [46783:46801]</t>
  </si>
  <si>
    <t>[...] u is en GRIP V het hoogste niveau. &lt;!-- image --&gt; Datum 17 november 2022 Ons kenmerk z2021-17798 ## 5 Dictum De AP legt aan de korpschef wegens overtreding van artikel 4c, eerste lid, van de Wpg een bestuurlijke boete op ten bedrage van: € 5o.000,-- (zegge: vijftigduizend euro). 22 Hoogachtend, Autoriteit Persoonsgegevens, w.g. mr. A. Wolfsen voorzitter ## Rechtsmiddelenclausule Indien u het niet eens bent met dit besl [...]</t>
  </si>
  <si>
    <t>Autoriteit_Persoonsgegevens__https___www.autoriteitpersoonsgegevens.nl_uploads_imported_besluit_last_onder_dwangsom_menzis.txt::Ontvanger</t>
  </si>
  <si>
    <t>Autoriteit_Persoonsgegevens__https___www.autoriteitpersoonsgegevens.nl_uploads_imported_besluit_last_onder_dwangsom_menzis.txt</t>
  </si>
  <si>
    <t>Coöperatie Menzis U.A.</t>
  </si>
  <si>
    <t>coöperatie menzis u.a</t>
  </si>
  <si>
    <t>Coöperatie Menzis U.A. [497:519]</t>
  </si>
  <si>
    <t>## Arbeidsinspectie
&lt;!-- image --&gt;
## MINISTERIE VAN SOCIALE ZAKEN EN WERKGELEGENHEID
AI/IO/BES No. 2004/49451
## DE STAATSSECRETARIS VAN SOCIALE ZAKEN EN WERKGELEGENHEID
Mede namens de Staatssecretaris van Volkshuisvesting, Ruimtelijke Ordening en Milieubeheer en de Minister van Economische Zaken
Gezien de aanvraag d.d. 5 juli 2004 van Röntgen Technische Dienst B.V. te Rotterdam om een vergunning als bedoeld in artikel 15, onder a  en artikel 29 van de Kernenergiewet en als bedoeld in hoofdstuk 4, artikel 23, van het Besluit stralingsbescherming;
Gelet op de artikelen 15-20, 29-31 en 34 van de Kernenergiewet en het bepaalde in hoofdstuk 4 van het Besluit stralingsbescherming en het bepaalde in het Besluit Kerninstallaties, splijtstoffen en ertsen;
Overwegende, dat de in de aanvraag bedoelde handelingen voorkomen in bijlage 1 (gerechtvaardigde handelingen en werkzaamheden) van de Regeling bekendmaking rechtvaardiging gebruik van ioniserende straling;
Gelet op artikel 20.5 van de Wet milieubeheer;
Overwegende, dat om redenen van continuïteit van werkzaamheden in het onderhavige geval een zo spoedig mogelijk in werking treden van deze beschikking noodzakelijk is.
## B E S L U I T :
Aan Röntgen Technische Dienst B.V., Delftweg 144 te Rotterdam, wordt tot 1 oktober 2005, vergunning verleend voor:
- -het verrichten van handelingen met ioniserende straling uitzendende toestellen;
- -het verrichten van handelingen met radioactieve stoffen;
- -het verrichten van handelingen met splijtstoffen (verarmd uranium).
## In deze vergunning wordt verstaan onder:
- -RTD B.V.:
- -bergplaats:
Röntgen Technische Dienst B.V.;
Ruimte, uitsluitend bedoeld voor de opslag van radioactieve stoffen. De voorschriften die gelden ten aanzien van de bergplaats worden verder uitgewerkt in deze vergunning;
- -besmettingscontrole:
- -bewaakte zone:
Onder een besmettingscontrole wordt verstaan een controle van een voorwerp (niet zijnde een ingekapselde bron) op radioactieve besmetting. Bij deze controle wordt nagegaan of zich op de betreffende plaatsen radioactiviteit bevindt. Bij besmettingscontrole van een bronhouder worden die plaatsen gecontroleerd waarvan wordt verwacht dat in geval van een defect van de bron het eerst besmetting zal optreden;
Een ruimte wordt aangemerkt als bewaakte zone indien de door verblijf in die ruimte mogelijk in een kalenderjaar te ontvangen effectieve dosis hoger is dan 1 mSv en lager dan 6 mSv of de mogelijk in een kalenderjaar te ontvangen equivalente dosis hoger is dan:
- -50 mSv voor de huid, gemiddeld over enig blootgesteld huidoppervlak van 1 cm 2 , en lager dan:
- -15 mSv voor de ooglens, of
- -45 mSv voor de ooglens,
- -150 mSv voor handen, onderarmen, voeten en enkels;
- -150 mSv voor de huid, gemiddeld over enig blootgesteld huidoppervlak van 1 cm 2 , of
- -bron:
- -broncertificaat:
Toestel dan wel radioactieve stof;
Document, opgemaakt door de producent van de ingekapselde bron, waarop de belangrijkste gegevens zijn vermeld. In ieder geval moeten activiteit, nuclide, gegevens van de capsule, classificatie volgens ISO 2919:1999 en bronnummer van de ingekapselde bron worden vermeld. Van bronnen die vóór 1995 zijn geproduceerd moeten de gegevens worden vastgelegd voor zover ze beschikbaar zijn of te achterhalen zijn;
Behuizing van een ingekapselde bron, waaruit deze niet zonder hulpgereedschap is te verwijderen;
- -bronhouder:
- -coördinerend deskundige:
- Stralingsdeskundige als bedoeld in artikel 9, eerste lid, van het Besluit stralingsbescherming, die
jegens de ondernemer ervoor zorgt dat de handelingen met ioniserende straling plaatsvinden binnen de kaders en voorschriften van deze vergunning. Deze coördinerend deskundige coördineert tevens de handelingen van de toezichthoudend deskundigen;
Niveau als bedoeld in artikel 9, tweede lid, van het Besluit stralingsbescherming;
- -deskundigheidsniveau:
- -diploma ioniserende straling:
- -effectieve dosis:
Diploma als bedoeld in artikel 132, tweede lid, van het Besluit stralingsbescherming;
De som van de gewogen equivalente doses in alle verschillende organen en weefsels ten gevolge van inwendige en uitwendige bestraling;
Een ruimte wordt aangemerkt als gecontroleerde zone indien:
- -gecontroleerde zone:
- a. de door verblijf in die ruimte mogelijk in een kalenderjaar te ontvangen effectieve dosis groter of gelijk is aan 6 mSv, of de mogelijk in een kalenderjaar te ontvangen equivalente dosis groter of gelijk is aan:
- -150 mSv voor de huid, gemiddeld over enig blootgesteld huidoppervlak van 1 cm 2 , of
- -45 mSv voor de ooglens,
- -150 mSv voor handen, onderarmen, voeten en enkels, of
- -15 mSv voor de ooglens, of
- b. er een mogelijkheid is van verspreiding van radioactieve stoffen vanuit de ruimte zodanig dat personen in een kalenderjaar een effectieve dosis kunnen ontvangen die hoger is dan 1 mSv of een equivalente dosis die groter is dan:
- -50 mSv voor de huid, gemiddeld over enig blootgesteld huidoppervlak van 1 cm 2 ;
- -handeling:
- -industriële radiografie:
Het bereiden, voorhanden hebben, toepassen of zich ontdoen van een kunstmatige bron of van een natuurlijke bron, voor zover deze natuurlijke bron is of wordt bewerkt met het oog op zijn radioactieve eigenschappen, dan wel het gebruiken of voorhanden hebben van een toestel, uitgezonderd bij een interventie, een ongeval of een radiologische noodsituatie;
Industriële radiografie is een handeling, waarbij door middel van ioniserende straling een afbeelding wordt gemaakt van een voorwerp of een deel daarvan, bijvoorbeeld van lasnaden in drukleidingen. Dit wordt ook wel aangeduid als niet destructief onderzoek (NDO);
Radioactieve stoffen die zijn ingebed in of gehecht aan vast dragermateriaal of zijn omgeven door een omhulling van materiaal met dien verstande dat hetzij het dragermateriaal hetzij de omhulling voldoende weerstand biedt om onder normale gebruiksomstandigheden elke verspreiding van radioactieve stoffen te voorkomen;
- -ingekapselde bron:
- -lektest: Een lektest is een controle van de behuizing van een radioactieve stof (vaak een capsule als
ingekapselde bron) op radioactieve besmetting. Een bron wordt verondersteld lek te zijn wanneer een afgewreven activiteit van meer dan 185 becquerel wordt aangetoond;
- -locatie: De inrichting als aangewezen krachtens artikel 1.1, derde lid, van de Wet milieubeheer of plaats,
waar een handeling of werkzaamheid wordt verricht, zoals is beschreven in de aanvraag;
Activiteiten krachtens artikel 1, onder c, van het Mijnbouwbesluit. Een mijnbouwactiviteit kan ook buiten mijnbouwinstallaties plaatsvinden, bijv. het leggen van een pijpleiding vanaf een schip op het Nederlands continentaal plat t.b.v. de winning van aardolie of aardgas;
- -mijnbouwactiviteiten:
- -radioactieve besmetting:
Onder radioactieve besmetting wordt verstaan een alfa besmetting van 0,4 becquerel (Bq) of meer per cm 2 of een bèta/gamma besmetting van 4 Bq of meer per cm 2 .
Het betreft hier een afgewreven activiteit, waarbij het volgende in aanmerking wordt genomen:
- ∗ De detectie-limiet van de meting bedraagt voor alle nucliden maximaal 2 Bq. Deze waarde geldt dus zowel voor alfa als voor bèta/gamma bronnen. Hierbij is uitgegaan van technisch redelijk haalbare detectiegrenzen van meetapparatuur en niet van radiotoxiciteit. Dit omdat anders voor de minder toxische stoffen een besmetting moet worden toegestaan, die vanuit het ALARA-principe opgeruimd had moeten worden;
- ∗ Het oppervlak dat wordt afgewreven bedraagt circa 5 cm 2 ;
- -stralingsincident:
- -terreingrens:
Ongewenste gebeurtenis, als bedoeld in artikel 13 van het Besluit stralingsbescherming, die direct of op termijn een onvoorziene radioactieve besmetting en/of blootstelling aan ioniserende straling van personen zou kunnen veroorzaken (bijvoorbeeld: brand, defecte apparatuur, vermissing of ongeval);
De begrenzing van de plaats voor handelingen;
Toestel dat ioniserende straling kan uitzenden en geen radioactieve stof, splijtstof of erts bevat;
- -toestel:
- -toezichthoudend deskundige: Stralingsdeskundige als bedoeld in artikel 9, eerste lid, van het Besluit stralingsbescherming, die zelfstandig handelingen met ioniserende straling uitvoert of onder wiens toezicht handelingen met ioniserende straling worden uitgevoerd;
Uranium met een lager massapercentage uranium-235 dan in natuurlijk uranium;
- -verarmd uranium:
- -voldoende instructie:
Instructie als bedoeld in de artikelen 15 en 16 van het Besluit stralingsbescherming, gericht op de handeling waarbij de werknemer betrokken is;
- -waarschuwingsteken:
Waarschuwingsteken voor gevaar van besmetting of voor het kunnen ontvangen van een dosisequivalent, als bedoeld in artikel 20, eerste lid, van het Besluit stralingsbescherming, verder uitgewerkt in de Regeling waarschuwingssignalering ioniserende straling.
## Deze vergunning is uitsluitend van toepassing voor het volgende:
## A. RADIOGRAFIE
## Radioactieve stoffen
RTD B.V. mag met radioactieve stoffen op mijnbouwinstallaties op het Nederlands continentaal plat of in het kader van mijnbouwactiviteiten op het Nederlands continentaal plat, handelingen verrichten ten behoeve van industriële radiografie, binnen de volgende omvang:
- -ingekapselde bronnen met een gezamenlijke activiteit van maximaal 6 TBq per installatie.
## Toestellen
RTD B.V. mag met toestellen op mijnbouwinstallaties op het Nederlands continentaal plat of in het kader van mijnbouwactiviteiten op het Nederlands continentaal plat, handelingen verrichten ten behoeve van industriële radiografie, binnen de volgende omvang:
- -5 toestellen met een hoogspanning van maximaal 320 kV per installatie.
## Verarmd uranium
RTD B.V. mag op mijnbouwinstallaties op het Nederlands continentaal plat of in het kader van mijnbouwactiviteiten op het Nederlands continentaal plat, handelingen verrichten met 200 kg verarmd uranium, als vast daarvan deel uitmakend afschermingsmateriaal, in camera's voor industriële radiografie (die ingekapselde bronnen bevatten).
## B. Materiaalanalyse
RTD B.V. mag met radioactieve stoffen op mijnbouwinstallaties op het Nederlands continentaal plat, of in het kader van mijnbouwactiviteiten op het Nederlands continentaal plat, handelingen verrichten ten behoeve van materiaalanalyse, binnen de volgende omvang:
- -één ingekapselde bron ijzer-55, met een activiteit van maximaal 1,7 GBq;
- -één ingekapselde bron americium-241, met een activiteit van maximaal 2 GBq per bron.
- -één ingekapselde bron cadmium-109, met een activiteit van maximaal 200 MBq;
## Algemeen
- a. de op 7 juli 2004 ingediende aanvraag met de daarbij behorende bijlagen maken deel uit van deze vergunning;
- b. wijzigingen in de gegevens die vermeld zijn bij de aanvraag worden op grond van artikel 44, zevende lid, van het Besluit stralingsbescherming, gemeld aan de Afdeling Beschikkingen van de Arbeidsinspectie, Postbus 90801, 2509 LV 's-Gravenhage, onder vermelding van de vergunning waar de wijziging betrekking op heeft.
## Voorschriften
Aan deze vergunning worden de hierna volgende voorschriften verbonden:
## I. Organisatie
- a. de ondernemer zorgt ervoor dat de handelingen met ioniserende straling plaatsvinden binnen de kaders en voorschriften van deze vergunning door of onder toezicht van een coördinerend deskundige die ten minste het diploma ioniserende straling niveau 3 of een gelijkwaardig diploma heeft behaald;
- b. de ondernemer zorgt ervoor dat deze coördinerend deskundige schriftelijk gemandateerd is voor deze verantwoordelijkheid en dat hij zo vaak als nodig, en ten minste eenmaal per jaar, verantwoording aan hem aflegt door middel van een rapportage;
- c. de ondernemer zorgt ervoor dat iedere handeling met ioniserende straling uitsluitend binnen de aanwijzingen van de coördinerend deskundige geschiedt door of onder toezicht van een toezichthoudend deskundige die ten minste het diploma ioniserende straling niveau 5A of een gelijkwaardig diploma heeft behaald;
- d. de ondernemer zorgt ervoor dat degenen die handelingen uitvoeren met de bron ten minste het volgende niveau van stralingsdeskundigheid of een gelijkwaardig niveau hebben:
openen/sluiten van de sluiter:
voldoende instructie
handelingen waarbij de bron in een vrij stralende positie komt:
niveau 5A
verwijderen uit, dan wel het plaatsen van de ingekapselde bron (in de bronhouder) in het apparaat:
niveau 5A
aanbrengen/verwijderen van de ingekapselde bron uit de bronhouder/vaste meetopstelling anders dan door leverancier:
niveau 4A
verantwoordelijkheid voor besmettingscontrole:
niveau 3.
## II. Ingekapselde bronnen
## A. Algemeen
- a. de constructie van een ingekapselde bron voldoet aan de eisen daaraan gesteld in de International Standard ISO 2919:1999;
- b. indien, in tegenstelling tot hetgeen hierboven is voorgeschreven, de ingekapselde bron niet hoeft te voldoen aan de voorschriften in de International Standard ISO 2919:1999 of daaraan niet kan voldoen, dan is de constructie van de ingekapselde bron zodanig dat verspreiding van radioactiviteit wordt voorkomen;
- c. de ingekapselde bron gaat vergezeld van een broncertificaat waarop de specifieke gegevens van de ingekapselde bron zijn weergegeven;
- d. de omstandigheden waaronder het feitelijk gebruik van de ingekapselde bron plaatsvindt, mogen niet zwaarder zijn dan waarvoor deze is ontworpen;
- e. de ingekapselde bron is niet lek en heeft geen oppervlaktebesmetting;
- f. het beheer van de ingekapselde bron is zodanig dat steeds bekend is wat de gegevens van iedere bron zijn. De ingekapselde bron is daartoe, indien praktisch mogelijk, voorzien van een serienummer.
## B. Handelingen
## 1. Radiografie
## A. Handelingen
- a. de handelingen worden door minimaal twee personen per ploeg verricht;
- b. ter plaatse van de handelingen wordt een afzetting aangebracht zodat voor een persoon de ontvangen stralingsdosis aan de rand van de afzetting niet meer kan bedragen dan 10 microsievert in enig uur. Wanneer deze situatie voor een toepassing niet realiseerbaar is, mag, uitsluitend na schriftelijke toestemming van de coördinerend deskundige op grond van een specifieke risicobeoordeling van de situatie, ter plaatse van de afzetting een waarde worden toegestaan van maximaal 40 microsievert per uur;
- c. wanneer de benodigde dosisbeperking niet kan worden verkregen met bouwkundige voorzieningen, dan wordt deze door middel van organisatorische maatregelen gerealiseerd;
- d. de werklocatie is niet, of althans niet zonder nadere waarschuwing toegankelijk voor een algemeen publiek of voor werknemers die niet direct bij de handelingen betrokken zijn;
- e. na beëindiging van de handelingen met de ingekapselde bron wordt het apparaat in een transportkist opgeborgen. Op de buitenzijde van de transportkist staat een duidelijk leesbaar en onuitwisbaar opschrift "RADIOACTIEVE STOFFEN" alsmede een duidelijk zichtbaar waarschuwingsteken;
- f. tijdens vervoer wordt de bronhouder met de ingekapselde bron in het vervoermiddel doelmatig vastgezet;
- g. wanneer er niet met de ingekapselde bron wordt gewerkt, wordt deze in de bronhouder in de bergplaats opgeslagen.
## 2. Overige handelingen
- a. de ingekapselde bron bevindt zich alleen in de stralingspositie indien met de apparatuur wordt gewerkt. Aan de buitenzijde van de bronhouder is duidelijk waarneembaar of de ingekapselde bron zich in de stralingspositie bevindt;
- b. er zijn maatregelen genomen om te voorkomen dat de ingekapselde bron onbevoegd of onbedoeld in de stralingspositie kan worden gebracht;
- c. het apparaat, waarin de ingekapselde bron zich bevindt, is zodanig opgesteld, dat op de plaats waar zich personen kunnen bevinden geen uitwendige bestraling van enig deel van het lichaam kan worden veroorzaakt, die een omgevingsdosisequivalenttempo van meer dan 7,5 microsievert per uur tot gevolg heeft;
- d. de werklocatie is niet, of althans niet zonder nadere waarschuwing toegankelijk voor personen die niet direct bij de handelingen betrokken zijn;
- e. handelingen aan de bronhouder geschieden uitsluitend na toestemming en volgens instructies van de toezichthoudend deskundige;
- f. in de nabijheid van de ingekapselde bron zijn geen brandbare, brandbevorderende of explosieve stoffen aanwezig, tenzij hun aanwezigheid voor de bedrijfsvoering noodzakelijk is;
- g. wanneer er niet met de ingekapselde bron wordt gewerkt, wordt deze in de bronhouder naar de bergplaats overgebracht.
## III. Toestellen
## A. Algemeen
- a. het gebruikte toestel voldoet aan daarvoor geldende aanvaarde productie- en veiligheidseisen.
## B. Handelingen
## A. Handelingen
- a. de handelingen worden door minimaal twee personen per ploeg verricht;
- b. ter plaatse van de handelingen wordt een afzetting aangebracht zodat voor een persoon de ontvangen stralingsdosis aan de rand van de afzetting niet meer kan bedragen dan 10 microsievert in enig uur. Wanneer deze situatie voor een toepassing niet realiseerbaar is, mag, uitsluitend na schriftelijke toestemming van de coördinerend deskundige op grond van een specifieke risicobeoordeling van de situatie, ter plaatse van de afzetting een waarde worden toegestaan van maximaal 40 microsievert per uur;
- c. wanneer de benodigde dosisbeperking niet kan worden verkregen met bouwkundige voorzieningen, dan wordt deze door middel van organisatorische maatregelen gerealiseerd;
- d. de werklocatie is niet, of althans niet zonder nadere waarschuwing toegankelijk voor een algemeen publiek of voor werknemers die niet direct bij de handelingen betrokken zijn.
## IV. Bergplaats
- a. de bergplaats is uitsluitend bestemd voor de opslag van radioactieve stoffen en voldoet aan de volgende eisen:
2. -de buitenzijde van de bergplaats is voorzien van een duidelijk leesbaar en onuitwisbaar opschrift "RADIOACTIEVE STOFFEN", en van een duidelijk zichtbaar waarschuwingsteken;
3. -de effectieve dosis aan de buitenzijde is zo laag als redelijkerwijs mogelijk is. In ieder geval wordt op geen enkel punt op 0,1 meter afstand van het oppervlak van de bergplaats een dosisequivalenttempo gemeten van meer dan 1 microsievert per uur;
4. -de bergplaats is deugdelijk afgesloten en kan uitsluitend geopend worden door de ondernemer en personen die daartoe van hem de bevoegdheid hebben gekregen;
5. -wanneer de bergplaats eenvoudig te verplaatsen is, wordt deze geplaatst in een afsluitbare ruimte of kast, die deugdelijk is afgesloten en uitsluitend geopend kan worden door de ondernemer en personen die daartoe van hem de bevoegdheid hebben gekregen;
6. -de constructie van de bergplaats waarborgt een brandwerendheid van ten minste 60 minuten. Hieronder wordt verstaan dat alle bouwdelen bij verhitting (volgens NEN 6068) hun functie ten minste 60 minuten blijven vervullen en dat de constructieonderdelen van de bergplaats voldoen aan klasse 1 als bedoeld in NEN 6065
7. -wanneer, ten behoeve van vervoer van radioactieve stoffen per schip, de bergplaats verplaatsbaar is, dan is deze uitgerust met een voorziening die het opsporen van de bergplaats bij vermissing in water mogelijk maakt.
## V. Radioactieve afvalstoffen
- a. radioactieve afvalstoffen worden zo spoedig als redelijkerwijs mogelijk is op adequate wijze afgegeven aan een aangewezen instelling of dienst zoals bedoeld in artikel 37, zevende en achtste lid, van het Besluit stralingsbescherming. Tijdelijke opslag van radioactieve afvalstoffen voor een periode van maximaal 2 jaar is toegestaan met het oog op verval tot niet-radioactieve afvalstoffen of uit overwegingen die een efficiënte wijze van afvoer naar een erkende ophaaldienst beogen;
- b. de opslag geschiedt in deugdelijke containers in een daarvoor bestemde ruimte die voldoet aan de eisen gesteld aan een bergplaats.
## VI. Milieubelasting
- a. de door de vergunde handelingen veroorzaakte bijdrage aan de effectieve dosis buiten de locatie 'zijnde een mijnbouw installatie op het Nederlands continentaal plat' is zo laag als redelijkerwijs mogelijk is. De multifunctionele individuele dosis (MID) in de accommodatie overschrijdt in geen geval de waarde van 10 microsievert per jaar.
## VII. Controle, registratie en meldingen
## A. Algemeen
- a. door de ondernemer worden de gegevens die betrekking hebben op de stralingshygiëne, ondergebracht in een overzichtelijk beheersysteem. Dit systeem dat ook de in deze vergunning genoemde registraties en rapportages bevat, wordt ten minste vijf jaar bewaard;
- b. de bepaling van de blootstelling van de blootgestelde werknemer als bedoeld in artikel 87 van het Besluit stralingsbescherming, geschiedt volgens een schriftelijk vastgelegd protocol. Dit protocol is onderdeel van de instructie aan de werknemer;
- c. de directeur van het regionaal kantoor van de Arbeidsinspectie, in wiens regio de toepassing plaatsvindt, wordt telkens tijdig vooraf op de hoogte gesteld van de datum en het tijdstip van de aanvang alsook de beëindiging van de toepassing:
- d. wanneer de bron bij derden wordt toegepast, is dit bekendgemaakt aan de ondernemer waar de handeling plaatsvindt;
- e. een afschrift van de vergunning is op het kantoor van de coördinerend deskundige en op de plaats van de handelingen aanwezig.
## B. Toestellen
- a. de genomen maatregelen voor toestellen, als bedoeld in artikel 18 van het Besluit stralingsbescherming worden geregistreerd;
- b. het toestel en de beveiligingen worden ten minste eenmaal per jaar door een deskundige (of een bedrijf dat hiervoor vergunning heeft) op deugdelijke werking gecontroleerd. De afscherming en het stralingsniveau buiten het toestel worden ook ten minste eenmaal per jaar gecontroleerd. De resultaten van deze controles worden geregistreerd, onder vermelding van:
3. -degene die de controle heeft uitgevoerd,
4. -de datum van de controle,
5. -eventuele gebreken en daarop volgende reparaties, en
6. -stralingsniveaus buiten het toestel;
- c. tevens wordt aantekening gehouden van elke demontage en/of reparatie aan het toestel onder vermelding van:
2. -degene die de demontage en/of de reparatie heeft uitgevoerd,
3. -de datum en het tijdstip van aanvang en beëindiging van elke relevante demontage danwel reparatie van het toestel,
4. -eventuele gebreken en aard van de reparaties, en
5. -de resultaten van de controle op de goede werking van het toestel, de beveiligingen en de afscherming, na demontage en/of de reparatie.
## C. Radioactieve stoffen
- a. ingekapselde bronnen worden periodiek gecontroleerd.
Minimaal jaarlijks vindt een visuele controle van de ingekapselde bron plaats. Wanneer deze wordt toegepast in een bronhouder vindt een visuele controle van de bronhouder plaats. Daarnaast wordt de ingekapselde bron en/of bronhouder/meetopstelling minimaal jaarlijks volgens een schriftelijk vastgelegde procedure gecontroleerd op lekken, radioactieve besmetting en op het dosisequivalenttempo aan de buitenzijde van de bronhouder. Hierbij wordt beschadiging van de ingekapselde bron voorkomen. De resultaten van deze controles worden geregistreerd, onder vermelding van:
- -het nummer van de bron die is gecontroleerd,
- -de datum van de controle,
- -de wijze waarop de controle werd uitgevoerd,
- -de resultaten van de controle;
- -de naam van degene die de controle verrichtte, en
- b. wanneer de ingekapselde bron definitief niet meer wordt gebruikt, wordt aan deze ingekapselde bron, voordat deze wordt opgeslagen in de bergplaats of wordt overgedragen, volgens een schriftelijk vastgelegde procedure een lektest uitgevoerd. Wanneer een lek/besmetting wordt geconstateerd boven de vermelde grenzen, wordt gehandeld zoals in deze vergunning is beschreven onder stralingsincident.
## D. Rapportage
- a. in het eerste kwartaal van ieder jaar rapporteert de coördinerend deskundige over het voorafgaande jaar in een jaarverslag aan de ondernemer. Het jaarverslag bevat een opsomming van de activiteiten in dat jaar in het kader van de stralingsbescherming en van de resultaten daarvan. In deze opsomming komt in ieder geval een overzicht voor van:
2. ∗ de totaal aanwezige hoeveelheid ingekapselde bronnen gespecificeerd naar nuclide en activiteit;
3. ∗ alle aanwezige toestellen, gespecificeerd naar merk, type en bouwjaar, maximale hoogspanning van de generator, en de plaats en aard van de toepassing;
4. ∗ wijzigingen van de situatie, binnen het kader van de vergunning;
5. ∗ een inschatting van de totale stralingsbelasting voor het milieu ten gevolge van alle bronnen binnen de locatie tezamen. De stralingsniveaus buiten de locatie worden in kaart gebracht met behulp van een plattegrond van de locatie;
6. ∗ de geregistreerde en/of berekende effectieve doses van de betrokken werknemers;
7. ∗ de controlewerkzaamheden die zijn uitgevoerd en de resultaten daarvan.
Afhankelijk van de hoogte van de effectieve dosis wordt ook nader inzicht geboden in de mogelijkheden die redelijkerwijs bestaan om de dosis verdergaand te reduceren (ALARA). In het jaarverslag zal dit cijfermateriaal worden geëvalueerd in vergelijking met de gegevens van de twee jaar daarvoor.
Tevens wordt in dit jaarverslag inzicht gegeven in de beoordeling van rechtvaardiging van nieuwe handelingen binnen het kader van de vergunning en eventuele evaluatie van bestaande handelingen, alsmede van de maatregelen die zijn genomen om de effectieve dosis ten gevolge van deze handelingen zo laag als redelijkerwijs mogelijk te houden en de resultaten daarvan.
## VIII. Stralingsincident
- a. bij een stralingsincident worden onverwijld zodanige maatregelen getroffen, dat (verdergaande) besmetting en/of blootstelling, zoals bedoeld in artikel 13, eerste lid, van het Besluit stralingsbescherming, van personen wordt tegengegaan;
- b. bij een stralingsincident wordt terstond de inspecteur-generaal der mijnen te Voorburg (tel. 070-3956500) gewaarschuwd.
## IX. Overdracht
- a. indien, vóór de expiratiedatum van de vergunning, definitief geen handelingen meer met de bronnen zullen worden verricht, wordt hiervan binnen 4 weken mededeling gedaan aan de Staatssecretaris van Sociale Zaken en Werkgelegenheid. In dat geval ontdoet de bronnen. Dit ontdoen geschiedt alleen overeenkomstig het gestelde in artikel 37, zevende en achtste lid, van het Besluit stralingsbescherming.
2. vergunninghouder zich zo spoedig mogelijk, doch in ieder geval uiterlijk binnen twee jaar van de Na afvoer van de bronnen zal de vergunning worden ingetrokken. Tot dat tijdstip is een afschrift
van de vergunning in de betrokken locatie aanwezig.
Deze beschikking treedt terstond in werking.
Van het verlenen van deze vergunning wordt mededeling gedaan door plaatsing in de Staatscourant.
's-Gravenhage, 29 juli 2004 de Staatssecretaris van Sociale Zaken en Werkgelegenheid, namens deze: de Directeur Inspectieondersteuning,
P.M.A. Bruls
## Arbeidsinspectie
&lt;!-- image --&gt;
## AANTEKENEN
Röntgen Technische Dienst B.V. t.a.v. de heer drs. ing. A.A.A.J.M. Verkuyten Delftweg 144 3046 NC ROTTERDAM
Directie Inspectieondersteuning Afdeling Beschikkingen
Postbus 90801 2509 LV Den Haag Anna van Hannoverstraat 4 Telefoon (070)   333 44 44 Telefax (070)   333 40 41
Uw brief d.d. 5 juli 2004, ref.: KAM-211-04-HLP/mm
Ons kenmerk
AI/IO/BES/PB nr. 2004/49451 Datum 29 juli 2004
Doorkiesnummer
(070) 333 5535
Onderwerp Besluit stralingsbescherming;
vergunning
Contactpersoon
Naar aanleiding van de desbetreffende aanvraag om een vergunning ingevolge het Besluit stralingsbescherming en het Besluit Kerninstallaties, splijtstoffen en ertsen, doe ik u hierbij, mede namens de Staatssecretaris van Volkshuisvesting, Ruimtelijke Ordening en Milieubeheer en de Minister van Economische Zaken, mijn beschikking onder datum en nummer als deze toekomen.
Ik vestig er de aandacht op dat de interne situatie waarop deze vergunning betrekking heeft, slechts mag worden gewijzigd nadat de vergunning aan de nieuwe situatie is aangepast. In geval van wijziging van de naam en/of het adres van de vergunninghouder dient daarvan mededeling aan mij te worden gedaan.
Met betrekking tot eerdergenoemd besluit merk ik nog op, dat de bepalingen hiervan onder meer inhouden dat:
- -in een register aantekening dient te worden gehouden van de door een ieder der radiologische arbeidskrachten ontvangen stralingsdoses, ook indien de radiologische handelingen minder dan twee weken omvatten, en
- -alle arbeidskrachten die voor Röntgen Technische Dienst B.V. radiologische handelingen in Nederland verrichten gedurende de gehele werkdag een persoonlijk controlemiddel van een door de Staatssecretaris van Sociale Zaken en Werkgelegenheid erkende instelling dienen te dragen,
- -alle arbeidskrachten, die bij het gammagrafisch onderzoek zijn betrokken, in het bezit dienen te zijn van een veiligheidsinstructie.
Wellicht ten overvloede wijs ik u erop dat uiteraard moet worden voldaan aan de bepalingen van het Besluit stralingsbescherming.
Tevens dient, met betrekking tot het vervoer van de radioactieve bronnen, te worden voldaan aan de bepalingen van het Besluit vervoer splijtstoffen, ertsen en radioactieve stoffen, waarin o.a. wordt verwezen naar de Bepalingen betreffende het vervoer over land van gevaarlijke stoffen (VLG) en het Reglement voor het vervoer over de spoorweg van gevaarlijke goederen (VSG).
Ten slotte maak ik u erop attent dat ingevolge artikel 50 van de Kernenergiewet, de bepalingen van hoofdstuk 20 van de Wet milieubeheer op de onderhavige beschikking van toepassing zijn.
Overeenkomstig de Algemene wet bestuursrecht kan tegen dit besluit bezwaar worden gemaakt. Daartoe moet binnen zes weken na de datum van de verzending van dit besluit een bezwaarschrift worden ingediend bij de Staatssecretaris van Sociale Zaken en Werkgelegenheid, t.a.v. de Arbeidsinspectie, afdeling Juridische Zaken, Postbus 90801, 2509 LV 's-Gravenhage.
In het bezwaarschrift moet worden aangegeven waarom het besluit niet juist gevonden wordt. Verzocht wordt bij het bezwaarschrift een kopie van deze brief en eventuele andere op de zaak betrekking hebbende stukken te voegen.
de Staatssecretaris van Sociale Zaken en Werkgelegenheid, namens deze: de Directeur Inspectieondersteuning,
P.M.A. Bruls</t>
  </si>
  <si>
    <t>[...] ## Onderwerp Last onder dwangsom en definitieve bevindingen ## Geachte heer Wenselaar, Hieronder treft u het besluit aan van de Autoriteit Persoonsgegevens (AP) tot oplegging van een last onder dwangsom aan Coöperatie Menzis U.A. (Menzis). Dit besluit maakt onderdeel uit van het nieuwe besluit van heden op het bezwaar van Burgerrechtenvereniging Vrijbit (Vrijbit). Dit nieuwe besluit op bezwaar is genomen na het onderzoek dat de AP heeft uitgevoe [...]</t>
  </si>
  <si>
    <t>Autoriteit_Persoonsgegevens__https___www.autoriteitpersoonsgegevens.nl_uploads_imported_besluit_last_onder_dwangsom_menzis.txt::Besluitvormend Orgaan</t>
  </si>
  <si>
    <t>Autoriteit Persoonsgegevens [15410:15437]</t>
  </si>
  <si>
    <t>[...] ezwaar van Vrijbit. Tegen dit besluit staat beroep open bij de rechtbank. Een afschrift van deze brief zal worden verzonden naar de Functionaris voor de Gegevensbescherming van Menzis [VERTROUWELIJK]. Hoogachtend, Autoriteit Persoonsgegevens, w.g. mr. A. Wolfsen Voorzitter ## Rechtsmiddel Indien u het niet eens bent met dit besluit kunt u binnen zes weken na de datum van verzending van het besluit ingevolge de Algemene wet bestuursrecht een bero [...]</t>
  </si>
  <si>
    <t>Autoriteit_Persoonsgegevens__https___www.autoriteitpersoonsgegevens.nl_uploads_imported_besluit_last_onder_dwangsom_menzis.txt::Rechtshandeling</t>
  </si>
  <si>
    <t>oplegging</t>
  </si>
  <si>
    <t>oplegging [455:465]</t>
  </si>
  <si>
    <t>oplegging [455:464]</t>
  </si>
  <si>
    <t>[...] ontactpersoon [VERTROUWELIJK] 070 8888 500 ## Onderwerp Last onder dwangsom en definitieve bevindingen ## Geachte heer Wenselaar, Hieronder treft u het besluit aan van de Autoriteit Persoonsgegevens (AP) tot oplegging van een last onder dwangsom aan Coöperatie Menzis U.A. (Menzis). Dit besluit maakt onderdeel uit van het nieuwe besluit van heden op het bezwaar van Burgerrechtenvereniging Vrijbit (Vrijbit). Dit nieuwe besluit op bezwaa [...]</t>
  </si>
  <si>
    <t>Autoriteit_Persoonsgegevens__https___www.autoriteitpersoonsgegevens.nl_uploads_imported_besluit_last_onder_dwangsom_menzis.txt::Rechtsobject</t>
  </si>
  <si>
    <t>last onder dwangsom</t>
  </si>
  <si>
    <t>last onder dwangsom [473:492]</t>
  </si>
  <si>
    <t>[...] TROUWELIJK] 070 8888 500 ## Onderwerp Last onder dwangsom en definitieve bevindingen ## Geachte heer Wenselaar, Hieronder treft u het besluit aan van de Autoriteit Persoonsgegevens (AP) tot oplegging van een last onder dwangsom aan Coöperatie Menzis U.A. (Menzis). Dit besluit maakt onderdeel uit van het nieuwe besluit van heden op het bezwaar van Burgerrechtenvereniging Vrijbit (Vrijbit). Dit nieuwe besluit op bezwaar is genomen na het onderzo [...]</t>
  </si>
  <si>
    <t>## Arbeidsinspectie
&lt;!-- image --&gt;
## MINISTERIE VAN SOCIALE ZAKEN EN WERKGELEGENHEID
AI/IO/BES No. 2004/76889
## DE STAATSSECRETARIS VAN SOCIALE ZAKEN EN WERKGELEGENHEID
Mede namens de Staatssecretaris van Volkshuisvesting, Ruimtelijke Ordening en Milieubeheer;
Gezien de aanvraag d.d. 26 oktober 2004 van Metaalhandel W. Ketting &amp;amp; Zn. B.V. te Pernis, om wijziging van een vergunning als bedoeld in artikel 29 van de Kernenergiewet;
Gelet op de artikelen 29-31 van de Kernenergiewet en het bepaalde in hoofdstuk 4 van het Besluit stralingsbescherming;
Gelet op de d.d. 30 maart 2004, onder nr. 2004/11544, AI/IO/BES, verleende vergunning;
Overwegende, dat de gemandateerde functionaris uit het bedrijf van de aanvrager de cursus ioniserende straling niveau 5A zal volgen en dat in afwachting van het behalen van het diploma, verbonden aan deze cursus, een tijdelijke vergunning wordt verleend.
## B E S L U I T :
De d.d. 30 maart 2004, onder nr. 2004/11544, AI/IO/BES, verleende vergunning, wordt gewijzigd, zodat deze thans luidt als volgt:
Aan Metaalhandel W. Ketting &amp;amp; Zn. B.V., Bakkersoordsekade 16 te Pernis, wordt tot 1 april 2005 vergunning verleend voor het verrichten van handelingen met radioactieve stoffen.
## In deze vergunning wordt verstaan onder:
- -bergplaats:
- -besmettingscontrole:
Ruimte, uitsluitend bedoeld voor de opslag van radioactieve stoffen. De voorschriften die gelden ten aanzien van de bergplaats worden verder uitgewerkt in deze vergunning;
Onder een besmettingscontrole wordt verstaan een controle van een voorwerp (niet zijnde een ingekapselde bron) op radioactieve besmetting. Bij deze controle wordt nagegaan of zich op de betreffende plaatsen radioactiviteit bevindt. Bij besmettingscontrole van een bronhouder worden die plaatsen gecontroleerd waarvan wordt verwacht dat in geval van een defect van de bron het eerst besmetting zal optreden;
Een ruimte wordt aangemerkt als bewaakte zone indien de door verblijf in die ruimte mogelijk in een kalenderjaar te ontvangen effectieve dosis hoger is dan 1 mSv en lager dan 6 mSv of de mogelijk in een kalenderjaar te ontvangen equivalente dosis hoger is dan:
- -bewaakte zone:
- -15 mSv voor de ooglens, of
- -45 mSv voor de ooglens,
- -50 mSv voor de huid, gemiddeld over enig blootgesteld huidoppervlak van 1 cm 2 , en lager dan:
- -150 mSv voor de huid, gemiddeld over enig blootgesteld huidoppervlak van 1 cm 2 , of
- -bron:
- -150 mSv voor handen, onderarmen, voeten en enkels;
Toestel dan wel radioactieve stof;
Document, opgemaakt door de producent van de ingekapselde bron, waarop de belangrijkste gegevens zijn vermeld. In ieder geval moeten activiteit, nuclide, gegevens van de capsule, classificatie volgens ISO 2919:1999 en bronnummer van de ingekapselde bron worden vermeld. Van bronnen die vóór 1995 zijn geproduceerd moeten de gegevens worden vastgelegd voor zover ze beschikbaar zijn of te achterhalen zijn;
- -broncertificaat:
- -bronhouder: Behuizing van een ingekapselde bron, waaruit deze niet zonder hulpgereedschap is te
verwijderen;
Niveau als bedoeld in artikel 9, tweede lid, van het Besluit stralingsbescherming;
- -deskundigheidsniveau:
- -diploma ioniserende straling:
- -effectieve dosis:
Diploma als bedoeld in artikel 132, tweede lid, van het Besluit stralingsbescherming;
De som van de gewogen equivalente doses in alle verschillende organen en weefsels ten gevolge van inwendige en uitwendige bestraling;
- -gecontroleerde zone: Een ruimte wordt aangemerkt als gecontroleerde zone indien:
- a. de door verblijf in die ruimte mogelijk in een kalenderjaar te ontvangen effectieve dosis groter of gelijk is aan 6 mSv, of de mogelijk in een kalenderjaar te ontvangen equivalente dosis groter of gelijk is aan:
- -150 mSv voor de huid, gemiddeld over enig blootgesteld huidoppervlak van 1 cm 2 , of
- -45 mSv voor de ooglens,
- -150 mSv voor handen, onderarmen, voeten en enkels, of
- -15 mSv voor de ooglens, of
- b. er een mogelijkheid is van verspreiding van radioactieve stoffen vanuit de ruimte zodanig dat personen in een kalenderjaar een effectieve dosis kunnen ontvangen die hoger is dan 1 mSv of een equivalente dosis die groter is dan:
- -50 mSv voor de huid, gemiddeld over enig blootgesteld huidoppervlak van 1 cm 2 ;
Het bereiden, voorhanden hebben, toepassen of zich ontdoen van een kunstmatige bron of van een natuurlijke bron, voor zover deze natuurlijke bron is of wordt bewerkt met het oog op zijn radioactieve eigenschappen, dan wel het gebruiken of voorhanden hebben van een toestel, uitgezonderd bij een interventie, een ongeval of een radiologische noodsituatie;
- -handeling:
- -ingekapselde bron:
- -lektest: Een lektest is een controle van de behuizing van een radioactieve stof (vaak een capsule als
Radioactieve stoffen die zijn ingebed in of gehecht aan vast dragermateriaal of zijn omgeven door een omhulling van materiaal met dien verstande dat hetzij het dragermateriaal hetzij de omhulling voldoende weerstand biedt om onder normale gebruiksomstandigheden elke verspreiding van radioactieve stoffen te voorkomen;
ingekapselde bron) op radioactieve besmetting. Een bron wordt verondersteld lek te zijn wanneer een afgewreven activiteit van meer dan 185 becquerel wordt aangetoond;
- -locatie:
- -radioactieve besmetting:
De inrichting als aangewezen krachtens artikel 1.1, derde lid, van de Wet milieubeheer of plaats, waar een handeling of werkzaamheid wordt verricht, zoals is beschreven in de aanvraag;
- Onder radioactieve besmetting wordt verstaan een alfa besmetting van 0,4 becquerel (Bq) of
meer per cm 2 of een bèta/gamma besmetting van 4 Bq of meer per cm 2 .
Het betreft hier een afgewreven activiteit, waarbij het volgende in aanmerking wordt genomen:
- ∗ De detectie-limiet van de meting bedraagt voor alle nucliden maximaal 2 Bq. Deze waarde geldt dus zowel voor alfa als voor bèta/gamma bronnen. Hierbij is uitgegaan van technisch redelijk haalbare detectiegrenzen van meetapparatuur en niet van radiotoxiciteit. Dit omdat anders voor de minder toxische stoffen een besmetting moet worden toegestaan, die vanuit het ALARA-principe opgeruimd had moeten worden;
- ∗ Het oppervlak dat wordt afgewreven bedraagt circa 5 cm 2 ;
- -stralingsincident: Ongewenste gebeurtenis, als bedoeld in artikel 13 van het Besluit stralingsbescherming, die direct of op termijn een onvoorziene radioactieve besmetting en/of blootstelling aan ioniserende
straling van personen zou kunnen veroorzaken (bijvoorbeeld: brand, defecte apparatuur, vermissing of ongeval);
De begrenzing van de locatie, zoals aangeduid op de tekening (bijlage 2 van de aanvraag d.d. 10 februari 2004);
- -terreingrens:
- -toezichthoudend deskundige: Stralingsdeskundige als bedoeld in artikel 9, eerste lid, van het Besluit stralingsbescherming, die
zelfstandig handelingen met ioniserende straling uitvoert of onder wiens toezicht handelingen met ioniserende straling worden uitgevoerd;
Instructie als bedoeld in de artikelen 15 en 16 van het Besluit stralingsbescherming, gericht op de handeling waarbij de werknemer betrokken is;
- -voldoende instructie:
- -waarschuwingsteken:
- Waarschuwingsteken voor gevaar van besmetting of voor het kunnen ontvangen van een
dosisequivalent, als bedoeld in artikel 20, eerste lid, van het Besluit stralingsbescherming, verder uitgewerkt in de Regeling waarschuwingssignalering ioniserende straling.
## Deze vergunning is uitsluitend van toepassing voor het volgende:
Binnen de locatie van Metaalhandel W. Ketting &amp;amp; Zn. B.V., gelegen aan de Bakkersoordsekade 16 te Pernis, mogen met radioactieve stoffen uitsluitend handelingen worden verricht ten behoeve van analysedoeleinden binnen de volgende omvang:
- -één ingekapselde bron cadmium-109 met een activiteit van maximaal 185 megabecquerel (MBq);
- -één ingekapselde bron ijzer-55 met een activiteit van maximaal 740 MBq.
## Algemeen
- a. de op 26 oktober 2004 ingediende aanvraag alsmede de op 18 februari 2004 ingediende aanvraag met de daarbij behorende bijlagen maken deel uit van deze vergunning;
- b. wijzigingen in de gegevens die vermeld zijn bij de aanvraag worden op grond van artikel 44, zevende lid, van het Besluit stralingsbescherming, gemeld aan de Afdeling Beschikkingen van de Arbeidsinspectie, Postbus 90801, 2509 LV 's-Gravenhage, onder vermelding van de vergunning waar de wijziging betrekking op heeft.
## Voorschriften
Aan deze vergunning worden de hierna volgende voorschriften verbonden:
## I. Organisatie
- a. de ondernemer zorgt ervoor dat de handelingen met ioniserende straling plaatsvinden binnen de kaders en voorschriften van deze vergunning door of onder toezicht van een functionaris die op de hoogte is van de inhoud van de cursus ioniserende straling niveau 5A of een gelijkwaardige cursus;
- b. de ondernemer zorgt ervoor dat deze functionaris schriftelijk gemandateerd is voor deze verantwoordelijkheid en dat hij zo vaak als nodig, en ten minste eenmaal per jaar, verantwoording aan hem aflegt door middel van een rapportage;
- c. de ondernemer zorgt ervoor dat degenen die handelingen uitvoeren met/aan de ingekapselde bron ten minste het volgende niveau van stralingsdeskundigheid of een gelijkwaardig niveau hebben:
openen/sluiten van de sluiter:
voldoende instructie
handelingen waarbij de bron in een vrij stralende positie komt:
niveau 5A
verwijderen uit, dan wel het plaatsen van de ingekapselde bron (in de bronhouder) in het apparaat:
niveau 5A
aanbrengen/verwijderen van de ingekapselde bron uit de bronhouder/vaste meetopstelling anders dan door leverancier:
niveau 4A
verantwoordelijkheid voor besmettingscontrole:
niveau 3.
## II. Ingekapselde bronnen
## A. Algemeen
- a. een binnenkomende zending met een ingekapselde bron wordt rechtstreeks naar de daarvoor bestemde ruimte gebracht, waar zij door of onder toezicht van ter zake kundig personeel wordt uitgepakt en gecontroleerd, onder andere op radioactieve besmetting van de verpakking. Wanneer de zending met een ingekapselde bron buiten werktijd wordt afgeleverd wordt deze direct opgeslagen in een bergplaats;
- b. retouremballage van een zending met een ingekapselde bron wordt, alvorens zij de locatie verlaat, zowel in- als uitwendig ontdaan van radioactieve besmetting. Aanduidingen of waarschuwingstekens van radioactiviteit zijn hierop niet waarneembaar;
- c. de constructie van een ingekapselde bron voldoet aan de eisen daaraan gesteld in de International Standard ISO 2919:1999;
- d. indien, in tegenstelling tot hetgeen hierboven is voorgeschreven, de ingekapselde bron niet hoeft te voldoen aan de voorschriften in de International Standard ISO 2919:1999 of daaraan niet kan voldoen, dan is de constructie van de ingekapselde bron zodanig dat verspreiding van radioactiviteit wordt voorkomen;
- e. de ingekapselde bron gaat vergezeld van een broncertificaat waarop de specifieke gegevens van de ingekapselde bron zijn weergegeven;
- f. de omstandigheden waaronder het feitelijk gebruik van de ingekapselde bron plaatsvindt, mogen niet zwaarder zijn dan waarvoor deze is ontworpen;
- g. de ingekapselde bron is niet lek en heeft geen oppervlaktebesmetting;
- h. het beheer van de ingekapselde bron is zodanig dat steeds bekend is wat de gegevens van iedere bron zijn. De ingekapselde bron is daartoe, indien praktisch mogelijk, voorzien van een serienummer.
## B. Handelingen
- a. in de nabijheid van de ingekapselde bron zijn geen brandbare, brandbevorderende of explosieve stoffen aanwezig, tenzij hun aanwezigheid voor de bedrijfsvoering noodzakelijk is;
- b. wanneer de ingekapselde bron uit het apparaat wordt verwijderd, wordt deze in de bronhouder naar de bergplaats overgebracht.
## III. Bergplaats
- a. de bergplaats is uitsluitend bestemd voor de opslag van radioactieve stoffen en voldoet aan de volgende eisen:
2. -de buitenzijde van de bergplaats is voorzien van een duidelijk leesbaar en onuitwisbaar opschrift "RADIOACTIEVE STOFFEN", en van een duidelijk zichtbaar waarschuwingsteken;
3. -de effectieve dosis aan de buitenzijde is zo laag als redelijkerwijs mogelijk is. In ieder geval wordt op geen enkel punt op 0,1 meter afstand van het oppervlak van de bergplaats een dosisequivalenttempo gemeten van meer dan 1 microsievert per uur;
4. -de bergplaats is deugdelijk afgesloten en kan uitsluitend geopend worden door de ondernemer en personen die daartoe van hem de bevoegdheid hebben gekregen;
5. -wanneer de bergplaats eenvoudig te verplaatsen is, wordt deze geplaatst in een afsluitbare ruimte of kast, die deugdelijk is afgesloten en uitsluitend geopend kan worden door de ondernemer en personen die daartoe van hem de bevoegdheid hebben gekregen.
6. -de constructie van de bergplaats waarborgt een brandwerendheid van ten minste 60 minuten. Hieronder wordt verstaan dat alle bouwdelen bij verhitting (volgens NEN 6068) hun functie ten minste 60 minuten blijven vervullen en dat de constructieonderdelen van de bergplaats voldoen aan klasse 1 als bedoeld in NEN 6065. Een vaste bergplaats is bovendien bekend bij de plaatselijke brandweer;
## IV. Radioactieve afvalstoffen
- a. radioactieve afvalstoffen worden zo spoedig als redelijkerwijs mogelijk is op adequate wijze afgegeven aan een aangewezen instelling of dienst zoals bedoeld in artikel 37, zevende en achtste lid, van het Besluit stralingsbescherming. Tijdelijke opslag van radioactieve afvalstoffen voor een periode van maximaal 2 jaar is toegestaan met het oog op verval tot niet-radioactieve afvalstoffen of uit overwegingen die een efficiënte wijze van afvoer naar een erkende ophaaldienst beogen;
- b. de opslag geschiedt in deugdelijke containers in een daarvoor bestemde ruimte die voldoet aan de eisen gesteld aan een bergplaats.
## V. Milieubelasting
- a. de door de vergunde handelingen veroorzaakte bijdrage aan de effectieve dosis buiten de locatie is zo laag als redelijkerwijs mogelijk is. De multifunctionele individuele dosis (MID) overschrijdt
in geen geval de waarde van 10 microsievert per jaar.
## VI. Controle, registratie en meldingen
## A. Algemeen
- a. door de ondernemer worden de gegevens die betrekking hebben op de stralingshygiëne, ondergebracht in een overzichtelijk beheersysteem. Dit systeem dat ook de in deze vergunning genoemde registraties en rapportages bevat, wordt ten minste vijf jaar bewaard;
- b. de bepaling van de blootstelling van de blootgestelde werknemer als bedoeld in artikel 87 van het Besluit stralingsbescherming, geschiedt volgens een schriftelijk vastgelegd protocol. Dit protocol is onderdeel van de instructie aan de werknemer;
- c. een afschrift van de vergunning is op het kantoor van de onder Ia genoemde funtionaris aanwezig.
## B. Radioactieve stoffen
- a.
- ingekapselde bronnen worden periodiek gecontroleerd. Minimaal jaarlijks vindt een visuele controle van de ingekapselde bron plaats. Wanneer deze wordt toegepast in een bronhouder vindt een visuele controle van de bronhouder plaats. Daarnaast wordt de ingekapselde bron en/of bronhouder/meetopstelling minimaal jaarlijks volgens een schriftelijk vastgelegde procedure gecontroleerd op lekken, radioactieve besmetting en op het dosisequivalenttempo aan de buitenzijde van de bronhouder. Hierbij wordt beschadiging van de ingekapselde bron voorkomen. De resultaten van deze controles worden geregistreerd, onder vermelding van:
- -het nummer van de bron die is gecontroleerd,
- -de datum van de controle,
- -de wijze waarop de controle werd uitgevoerd,
- -de resultaten van de controle;
- -de naam van degene die de controle verrichtte, en
- b. wanneer de ingekapselde bron definitief niet meer wordt gebruikt, wordt aan deze ingekapselde bron, voordat deze wordt opgeslagen in de bergplaats of wordt overgedragen, volgens een schriftelijk vastgelegde procedure een lektest uitgevoerd. Wanneer een lek/besmetting wordt geconstateerd boven de vermelde grenzen, wordt gehandeld zoals in deze vergunning is beschreven onder stralingsincident;
- c. in een speciaal daarvoor bestemd register, dat zich in of nabij de bergplaats bevindt, wordt de hoeveelheid radioactiviteit die zich in de bergplaats bevindt aangetekend. Deze registratie vindt minimaal plaats gespecificeerd naar nuclide en activiteit. Elke uitgifte of ontvangst van de ingekapselde bron uit of in de bergplaats wordt meteen in dit register aangetekend. Bij uitgifte wordt bovendien de bestemming aangetekend.
## VII. Stralingsincident
- a. bij een stralingsincident worden onverwijld zodanige maatregelen getroffen, dat (verdergaande) besmetting en/of blootstelling, zoals bedoeld in artikel 13, eerste lid, van het Besluit stralingsbescherming, van personen wordt tegengegaan;
- b. bij een stralingsincident worden terstond de betrokken inspecties gewaarschuwd:
3. -de VROM-Inspectie Regio Zuid-West.
4. -de Arbeidsinspectie, en
Dit kan hetzij rechtstreeks hetzij via het alarm-incidentennummer: 070-3832425 van het Ministerie van Volkshuisvesting, Ruimtelijke Ordening en Milieubeheer, dat 24 uur per dag bereikbaar is.
## VIII. Overdracht
- a. indien definitief geen handelingen meer met de bronnen zullen worden verricht, wordt hiervan binnen 4 weken mededeling gedaan aan de Staatssecretaris van Sociale Zaken en Werkgelegenheid. In dat geval ontdoet de vergunninghouder zich zo spoedig mogelijk, doch in ieder geval uiterlijk binnen twee jaar van de bronnen. Dit ontdoen geschiedt alleen overeenkomstig het gestelde in artikel 37, zevende en achtste lid, van het Besluit stralingsbescherming.
Na afvoer van de bronnen zal de vergunning worden ingetrokken. Tot dat tijdstip is een afschrift van de vergunning in de betrokken locatie aanwezig.
Van het verlenen van deze vergunning wordt mededeling gedaan door plaatsing in de Staatscourant.
's-Gravenhage, de Staatssecretaris van Sociale Zaken en Werkgelegenheid, namens deze: de Directeur Inspectieondersteuning,
P.M.A. Bruls
## Arbeidsinspectie
&lt;!-- image --&gt;
AANTEKENEN Metaalhandel W. Ketting &amp;amp; Zn. B.V. t.a.v. de heer A. Struijk Postbus 674 3195 ZH  PERNIS
Directie Inspectieondersteuning Afdeling Beschikkingen
Postbus 90801 2509 LV Den Haag Anna van Hannoverstraat 4 Telefoon (070)   333 44 44
Telefax (070)   333 40 41
Uw brief d.d. 26 oktober 2004
Ons kenmerk AI/IO/BES/RR nr. 2004/76889 Datum 9 november 2004
Doorkiesnummer (070) 333 5535
Onderwerp
Besluit stralingsbescherming; vergunning
Contactpersoon
Naar aanleiding van de desbetreffende aanvraag om een vergunning ingevolge het Besluit stralingsbescherming, doe ik u hierbij, mede namens de Staatssecretaris van Volkshuisvesting, Ruimtelijke Ordening en Milieubeheer, mijn beschikking onder datum en nummer als deze toekomen.
Ik vestig er de aandacht op dat de interne situatie waarop deze vergunning betrekking heeft, slechts mag worden gewijzigd nadat de vergunning aan de nieuwe situatie is aangepast. In geval van wijziging van de naam en/of het adres van de vergunninghouder c.q. de locatie dient daarvan mededeling aan mij te worden gedaan.
Tevens deel ik u mede dat voor het geval van brand de betrokken locatie aan de Bakkersoordsekade 16 te Pernis is ingedeeld in de brandklasse III in de zin van de aan de gemeenten gerichte circulaires van de Minister van Binnenlandse Zaken d.d. 14 maart 1962, d.d. 30 september 1965 en d.d. 17 februari 1982 (Dir. O.V.V./Afd. B.W., no. E.B. 62/386, EB 65/1609, respectievelijk EB 82/U 161). Bedoelde indeling houdt uitsluitend verband met de aanwezigheid van radioactieve stoffen. In dit verband wijs ik u erop dat het raadzaam is de plaatselijke brandweer op de hoogte te brengen van de aanwezigheid van radioactief materiaal in bovengenoemde locatie.
Dit houdt in dat bij een eventuele brandbestrijding met het oog op de radioactiviteitsgevaren mogelijk
enige maatregelen van brandweertechnische aard dienen te worden genomen. In elk geval zal na de brand in verband met de controle op radioactieve besmetting van de brandweerkleding een zekere nazorg dienen plaats te vinden.
Wellicht ten overvloede wijs ik u erop dat uiteraard moet worden voldaan aan de bepalingen van het Besluit stralingsbescherming.
Voorts maak ik u erop attent dat ingevolge artikel 50 van de Kernenergiewet, de bepalingen van hoofdstuk 20 van de Wet milieubeheer op de onderhavige beschikking van toepassing zijn.
Overeenkomstig de Algemene wet bestuursrecht kan tegen dit besluit bezwaar worden gemaakt.
Daartoe moet binnen zes weken na de datum van de verzending van dit besluit een bezwaarschrift worden ingediend bij de Staatssecretaris van Sociale Zaken en Werkgelegenheid (M. Rutte), t.a.v. de Arbeidsinspectie, afdeling Juridische Zaken, Postbus 90801, 2509 LV 's-Gravenhage.
In het bezwaarschrift moet worden aangegeven waarom het besluit niet juist gevonden wordt. Verzocht wordt bij het bezwaarschrift een kopie van deze brief en eventuele andere op de zaak betrekking hebbende stukken te voegen.
Ten slotte deel ik u mede, dat een aanvraag om verlenging van de vergunning pas in behandeling kan worden genomen, nadat ik schriftelijk van u heb vernomen, dat een functionaris van uw vennootschap het diploma ioniserende straling niveau 5A of een gelijkwaardig diploma heeft behaald.
de Staatssecretaris van Sociale Zaken en Werkgelegenheid, namens deze: de Directeur Inspectieondersteuning,
P.M.A. Bruls</t>
  </si>
  <si>
    <t>Autoriteit_Persoonsgegevens__https___www.autoriteitpersoonsgegevens.nl_uploads_imported_besluit_vergunning_collectief_winkelverbod_de_gaard_utrecht.txt::Besluitvormend Orgaan</t>
  </si>
  <si>
    <t>Autoriteit Persoonsgegevens [15307:15334]</t>
  </si>
  <si>
    <t>[...] rschrift indienen, zie www.autoriteitpersoonsgegevens.nl. onder het kopje 'Bezwaar maken tegen een besluit'. Het indienen van een bezwaarschrift schort de werking van dit besluit niet op. Den Haag, 25 januari 2022 Autoriteit Persoonsgegevens, Overeenkomstig het door de Autoriteit Persoonsgegevens genomen besluit, ir. C.M. Schut, MPA Directeur Systeemtoezicht, Beveiliging en Technologie Datum &lt;!-- image --&gt; 25 januari 2022 ## Ons kenmerk z2021 [...]</t>
  </si>
  <si>
    <t>Autoriteit_Persoonsgegevens__https___www.autoriteitpersoonsgegevens.nl_uploads_imported_besluit_vergunning_collectief_winkelverbod_de_gaard_utrecht.txt::Rechtshandeling</t>
  </si>
  <si>
    <t>verlening [14499:14509]</t>
  </si>
  <si>
    <t>verlening [14499:14508]</t>
  </si>
  <si>
    <t>Autoriteit_Persoonsgegevens__https___www.autoriteitpersoonsgegevens.nl_uploads_imported_besluit_vergunning_collectief_winkelverbod_de_gaard_utrecht.txt::Rechtsobject</t>
  </si>
  <si>
    <t>vergunning [14517:14528]</t>
  </si>
  <si>
    <t>vergunning [14517:14527]</t>
  </si>
  <si>
    <t>## Arbeidsinspectie
&lt;!-- image --&gt;
## MINISTERIE VAN SOCIALE ZAKEN EN WERKGELEGENHEID
AI/IO/BES No. 2004/84161
## DE STAATSSECRETARIS VAN SOCIALE ZAKEN EN WERKGELEGENHEID
Mede namens de Staatssecretaris van Volkshuisvesting, Ruimtelijke Ordening en Milieubeheer;
Gezien de aanvraag d.d. 18 november 2004 van de Technische Universiteit Eindhoven te Eindhoven, om wijziging van een vergunning als bedoeld in hoofdstuk 4, artikel 23, van het Besluit stralingsbescherming;
Gelet op artikel 34 van de Kernenergiewet en het bepaalde in hoofdstuk 4 van het Besluit stralingsbescherming;
Gelet op de verleende vergunningen:
- -d.d. 27 november 1981, nr. 64649, DGMH/S;
- -d.d. 1 juli 2004, nr. 2004/46248, AI/IO/BES;
Overwegende, dat de vergunning wordt aangevraagd tegen de achtergrond van het navolgende feitencomplex. De aanvrager beschikt over een viertal vergunningen als bedoeld in artikel 29 en 34 van de Kernenergiewet, waaronder een complexvergunning onder nummer 64649, DGMH/S, d.d. 27 november 1981. In deze vergunning zijn alle regelingen vastgelegd die betrekking hebben op de interne organisatie en de uitvoering van de stralingsbescherming. Verder is de vergunning qua bewoording en systematiek gebaseerd op het vroegere Besluit stralenbescherming Kernenergiewet. Om alle aspecten met betrekking tot de bescherming van mensen, dieren, planten en goederen en het Besluit stralingsbescherming goed te kunnen beoordelen zullen zoveel mogelijk alle handelingen in één vergunning worden ondergebracht. De aanvrager geeft ook aan dat wordt gestreefd om voor 1 juli 2005 een allesomvattende aanvraag in te dienen;
Overwegende, dat alle handelingen met de versneller vallen binnen de verantwoordelijkheid van de Stralingsbeschermingseenheid van de Technische Universiteit Eindhoven, vastgelegd in de specifieke regeling in bijlage A5 SBD 02-1050 van de aanvraag d.d. 30 september 2002;
Overwegende, dat alle vastgelegde interne voorschriften en procedures bindend zijn voor allen die binnen de locatie van de Technische Universiteit Eindhoven, al dan niet in dienstverband van de Technische Universiteit Eindhoven, werkzaam zijn;
Overwegende, dat het stralingshygiënisch beleid van de Technische Universiteit Eindhoven er op gericht is de blootstelling zo laag als redelijkerwijs mogelijk te doen zijn;
Overwegende, dat reeds eerder een vergunning is verleend voor een versneller op dezelfde locatie en niet is te verwachten dat door het gebruik nadeliger gevolgen voor mensen, dieren, planten en goederen kunnen worden veroorzaakt dan bij de eerder verleende vergunning in aanmerking is genomen;
Gelet op artikel 20.5 van de Wet milieubeheer;
Overwegende, dat om redenen van continuïteit van werkzaamheden in het onderhavige geval een zo spoedig mogelijk in werking treden van de vergunning noodzakelijk is.
## B E S L U I T :
De d.d. 1 juli 2004, onder nr. 2004/46248, AI/IO/BES, verleende vergunning, wordt gewijzigd zodat deze thans luidt als volgt:
Aan de Technische Universiteit Eindhoven, Den Dolech 2 te Eindhoven, wordt tot 1 juli 2005 vergunning verleend voor:
- -het verrichten van handelingen met een toestel;
- -het verrichten van onderzoeks- en ontwikkelingswerk aan een toestel.
## In deze vergunning wordt verstaan onder:
- -bewaakte zone:
Een ruimte wordt aangemerkt als bewaakte zone indien de door verblijf in die ruimte mogelijk in een kalenderjaar te ontvangen effectieve dosis hoger is dan 1 mSv en lager dan 6 mSv of de mogelijk in een kalenderjaar te ontvangen equivalente dosis hoger is dan:
- -15 mSv voor de ooglens, of
- -50 mSv voor de huid, gemiddeld over enig blootgesteld huidoppervlak van 1 cm 2 , en lager dan:
- -45 mSv voor de ooglens,
- -150 mSv voor handen, onderarmen, voeten en enkels;
- -150 mSv voor de huid, gemiddeld over enig blootgesteld huidoppervlak van 1 cm 2 , of
- -bron:
- Toestel dan wel radioactieve stof;
- -coördinerend deskundige:
Stralingsdeskundige als bedoeld in artikel 9, eerste lid, van het Besluit stralingsbescherming, in de vergunningsaanvraag d.d. 30 september 2002 aangeduid als coördinerend stralingsbeschermingkundige (SBK), die jegens de ondernemer ervoor zorgt dat de handelingen met ioniserende straling plaatsvinden binnen de kaders en voorschriften van deze vergunning. Deze coördinerend deskundige coördineert tevens de handelingen van de toezichthoudend deskundigen;
- -deskundigheidsniveau:
- Niveau als bedoeld in artikel 9, tweede lid, van het Besluit stralingsbescherming;
- -diploma ioniserende straling:
Diploma als bedoeld in artikel 132, tweede lid, van het Besluit stralingsbescherming;
- -effectieve dosis:
De som van de gewogen equivalente doses in alle verschillende organen en weefsels ten gevolge van inwendige en uitwendige bestraling;
- -gecontroleerde zone:
Een ruimte wordt aangemerkt als gecontroleerde zone indien:
- a. de door verblijf in die ruimte mogelijk in een kalenderjaar te ontvangen effectieve dosis groter of gelijk is aan 6 mSv, of de mogelijk in een kalenderjaar te ontvangen equivalente dosis groter of gelijk is aan:
- -45 mSv voor de ooglens,
- -150 mSv voor handen, onderarmen, voeten en enkels, of
- -150 mSv voor de huid, gemiddeld over enig blootgesteld huidoppervlak van 1 cm 2 , of
- b. er een mogelijkheid is van verspreiding van radioactieve stoffen vanuit de ruimte zodanig dat personen in een kalenderjaar een effectieve dosis kunnen ontvangen die hoger is dan 1 mSv of een equivalente dosis die groter is dan:
- -15 mSv voor de ooglens, of
- -handeling:
- -50 mSv voor de huid, gemiddeld over enig blootgesteld huidoppervlak van 1 cm 2 ;
Het bereiden, voorhanden hebben, toepassen of zich ontdoen van een kunstmatige bron of van een natuurlijke bron, voor zover deze natuurlijke bron is of wordt bewerkt met het oog op zijn radioactieve eigenschappen, dan wel het gebruiken of voorhanden hebben van een toestel, uitgezonderd bij een interventie, een ongeval of een radiologische noodsituatie;
- -locatie:
De inrichting als aangewezen krachtens artikel 1.1, derde lid, van de Wet milieubeheer of plaats, waar een handeling of werkzaamheid wordt verricht, zoals is beschreven in de aanvraag;
- -stralingsincident:
Ongewenste gebeurtenis, als bedoeld in artikel 13 van het Besluit stralingsbescherming, die direct of op termijn een onvoorziene radioactieve besmetting en/of blootstelling aan ioniserende straling van personen zou kunnen veroorzaken (bijvoorbeeld: brand, defecte apparatuur, vermissing of ongeval);
- -terreingrens:
De begrenzing van de locatie, zoals aangeduid op de plattegrond (bijlage B10 van de aanvraag d.d. 30 september 2002);
- -toestel:
Toestel dat ioniserende straling kan uitzenden en geen radioactieve stof, splijtstof of erts bevat;
- -toezichthoudend deskundige:
Stralingsdeskundige als bedoeld in artikel 9, eerste lid, van het Besluit stralingsbescherming, in de vergunningsaanvraag d.d. 30 september 2002 aangeduid als lokale SBK, die zelfstandig handelingen met ioniserende straling uitvoert of onder wiens toezicht handelingen met ioniserende straling worden uitgevoerd;
- -versneller:
Een versneller is een toestel of installatie die deeltjes versnelt en ioniserende straling met een energie van meer dan 1 mega-elektronvolt uitzendt;
- -voldoende instructie:
Instructie als bedoeld in artikel 15 en 16 van het Besluit stralingsbescherming, gericht op de handeling waarbij de werknemer betrokken is;
- -waarschuwingsteken:
Waarschuwingsteken voor gevaar van besmetting of voor het kunnen ontvangen van een dosisequivalent, als bedoeld in artikel 20, eerste lid, van het Besluit stralingsbescherming, verder uitgewerkt in de Regeling waarschuwingssignalering ioniserende straling.
## Deze vergunning is uitsluitend van toepassing voor het volgende:
Binnen de locatie van de Technische Universiteit Eindhoven, gelegen aan de Den Dolech 2 te Eindhoven, mogen met één versneller, cyclotron, merk IBA, type Cyclone-30, met een maximale protonenenergie van 30 mega-elektronvolt, met bijbehorende faciliteiten handelingen worden verricht ten behoeve van ontwikkelingswerk en bestralingen in het kader van wetenschappelijk onderzoek op het gebied van stralingstechnologie en de productie van radionucliden.
## Algemeen
- a. het op 1 december 2004 ingediende verzoek en de op 4 oktober 2002 en 16 juni 2004 ingediende aanvragen met de daarbij behorende bijlagen maken deel uit van deze vergunning;
- b. wijzigingen in de gegevens die vermeld zijn bij de aanvraag worden op grond van artikel 44, zevende lid, van het Besluit stralingsbescherming, gemeld aan de Afdeling Beschikkingen van de Arbeidsinspectie, Postbus 90801, 2509 LV 's-Gravenhage, onder vermelding van de vergunning waar de wijziging betrekking op heeft.
## Voorschriften
Aan deze vergunning worden de hierna volgende voorschriften verbonden:
## I. Organisatie
- a. de ondernemer zorgt ervoor dat de handelingen met ioniserende straling plaatsvinden binnen de kaders en voorschriften van deze vergunning door of onder toezicht van een coördinerend deskundige die ten minste het diploma ioniserende straling niveau 2 of een gelijkwaardig diploma heeft behaald;
- b. de ondernemer zorgt ervoor dat deze coördinerend deskundige schriftelijk gemandateerd is voor deze verantwoordelijkheid en dat hij zo vaak als nodig, en ten minste eenmaal per jaar, verantwoording aan hem aflegt door middel van een rapportage;
- c. de ondernemer zorgt ervoor dat handelingen met het toestel worden uitgevoerd onder direct toezicht van een toezichthoudend deskundige die ten minste het diploma ioniserende straling niveau 3 of een gelijkwaardig diploma heeft behaald.
## II. Toestellen
## A. Algemeen
- a. het toestel wordt gebruikt conform het gestelde in bijlage B2 en B3 van de aanvraag d.d. 30 september 2002;
- b. het gebruik van het toestel en de bijbehorende ruimten gebeurt binnen de randvoorwaarden zoals aangegeven in de SBD-regelingen in bijlage A van de aanvraag d.d. 30 september 2002.
## B. Handelingen
- a. ruimte en gebruik van het toestel zijn in stralingshygiënisch opzicht op elkaar afgestemd; buiten de ruimte bedraagt bij gebruik van het toestel op betreedbare plaatsen de effectieve dosis niet meer dan 1 millisievert per jaar;
- b. indien met bouwkundige voorzieningen de benodigde dosisbeperking niet kan worden verkregen, wordt deze door middel van organisatorische maatregelen gerealiseerd.
- c. het toestel wordt gebruikt in de daarvoor bestemde ruimten; deze zijn ingedeeld als gecontroleerde zone.
## III. Milieubelasting
- a. de door de vergunde handelingen veroorzaakte bijdrage aan de effectieve dosis buiten de locatie is zo laag als redelijkerwijs mogelijk is. De multifunctionele individuele dosis (MID) overschrijdt in geen geval de waarde van 10 microsievert per jaar.
## IV. Controle, registratie en meldingen
## A. Algemeen
- a. door de ondernemer worden de gegevens die betrekking hebben op de stralingshygiëne, ondergebracht in een overzichtelijk beheersysteem. Dit systeem dat ook de in deze vergunning genoemde registraties en rapportages bevat, wordt ten minste vijf jaar bewaard;
- b. de bepaling van de blootstelling van de blootgestelde werknemer als bedoeld in artikel 87 van het Besluit stralingsbescherming, geschiedt volgens een schriftelijk vastgelegd protocol. Dit protocol is onderdeel van de instructie aan de werknemer;
- c. een afschrift van de vergunning is op het kantoor van de coördinerend deskundige aanwezig.
## B. Toestellen
- a. de genomen maatregelen voor toestellen, als bedoeld in artikel 18 van het Besluit stralingsbescherming worden geregistreerd;
- b. aantekening wordt gehouden van elke demontage en/of reparatie aan het toestel onder vermelding van:
3. -de datum en het tijdstip van aanvang en beëindiging van elke relevante demontage danwel reparatie van het toestel,
4. -degene die de demontage en/of de reparatie heeft uitgevoerd,
5. -de resultaten van de controle op de goede werking van het toestel, de beveiligingen en de afscherming, na de demontage en/of de reparatie.
6. -eventuele gebreken en aard van de reparaties, en
## C. Rapportage
- a. in het eerste kwartaal van ieder jaar rapporteert de coördinerend deskundige over het voorafgaande jaar in een jaarverslag aan de ondernemer. Het jaarverslag bevat een opsomming van de activiteiten in dat jaar in het kader van de stralingsbescherming en van de resultaten daarvan. In deze opsomming komt in ieder geval een overzicht voor van:
2. ∗ wijzigingen van de situatie, binnen het kader van de vergunning;
3. ∗ de geregistreerde en/of berekende effectieve doses van de blootgestelde werknemers;
4. ∗ de blootgestelde werknemers;
5. ∗ een inschatting van de stralingsbelasting voor het milieu. De stralingsniveaus buiten de locatie worden in kaart gebracht met behulp van een plattegrond van de locatie;
6. ∗ de controlewerkzaamheden die door of namens de coördinerend deskundige zijn uitgevoerd en de resultaten daarvan.
Afhankelijk van de hoogte van de effectieve dosis wordt ook nader inzicht geboden in de mogelijkheden die redelijkerwijs bestaan om de dosis verdergaand te reduceren (ALARA). In het jaarverslag zal dit cijfermateriaal worden geëvalueerd. Tevens wordt in dit jaarverslag inzicht gegeven in de beoordeling van rechtvaardiging van nieuwe handelingen binnen het kader van de vergunning en eventuele evaluatie van bestaande handelingen, alsmede van de maatregelen die zijn genomen om de effectieve dosis ten gevolge van deze handelingen zo laag als redelijkerwijs mogelijk te houden en de resultaten daarvan.
Dit jaarverslag wordt tevens in het eerste kwartaal van ieder jaar in vijfvoud toegezonden aan de Afdeling Beschikkingen van de Arbeidsinspectie, Postbus 90801, 2509 LV 's-Gravenhage.
## V. Stralingsincident
- a. bij een stralingsincident worden onverwijld zodanige maatregelen getroffen, dat (verdergaande) blootstelling, zoals bedoeld in artikel 13, eerste lid, van het Besluit stralingsbescherming, van personen wordt tegengegaan;
- b. bij een stralingsincident worden terstond de betrokken inspecties gewaarschuwd:
3. -de Arbeidsinspectie, en
Dit kan hetzij rechtstreeks hetzij via het alarm-incidentennummer: 070-3832425 van het Ministerie van Volkshuisvesting, Ruimtelijke Ordening en Milieubeheer, dat 24 uur per dag bereikbaar is.
- -de VROM-Inspectie Regio Zuid-West.
## VI. Overdracht
- a. indien definitief geen handelingen meer met het toestel zullen worden verricht, wordt hiervan binnen 4 weken mededeling gedaan aan de Staatssecretaris van Sociale Zaken en Werkgelegenheid. Daarbij wordt een plan van aanpak overlegd, waarin is aangegeven hoe geactiveerde en besmette onderdelen van de installatie en de ruimten gecontroleerd worden verwijderd. Hierna ontdoet de vergunninghouder zich zo spoedig mogelijk, doch in ieder geval uiterlijk binnen twee jaar van het toestel en de geactiveerde en besmette onderdelen van de installatie en de ruimten.
Deze beschikking treedt terstond in werking.
Van het verlenen van deze vergunning wordt mededeling gedaan door plaatsing in de Staatscourant.
's-Gravenhage, 8 december 2004 de Staatssecretaris van Sociale Zaken en Werkgelegenheid, namens deze: de Directeur Inspectieondersteuning,
P.M.A. Bruls
## Arbeidsinspectie
## AANTEKENEN
Technische Universiteit Eindhoven College van Bestuur t.a.v. de heer ir. Chr.J. Huyskens Postbus 513 5600 MB  EINDHOVEN
Postbus 90801 2509 LV Den Haag Anna van Hannoverstraat 4 Telefoon (070)   333 44 44 Telefax (070)   333 40 41
Uw brief SBD 04-367 d.d. 18 november 2004
Ons kenmerk AI/IO/BES/gh nr. 2004/84161
Doorkiesnummer
(070) 333 5535
Onderwerp
Besluit stralingsbescherming; vergunning
Datum
8 december 2004
Contactpersoon
Naar aanleiding van de desbetreffende aanvraag om een vergunning ingevolge het Besluit stralingsbescherming, doe ik u hierbij, mede namens de Staatssecretaris van Volkshuisvesting, Ruimtelijke Ordening en Milieubeheer, mijn beschikking, onder datum en nummer als deze toekomen.
Ik vestig er de aandacht op dat de interne situatie waarop deze vergunning, welke geldig is tot 1 juli 2005, betrekking heeft, slechts mag worden gewijzigd nadat de vergunning aan de nieuwe situatie is aangepast. In geval van wijziging van de naam en/of het adres van de vergunninghouder c.q. de locatie dient daarvan mededeling aan mij te worden gedaan.
Wellicht ten overvloede wijs ik u erop dat uiteraard moet worden voldaan aan de bepalingen van het Besluit stralingsbescherming.
Ten slotte maak ik u erop attent dat ingevolge artikel 50 van de Kernenergiewet, de bepalingen van hoofdstuk 20 van de Wet milieubeheer op de onderhavige beschikking van toepassing zijn.
Overeenkomstig de Algemene wet bestuursrecht kan tegen dit besluit bezwaar worden gemaakt. Daartoe moet binnen zes weken na de datum van de verzending van dit besluit een bezwaarschrift worden ingediend bij de Staatssecretaris van Sociale Zaken en Werkgelegenheid, t.a.v. de Arbeidsinspectie, afdeling Juridische Zaken, Postbus 90801, 2509 LV 's-Gravenhage.
In het bezwaarschrift moet worden aangegeven waarom het besluit niet juist gevonden wordt. Verzocht wordt bij het bezwaarschrift een kopie van deze brief en eventuele andere op de zaak betrekking hebbende stukken te voegen.
de Staatssecretaris van Sociale Zaken en Werkgelegenheid, namens deze: de Directeur Inspectieondersteuning,
P.M.A. Bruls</t>
  </si>
  <si>
    <t>Autoriteit_Persoonsgegevens__https___www.autoriteitpersoonsgegevens.nl_uploads_imported_besluit_vergunning_collectief_winkelverbod_elzas_passage.txt::Besluitvormend Orgaan</t>
  </si>
  <si>
    <t>Autoriteit Persoonsgegevens [15381:15408]</t>
  </si>
  <si>
    <t>[...] waarschrift indienen, zie www.autoriteitpersoonsgegevens.nl. onder het kopje 'Bezwaar maken tegen een besluit'. Het indienen van een bezwaarschrift schort de werking van dit besluit niet op. Den Haag, 6 juli 2022 Autoriteit Persoonsgegevens, Overeenkomstig het door de Autoriteit Persoonsgegevens genomen besluit, ir. C.M. Schut, MPA Directeur Systeemtoezicht, Beveiliging en Technologie &lt;!-- image --&gt; Datum 6 juli 2022 ## Ons kenmerk z2022- [...]</t>
  </si>
  <si>
    <t>Autoriteit_Persoonsgegevens__https___www.autoriteitpersoonsgegevens.nl_uploads_imported_besluit_vergunning_collectief_winkelverbod_elzas_passage.txt::Rechtshandeling</t>
  </si>
  <si>
    <t>## DE MINISTER VAN VOLKSHUISVESTING, RUIMTELIJKE ORDENING EN MILIEUBEHEER
Mede namens de minister van Economische Zaken en de minister van Sociale Zaken en Werkgelegenheid en in overeenstemming met de minister van Verkeer en Waterstaat;
Gezien het verzoek d.d. 7 april 2010 en de aanvulling daarop d.d. 26 mei 2010 van de Centrale Organisatie voor Radioactief Afval (COVRA) N.V. te Vlissingen om een vergunning als bedoeld in artikel 15, onder a, van de Kernenergiewet;
Gelet op de artikelen 15-19 van de Kernenergiewet, op het bepaalde in het Besluit vervoer splijtstoffen, ertsen en radioactieve stoffen en op de Regeling vervoer over land van gevaarlijke stoffen (VLG/ADR);
Overwegende, dat bij de aanvraag al de gegevens zijn overlegd die essentieel zijn voor de beoordeling van de toelaatbaarheid van de te vergunnen handelingen;
Overwegende, dat de in de aanvraag bedoelde handelingen voorkomen in bijlage 1 (gerechtvaardigde handelingen en werkzaamheden) van de Regeling bekendmaking rechtvaardiging gebruik van ioniserende straling;
Overwegende, dat het nut van het in de aanvraag aangegeven vervoer opweegt tegen de nadelige gevolgen ervan voor mensen, dieren, planten en goederen;
Overwegende voorts dat de te vervoeren stoffen worden gebruikt vanwege de specifieke eigenschappen van die stoffen;
Overwegende, dat het ALARA beginsel is toegepast in het kader van de beoordeling van de aanvraag en dat een aantal voorschriften aan de vergunning zijn verbonden om de blootstelling aan straling of besmetting van mensen, planten, dieren en goederen te voorkomen dan wel zo veel mogelijk te beperken;
Overwegende, dat het voorgaande tot de conclusie leidt dat de in de aanvraag beschreven maatregelen en de aan de vergunning verbonden voorschriften voldoende vertrouwen bieden dat de stralingsbelasting voor werknemers en omgeving zo laag zal blijven als redelijkerwijs mogelijk is;
Gelet op artikel 20.5 van de Wet milieubeheer;
Overwegende, dat om redenen van continuïteit van werkzaamheden in het onderhavige geval een zo spoedig mogelijke vervoer van de bedoelde splijtstoffen naar de plaats van bestemming noodzakelijk is.
## B E S L U I T :
Aan de Centrale Organisatie Voor Radioactief Afval (COVRA) N.V., Spanjeweg 1 te Vlissingen-Oost, wordt vergunning verleend voor het vervoeren over de weg over Nederlands grondgebied en het aansluitend buiten Nederlands grondgebied (doen) brengen van de volgende zending:
aantal zendingen :
max. 1;
aard van de stof :
uranium-238;
gewicht U-totaal per verpakking :
max. 8300 kg;
hoeveelheid verpakking per zending :
max. 1 verpakking met in totaal max. 8300 kg uranium (in de vorm van besmet staalschroot) zich bevindend in 20ft ISO container;
verrijkingsgraad :
0%;
fysische toestand :
vast;
chemische toestand :
metaal;
totale activiteit per verpakking :
max. 91 megabecquerel (MBq).
afkomstig van :
Cronimet Holland B.V. te Moerdijk;
bestemd voor :
Cronimet Legierungen Dortmund GmbH te Dortmund (Duitsland);
vervoerder over de weg :
de vergunninghouder;
type verpakking
:
IP 2 (type 20ft ISO container);
stralingscategorie :
I-wit;
transportindex :
max. 1 per verpakking.
Aan deze vergunning, waarvan de aanvraag en de daarbij behorende stukken deel uit maken, worden de hierna volgende voorschriften verbonden:
1. de colli dienen verzegeld te worden vervoerd dan wel in afgesloten en verzegelde laadruimten, vrachtverpakkingen en/of verpakkingseenheden;
2. van het juiste tijdstip van het transport dient zo spoedig mogelijk, doch uiterlijk 2 werkdagen schriftelijk vòòraf kennis te worden gegeven aan:
3. -de VROM-Inspectie Kernfysische Dienst te Den Haag (tel. 070-339 3888 of fax 070-339 1887, tel.nr. buiten kantooruren 070- 3832425);
4. -het team Stralingsbescherming van Agentschap NL (faxnummer 088-6029023);
5. -de Inspectie Verkeer en Waterstaat sector Handhaving (e-mail gsinfo@ivw.nl);
3. de vergunninghouder dient de aankomst van de zending op de uiteindelijke plaats van bestemming zo spoedig mogelijk, doch binnen kantooruren, te melden aan het vergunningverlenend gezag;
4. het vervoermiddel dat het materiaal transporteert dient te beschikken over een telecommunicatievoorziening, die goedgekeurd is door het Ministerie van Economische Zaken of te beschikken over een mobiele en/of satelliettelefoon waarmee direct contact te leggen is met de in de voorschrift 3 genoemde instanties;
8. 5.
9. de vergunninghouder dient erop toe te zien dat er tijdens het vervoer ten minste twee personen aanwezig zijn. De vergunninghouder dient zich er van te verzekeren dat de bemanning van het vervoermiddel dat het
10. materiaal transporteert voldoet aan de eisen van vakbekwaamheid die in de vervoerstak gelden voor het vervoer van gevaarlijke stoffen;
## financiële zekerheidstelling:
6. met het oog op financiële zekerheidstelling, zoals bedoeld in artikel 4 van het Besluit vervoer splijtstoffen, ertsen en radioactieve stoffen mag het vervoer over Nederlands grondgebied slechts geschieden indien degene, die aansprakelijk is voor schade ter dekking van zijn aansprakelijkheid een verzekering of andere financiële zekerheid heeft als in dat besluit bedoeld. Een afschrift van de verzekering of andere financiële zekerheid dan wel een ander bewijs dat aan dit voorschrift is voldaan dient bij de vervoersdocumenten aanwezig te zijn;
## stralenbescherming:
7. de vergunninghouder dient ervoor zorg te dragen dat blootstelling van personen aan straling, zoveel als redelijkerwijs mogelijk is, wordt voorkomen en geen stralingsdosis kan worden ontvangen die meer dan de maximaal toegestane dosis per jaar tot gevolg heeft;
8. het vervoer dient onderworpen te zijn aan een stralingsbeschermingsprogramma dat systematische voorzorgen bevat die voorzien in een adequate beschouwing van beschermingsmaatregelen tegen straling.
De aard en omvang van de maatregelen moet in verhouding staan met de grootte en waarschijnlijkheid van blootstelling aan straling.
Bescherming en veiligheid moeten worden geoptimaliseerd teneinde de grootte van individuele doses, het aantal blootgestelde personen en de waarschijnlijkheid van blootstelling zo laag wordt gehouden als redelijkerwijs mogelijk is, waarbij economische en sociale factoren in aanmerking worden genomen;
## algemeen:
9. het transport dient plaats te vinden langs de kortst mogelijke route, waarbij zoveel mogelijk gebruik wordt gemaakt van autowegen en autosnelwegen. Het transport gaat van Cronimet Nederland B.V. te Moerdijk naar Cronimet Legierungen Dortmund GmbH te Dortmund (Duitsland) langs de volgende route: A16, A58, A67 en grensovergang Venlo. Het Korps Landelijke Politiediensten kan, in geval omstandigheden, gelet op de te beschermen belangen als bedoeld in artikel 15c, derde lid, van de Kernenergiewet en artikel 7 van het Besluit vervoer, splijtstoffen, ertsen en radioactieve stoffen, het noodzakelijk maken, bij aanvang of tijdens transport de te volgen route wijzigen;
10. alle betrokken bepalingen van de VLG/ADR dienen in acht genomen te worden;
11. de vergunninghouder is verplicht de zending te doen vergezellen van (een kopie van) deze vergunning;
12. het vervoer dient plaats te vinden in de periode vóór 31 juli 2010;
13. de vergunninghouder en de namens hem optredende personen volgen de instructies op van en namens het vergunningverlenend gezag;
14. bij vermissing van c.q. een ongeval met colli die splijtstoffen bevatten dienen onmiddellijk te worden gewaarschuwd:
7. -de Arbeidsinspectie te Utrecht (tel. 0800 - 27 00 00 0);
8. -de VROM Inspectie Kernfysische Dienst (tel.nr. 070-339 3888 of fax 070-339 1887);
9. -buiten kantooruren het alarmincidentennummer (tel.nr. 070-383 2425).
Deze beschikking wordt terstond van kracht.
's-Gravenhage,  2 juni 2010 de minister van Volkshuisvesting, Ruimtelijke Ordening en Milieubeheer, mede namens de minister van Economische Zaken, de minister van Sociale Zaken en Werkgelegenheid en in overeenstemming met de minister van Verkeer en Waterstaat, voor deze: de Algemeen Directeur van Agentschap NL, o.l. de Opdrachtmanager Stralingsbescherming en Samenleving,
## AANTEKENEN
Centrale Organisatie voor Radioactief Afval (COVRA) N.V. Spanjeweg 1 (havennummer 8601) Industrieterrein Vlissingen-Oost Postbus 202 4380 AE VLISSINGEN
## Datum
Contactpersoon
Kenmerk
2 juni 2010
11375 2010/0852-07
## Onderwerp
Besluit vervoer splijtstoffen, ertsen en radioactieve stoffen, vervoer- en uitvoervergunning (splijtstoffen/ertsen)
Naar aanleiding van de desbetreffende aanvraag een vergunning voor de vervoer en uitvoer van radioactieve stoffen ingevolge het Besluit vervoer splijtstoffen, ertsen en radioactieve stoffen, doe ik u hierbij, mede namens de minister van Economische Zaken en de minister van Sociale Zaken en Werkgelegenheid en in overeenstemming met de minister van Verkeer en Waterstaat, mijn beschikking, welke geldig is tot 31 juli 2010, onder datum en nummer als deze toekomen.
Wellicht ten overvloede wijs ik u erop dat uiteraard moet worden voldaan aan de bepalingen van het Besluit vervoer splijtstoffen, ertsen en radioactieve stoffen, met name die omtrent de verpakkingen en de daarop aan te brengen opschriften en gevaarsetiketten.
Verder maak ik u erop attent dat ingevolge artikel 50 van de Kernenergiewet, de bepalingen van hoofdstuk 20 van de Wet milieubeheer op de onderhavige beschikking van toepassing zijn.
Overeenkomstig de Algemene wet bestuursrecht kan tegen dit besluit bezwaar worden gemaakt. Daartoe moet binnen zes weken na de datum van de verzending van dit besluit een bezwaarschrift worden ingediend bij Agentschap NL, afdeling Juridische Zaken, Postbus 93144, 2509 AC Den Haag.
In het bezwaarschrift moet worden aangegeven waarom het besluit niet juist gevonden wordt. Verzocht wordt bij het bezwaarschrift een kopie van deze brief en eventuele andere op de zaak betrekking hebbende stukken te voegen.
Overeenkomstig artikel 20.5 van de Wet milieubeheer wordt deze beschikking terstond van kracht. Voor algemene inlichtingen over het indienen van het bezwaarschrift kunt u bij de Afdeling voorlichting van het Ministerie van Justitie, Postbus 20301, 2500 EH 's-Gravenhage, een vouwblad aanvragen over de voorzieningsmogelijkheden op grond van de Algemene wet bestuursrecht.
## Agentschap NL
NL Milieu en Leefomgeving Juliana van Stolberglaan 3 Postbus 93144 2509 AC  Den Haag
Telefoon
+31 88 602 58 12
Telefax
+31 88 602 90 23
Internet
www.AgentschapNL.nl
Doorkiesnummer
0 88 602 55 49
E-mail
stralingsbescherming@Agenschapnl.nl
## Uw kenmerk
d.d. 7-2-2010, ref.: RL/JL/100166 en d.d. 26-5-2010
Ten slotte deel ik u mede dat een aanvraag om verlenging van de vergunning ten minste veertien (14) weken vóór de expiratiedatum van de vergunning dient te worden aangevraagd. Aanvragen voor nieuwe vergunningen voor de in-, uit- en doorvoer van splijtstoffen dienen ook minimaal veertien (14) weken voor de geplande transportdatum te worden ingediend.
De minister van Volkshuisvesting, Ruimtelijke Ordening en Milieubeheer, mede namens de minister van Economische Zaken, de minister van Sociale Zaken en Werkgelegenheid en in overeenstemming met de minister van Verkeer en Waterstaat, voor deze: de Algemeen Directeur van Agentschap NL, o.l. de Opdrachtmanager Stralingsbescherming en Samenleving,
drs. M.A. Verzandvoort</t>
  </si>
  <si>
    <t>verlening [14576:14586]</t>
  </si>
  <si>
    <t>verlening [14576:14585]</t>
  </si>
  <si>
    <t>Autoriteit_Persoonsgegevens__https___www.autoriteitpersoonsgegevens.nl_uploads_imported_besluit_vergunning_collectief_winkelverbod_elzas_passage.txt::Rechtsobject</t>
  </si>
  <si>
    <t>vergunning [14594:14605]</t>
  </si>
  <si>
    <t>vergunning [14594:14604]</t>
  </si>
  <si>
    <t>Autoriteit_Persoonsgegevens__https___www.autoriteitpersoonsgegevens.nl_uploads_imported_besluit_vergunning_collectieve_horecaontzegging_almelo.txt::Ontvanger</t>
  </si>
  <si>
    <t>Autoriteit_Persoonsgegevens__https___www.autoriteitpersoonsgegevens.nl_uploads_imported_besluit_vergunning_collectieve_horecaontzegging_almelo.txt</t>
  </si>
  <si>
    <t>Koninklijke Horeca Nederland [408:436]</t>
  </si>
  <si>
    <t>[...] den van de verwerking 'Collectieve Horecaontzegging' door de in de bijlage genoemde horecaondernemers van het horecagebied Almelo - z202204098 ## 1 Inleiding: aanleiding vergunningaanvraag 1. Op 30 juni 2022 heeft Koninklijke Horeca Nederland (hierna: KHN) - ingevolge artikel 33, vierde lid, aanhef en onder c, van de Uitvoeringswet Algemene verordening gegevensbescherming (UAVG) - bij de Autoriteit Persoonsgegevens (AP) een bulkvergunningaanvraag ingediend n [...]</t>
  </si>
  <si>
    <t>Autoriteit_Persoonsgegevens__https___www.autoriteitpersoonsgegevens.nl_uploads_imported_besluit_vergunning_collectieve_horecaontzegging_almelo.txt::Besluitvormend Orgaan</t>
  </si>
  <si>
    <t>Autoriteit Persoonsgegevens [16284:16311]</t>
  </si>
  <si>
    <t>[...] rschrift indienen, zie www.autoriteitpersoonsgegevens.nl. onder het kopje 'Bezwaar maken tegen een besluit'. Het indienen van een bezwaarschrift schort de werking van dit besluit niet op. Den Haag, 6 oktober 2022 Autoriteit Persoonsgegevens, Overeenkomstig het door de Autoriteit Persoonsgegevens genomen besluit, ir. C.M. Schut, MPA Directeur Systeemtoezicht, Beveiliging en Technologie 3 Deze deelnemerslijst wordt door de KHN [afdeling] via een [...]</t>
  </si>
  <si>
    <t>Autoriteit_Persoonsgegevens__https___www.autoriteitpersoonsgegevens.nl_uploads_imported_besluit_vergunning_collectieve_horecaontzegging_almelo.txt::Rechtshandeling</t>
  </si>
  <si>
    <t>## No. 2010/0481-12
## DE MINISTER VAN VOLKSHUISVESTING RUIMTELIJKE ORDENING EN MILIEUBEHEER
Mede namens de minister van Sociale Zaken en Werkgelegenheid en de minister van Economische Zaken;
Gezien de aanvraag d.d. 22 februari 2010 van Nuova XGamma SRL te Mercato Saraceno (Italië), om een vergunning als bedoeld in artikel 15, onder a. en 29 van de Kernenergiewet en als bedoeld in hoofdstuk 4, artikel 23, van het Besluit stralingsbescherming;
Gelet op de artikelen 15-20, 29-31 en 34 van de Kernenergiewet, het bepaalde in hoofdstuk 4 van het Besluit stralingsbescherming en het bepaalde in het Besluit kerninstallaties, splijtstoffen en ertsen;
Overwegende, dat de in de aanvraag bedoelde handelingen voorkomen in bijlage 1 (gerechtvaardigde handelingen en werkzaamheden) van de Regeling bekendmaking rechtvaardiging gebruik van ioniserende straling;
Overwegende, dat de aanvrager in voldoende mate stralingshygiënische voorzieningen heeft getroffen;
Overwegende, dat de aan de vergunning te verbinden voorschriften voldoende waarborg bieden, dat mensen, dieren, planten en goederen van de handelingen met radioactieve stoffen en ioniserende straling uitzendende toestellen schade ondervinden die zo laag als redelijkerwijs mogelijk is;
Overwegende, dat toepassing is gegeven aan het bepaalde in hoofdstuk 13 van de Wet milieubeheer, juncto afdeling 3.4 t/m 3.7 van de Algemene wet Bestuursrecht;
Overwegende, dat naar aanleiding van de aanvraag en de ontwerpbeschikking geen zienswijzen zijn ingediend.
## B E S L U I T :
Aan Nuova XGamma SRL, Via Einstein 16 te Mercato Saraceno (Italië) wordt vergunning verleend voor:
- -het verrichten van handelingen met ioniserende straling uitzendende toestellen;
- -het verrichten van handelingen met radioactieve stoffen;
- -het verrichten van handelingen met splijtstoffen (verarmd uranium).
## In deze vergunning wordt verstaan onder:
- -bergplaats:
Ruimte, uitsluitend bedoeld voor de opslag van radioactieve stoffen en splijtstoffen. De voorschriften die gelden ten aanzien van de bergplaats worden verder uitgewerkt in deze vergunning;
- -besmettingscontrole:
Onder een besmettingscontrole wordt verstaan een controle van een voorwerp (niet zijnde een ingekapselde bron) op radioactieve besmetting. Bij deze controle wordt nagegaan of zich op de betreffende plaatsen radioactiviteit bevindt. Bij besmettingscontrole van een bronhouder worden die plaatsen gecontroleerd waarvan wordt verwacht dat in geval van een defect van de bron het eerst besmetting zal optreden;
- -bron: Toestel dan wel radioactieve stof;
- -broncertificaat: Document, opgemaakt door de producent van de ingekapselde bron, waarop de belangrijkste gegevens
zijn vermeld. In ieder geval moeten activiteit, nuclide, gegevens van de capsule, classificatie volgens ISO 2919:1999 en bronnummer van de ingekapselde bron worden vermeld. Van bronnen die vóór 1995 zijn geproduceerd moeten de gegevens worden vastgelegd voor zover ze beschikbaar zijn of te achterhalen zijn;
Behuizing van een ingekapselde bron, waaruit deze niet zonder hulpgereedschap is te verwijderen;
- -bronhouder:
- -deskundigheidsniveau:
Niveau als bedoeld in artikel 9, tweede lid, van het Besluit stralingsbescherming;
- -diploma ioniserende straling:
- -effectieve dosis:
Diploma als bedoeld in artikel 132, tweede lid, van het Besluit stralingsbescherming;
De som van de gewogen equivalente doses in alle verschillende organen en weefsels ten gevolge van inwendige en uitwendige bestraling;
- -handeling (met een radioactieve stof en/of met een toestel):
Het bereiden, voorhanden hebben, toepassen of zich ontdoen van een kunstmatige bron of van een natuurlijke bron, voor zover deze natuurlijke bron is of wordt bewerkt met het oog op zijn radioactieve eigenschappen, dan wel het gebruiken of voorhanden hebben van een toestel,
uitgezonderd bij een interventie, een ongeval of een radiologische noodsituatie;
Het voorhanden hebben van splijtstoffen, uitgezonderd bij een interventie, een ongeval of een radiologische noodsituatie;
- -handeling met een splijtstof:
- -ingekapselde bron:
Radioactieve stoffen die zijn ingebed in of gehecht aan vast dragermateriaal of zijn omgeven door een omhulling van materiaal met dien verstande dat hetzij het dragermateriaal hetzij de omhulling voldoende weerstand biedt om onder normale gebruiksomstandigheden elke verspreiding van radioactieve stoffen te voorkomen;
- -lektest:
Een lektest is een controle van de behuizing van een radioactieve stof (vaak een capsule als ingekapselde bron) op radioactieve besmetting. Een bron wordt verondersteld lek te zijn wanneer een afgewreven activiteit van meer dan 185 becquerel wordt aangetoond;
-locatie: De inrichting als aangewezen krachtens artikel 1.1, derde lid, van de Wet milieubeheer of plaats, waar een handeling of werkzaamheid wordt verricht, zoals is beschreven in de aanvraag;
-radioactieve besmetting: Onder radioactieve besmetting wordt verstaan een alfa besmetting van 0,4 becquerel (Bq) of meer per cm 2 of een bèta/gamma besmetting van 4 Bq of meer per cm 2 .
Het betreft hier een afgewreven activiteit, waarbij het volgende in aanmerking wordt genomen:
- ∗ De detectie-limiet van de meting bedraagt voor alle nucliden maximaal 2 Bq. Deze waarde geldt dus zowel voor alfa als voor bèta/gamma bronnen. Hierbij is uitgegaan van technisch redelijk haalbare detectiegrenzen van meetapparatuur en niet van radiotoxiciteit. Dit omdat anders voor de minder toxische stoffen een besmetting moet worden toegestaan, die vanuit het ALARAprincipe opgeruimd had moeten worden;
- ∗ Het oppervlak dat wordt afgewreven bedraagt circa 5 cm 2 ;
- -stralingsincident: Ongewenste gebeurtenis die direct of op termijn een onvoorziene radioactieve besmetting en/of
blootstelling aan ioniserende straling van personen zou kunnen veroorzaken (bijvoorbeeld: brand, defecte apparatuur, vermissing of ongeval);
- -terreingrens:
De begrenzing van de locatie, zoals aangeduid op de plattegrond (figuur 1.1van de aanvraag);
- -toezichthoudend deskundige: Stralingsdeskundige als bedoeld in artikel 9, eerste lid, van het Besluit stralingsbescherming, die zelfstandig handelingen met ioniserende straling uitvoert of onder wiens toezicht handelingen met ioniserende straling worden uitgevoerd;
- -
- verarmd uranium: Splijtstof in de vorm van uranium met een lager massapercentage uranium-235 dan in natuurlijk uranium;
- -voldoende instructie: Instructie als bedoeld in de artikelen 15 en 16 van het Besluit stralingsbescherming, gericht op de handeling waarbij de werknemer betrokken is;
- -waarschuwingsteken: Waarschuwingsteken voor gevaar van besmetting of voor het kunnen ontvangen van een dosisequivalent, als bedoeld in artikel 20, eerste lid, van het Besluit stralingsbescherming, verder uitgewerkt in de Regeling waarschuwingssignalering ioniserende straling.
## Deze vergunning is uitsluitend van toepassing voor het volgende:
## A. RADIOACTIEVE STOFFEN
Binnen de locatie van Nuova XGamma SRL, gelegen aan de Antarcticaweg 185 te Rotterdam (Maasvlakte-RT), mogen met radioactieve stoffen uitsluitend handelingen verrichten ten behoeve van opslag binnen de volgende omvang:
1. twee ingekapselde bronnen iridium-192 met een activiteit van maximaal 1,5 terabecquerel (TBq) per bron en een gezamenlijke activiteit van maximaal 3 TBq.
## B. TOESTELLEN
Binnen de locatie van Nuova XGamma SRL, gelegen aan de Antarcticaweg 185 te Rotterdam (Maasvlakte-RT), mogen met toestellen uitsluitend handelingen worden verricht ten behoeve van opslag binnen de volgende omvang:
1. vijf toestellen met een maximale hoogspanning van maximaal 320 kilovolt.
## C. VERARMD URANIUM
Binnen de locatie van Nuova XGamma SRL, gelegen aan de Antarcticaweg 185 te Rotterdam (Maasvlakte-RT), mogen met verarmd uranium, als vast daarvan deel uitmakend afschermingsmateriaal van goedgekeurde type B(U)-containers, uitsluitend handelingen worden verricht ten behoeve van opslag binnen de volgende omvang:
1. 25 kg verarmd uranium.
## Vergunningsdocumenten
De op 23 februari 2010 ingediende aanvraag met de daarbij behorende bijlagen maken deel uit van deze vergunning.
## Voorschriften
Aan deze vergunning worden de hierna volgende voorschriften verbonden:
## I. Algemeen
- a. voor zover in het vergunde of in de voorschriften niet anders is bepaald worden de handelingen verricht overeenkomstig de aanvraag en bijlagen, voor zover in overeenstemming met artikel 44 van het Besluit stralingsbescherming.
## II. Organisatie
- a. de ondernemer zorgt ervoor dat de handelingen met ioniserende straling plaatsvinden binnen de kaders en voorschriften van deze vergunning door of onder toezicht van een toezichthoudend deskundige die ten minste het diploma ioniserende straling niveau 4A of een gelijkwaardig diploma heeft behaald;
- b. de ondernemer zorgt ervoor dat deze toezichthoudend deskundige schriftelijk gemandateerd is voor deze verantwoordelijkheid en dat hij zo vaak als nodig, en ten minste eenmaal per jaar, verantwoording aan hem aflegt door middel van een rapportage.
## III. Ingekapselde bronnen en verarmd uranium
## A. Algemeen
- a. een binnenkomende zending met een ingekapselde bron en verarmd uranium wordt rechtstreeks naar de daarvoor bestemde ruimte gebracht. Zij wordt daar door of onder toezicht van ter zake kundig personeel uitgepakt en gecontroleerd. Indien de verpakking beschadigd is of wanneer tijdens het transport een incident heeft plaatsgevonden, dit ter beoordeling door de toezichthoudend deskundige, wordt de verpakking voorafgaand aan het uitpakken gecontroleerd op radioactieve besmetting. Wanneer de zending met een ingekapselde bron en verarmd uranium na werktijd wordt afgeleverd, wordt deze direct opgeslagen in een bergplaats;
- b. retouremballage van een zending met een ingekapselde bron en verarmd uranium wordt, alvorens zij de locatie verlaat, zowel in- als uitwendig ontdaan van radioactieve besmetting. Aanduidingen of waarschuwingstekens van radioactiviteit zijn hierop niet waarneembaar;
- c. de constructie van een ingekapselde bron voldoet aan de eisen daaraan gesteld in de International Standard ISO 2919:1999;
- d. indien, in tegenstelling tot hetgeen hierboven is voorgeschreven, de ingekapselde bron niet hoeft te voldoen aan de voorschriften in de International Standard ISO 2919:1999 of daaraan niet kan voldoen, dan is de constructie van de ingekapselde bron zodanig dat verspreiding van radioactiviteit wordt voorkomen;
- e. de ingekapselde bron gaat vergezeld van een broncertificaat waarop de specifieke gegevens van de ingekapselde bron zijn weergegeven;
- f. de omstandigheden waaronder het feitelijk gebruik van de ingekapselde bron plaatsvindt, mogen niet zwaarder zijn dan waarvoor deze is ontworpen;
- g. de ingekapselde bron is niet lek;
- h. het beheer van de ingekapselde bron is zodanig dat steeds bekend is wat de gegevens van iedere bron zijn. De ingekapselde bron is daartoe, indien praktisch mogelijk, voorzien van een serienummer.
## B. Handelingen
- a. de bronnen en het verarmd uranium zijn zodanig in de bergplaats opgeslagen dat het gevaar voor beschadiging en besmetting zo klein mogelijk is;
- b. in de nabijheid van de bronnen en het verarmd uranium zijn geen brandbare, brandbevorderende of explosieve stoffen aanwezig, tenzij hun aanwezigheid voor de bedrijfsvoering noodzakelijk is.
## IV. Bergplaats
- a. de bergplaats is uitsluitend bestemd voor de opslag van radioactieve stoffen en verarmd uranium en voldoet aan de volgende eisen:
2. -de effectieve dosis aan de buitenzijde is zo laag als redelijkerwijs mogelijk is. In ieder geval wordt op geen enkel punt op 0,1 meter afstand van het oppervlak van de bergplaats een dosisequivalenttempo gemeten van meer dan 1 microsievert per uur;
3. -de buitenzijde van de bergplaats is voorzien van een duidelijk leesbaar en onuitwisbaar opschrift "RADIOACTIEVE STOFFEN" en van een duidelijk zichtbaar waarschuwingsteken;
4. -de bergplaats is deugdelijk afgesloten en kan uitsluitend geopend worden door de ondernemer en personen die daartoe van hem de bevoegdheid hebben gekregen;
5. -de constructie van de bergplaats waarborgt een brandwerendheid van ten minste 60 minuten. Hieronder wordt verstaan dat alle bouwdelen bij verhitting (volgens NEN 6068) hun functie ten minste 60 minuten blijven vervullen en dat de constructieonderdelen van de bergplaats voldoen aan klasse 1 als bedoeld in NEN 6065. Een vaste bergplaats is bovendien bekend bij de plaatselijke brandweer.
## V. Milieubelasting
- a. de door de vergunde handelingen veroorzaakte bijdrage aan de effectieve dosis buiten de locatie is zo laag als redelijkerwijs mogelijk is. De multifunctionele individuele dosis (MID) overschrijdt in geen geval de waarde van 10 microsievert per jaar.
## VI. Controle, registratie en meldingen
## A. Algemeen
- a. wijzigingen in de gegevens die vermeld zijn bij de aanvraag worden op grond van artikel 44, achtste lid, van het Besluit stralingsbescherming, gemeld aan Agentschap NL, Team Stralingsbescherming, Postbus 93144, 2509 AC 's-Gravenhage, onder vermelding van de vergunning waar de wijziging betrekking op heeft;
- b. door de ondernemer worden de gegevens die betrekking hebben op de stralingshygiëne, ondergebracht in een overzichtelijk beheersysteem. Dit systeem dat ook de in deze vergunning genoemde registraties en rapportages bevat, wordt ten minste vijf jaar bewaard;
- c. een afschrift van de vergunning is op de plaats waar de handelingen plaatsvinden en op het kantoor van de toezichthoudend deskundige aanwezig.
## B. Radioactieve stoffen en verarmd uranium
- a. in een speciaal daarvoor bestemd register, dat zich in of nabij de bergplaats bevindt, wordt de hoeveelheid radioactiviteit en de hoeveelheid verarmd uranium die zich in de bergplaats bevindt, aangetekend. Elke uitgifte of ontvangst van de ingekapselde bron en/of verarmd uranium uit of in de bergplaats wordt meteen in dit register aangetekend. Bij uitgifte wordt bovendien de bestemming aangetekend.
## VII. Stralingsincident
- a. bij een stralingsincident worden onverwijld zodanige maatregelen getroffen, dat (verdergaande) besmetting en/of blootstelling van personen wordt tegengegaan;
- b. bij een stralingsincident worden terstond de betrokken inspecties gewaarschuwd:
3. -de Arbeidsinspectie, en
Dit kan hetzij rechtstreeks hetzij via het alarm-incidentennummer: 070-3832425 van het ministerie van Volkshuisvesting, Ruimtelijke Ordening en Milieubeheer, dat 24 uur per dag bereikbaar is.
- -de VROM-Inspectie.
## VIII. Beëindiging
- a. indien definitief geen handelingen meer met de bronnen zullen worden verricht, wordt hiervan binnen 4 weken mededeling gedaan aan de minister van Volkshuisvesting, Ruimtelijke Ordening en Milieubeheer. In dat geval ontdoet de vergunninghouder zich zo spoedig mogelijk, doch in ieder geval uiterlijk binnen twee jaar van de bronnen. Dit ontdoen geschiedt alleen overeenkomstig het gestelde in artikel 37, vijfde, zevende en achtste lid, van het Besluit stralingsbescherming. Na afvoer van de bronnen zal de vergunning worden ingetrokken. Tot dat tijdstip is een afschrift van de vergunning in de betrokken locatie aanwezig.
's-Gravenhage, 20 juli 2010 de minister van Volkshuisvesting, Ruimtelijke Ordening en Milieubeheer, mede namens de minister van Sociale Zaken en Werkgelegenheid en de minister van Economische Zaken, voor deze: de Algemeen Directeur van Agentschap NL, o.l. de Opdrachtmanager Stralingsbescherming en Samenleving,
drs. M.A. Verzandvoort
## AANTEKENEN
Nuova XGamma SRL Att. Mr. P. Rinaldi Via Einstein 16 47025 Mercato Saraceno (FC) (Italie)
NL Milieu en Leefomgeving Juliana van Stolberglaan 3 Postbus 93144 2509 AC  Den Haag
Telefoon
+31 88 602 58 12
Telefax
+31 88 602 90 23
Internet
www.agentschapnl.nl
Doorkiesnummer Doorkiesnummer 088 602 55 49 E-mail stralingsbescherming@agentschapnl.nl
Datum
Contactpersoon
Kenmerk
Uw kenmerk
20 juli 2010
2010/0481-12
## Onderwerp
Besluit stralingsbescherming, vergunning
Naar aanleiding van de desbetreffende aanvraag om een vergunning ingevolge het Besluit stralingsbescherming, doe ik u hierbij, mede namens de minister van Sociale Zaken en Werkgelegenheid en de minister van Economische Zaken, mijn beschikking onder datum en nummer als deze toekomen.
Ik vestig er de aandacht op dat de interne situatie waarop deze vergunning betrekking heeft, slechts mag worden gewijzigd nadat de vergunning aan de nieuwe situatie is aangepast. In geval van wijziging van de naam en/of het adres van de vergunninghouder c.q. de locatie dient daarvan mededeling aan mij te worden gedaan.
Ik wijs u erop dat het raadzaam is de plaatselijke brandweer op de hoogte te brengen van de aanwezigheid van radioactief materiaal in uw locatie aan de Antarcticaweg 185 te Rotterdam (Maasvlakte-RT). Bij eventuele brandbestrijding kan de brandweer bij het treffen van beschermingsmaatregelen bij voorbaat rekening houden met de radioactiviteitsgevaren.
Wellicht ten overvloede wijs ik u erop dat uiteraard moet worden voldaan aan de bepalingen van het Besluit stralingsbescherming.
Verder maak ik u erop attent dat ingevolge artikel 50 van de Kernenergiewet, de bepalingen van hoofdstuk 20 van de Wet milieubeheer op de onderhavige beschikking van toepassing zijn. Dit houdt onder meer in dat de beschikking pas van kracht wordt met ingang van de dag na het einde van de ter inzage legging als bedoeld in artikel 3:44 van de Algemene wet bestuursrecht.
Ingevolge het bepaalde in artikel 50 van de Kernenergiewet, kan binnen zes weken na voornoemde ter inzage legging beroep tegen de beschikking worden ingesteld door:
- a. de aanvrager,
- b. belanghebbenden, die een zienswijze hebben ingebracht overeenkomstig artikel 3:15 en 3:16 van de Algemene wet bestuursrecht, en
- c. enige andere belanghebbende, die aantoont dat hij redelijkerwijs niet in staat is geweest overeenkomstig artikel 3:15 en 3:16 van de Algemene wet bestuursrecht een zienswijze in te brengen.
## Agentschap NL
Het beroepschrift moet worden gericht aan de Afdeling Bestuursrechtspraak van de Raad van State, Kneuterdijk 22, 2514 EN 's-Gravenhage.
Overeenkomstig het gestelde in artikel 20.3 van de Wet milieubeheer kan, indien tegen de beschikking beroep wordt ingesteld, conform het gestelde in artikel 60a van de Wet op de Raad van State, een verzoek om schorsing van de beschikking, dan wel tot het treffen van een voorlopige voorziening, worden gedaan. In dat geval wordt de beschikking niet van kracht voordat op dat verzoek is beslist.
Het verzoek dient te worden gericht aan de voorzitter van de afdeling voor de geschillen van bestuur van de Raad van State, Kneuterdijk 22, 2514 EN 's-Gravenhage.
Ter voldoening aan het bepaalde in artikel 3:44 van de Algemene wet bestuursrecht, doe ik u hierbij tevens toekomen een exemplaar van de kennisgeving waarin de gegevens als bedoeld in het vierde lid van voornoemd artikel zijn vermeld.
de minister van Volkshuisvesting, Ruimtelijke Ordening en Milieubeheer, mede namens de minister van Sociale Zaken en Werkgelegenheid en de minister van Economische Zaken, voor deze: de Algemeen Directeur van Agentschap NL, o.l. de Opdrachtmanager Stralingsbescherming en Samenleving,
drs. M.A. Verzandvoort</t>
  </si>
  <si>
    <t>verlening [15476:15486]</t>
  </si>
  <si>
    <t>verlening [15476:15485]</t>
  </si>
  <si>
    <t>Autoriteit_Persoonsgegevens__https___www.autoriteitpersoonsgegevens.nl_uploads_imported_besluit_vergunning_collectieve_horecaontzegging_almelo.txt::Rechtsobject</t>
  </si>
  <si>
    <t>vergunning [15494:15505]</t>
  </si>
  <si>
    <t>vergunning [15494:15504]</t>
  </si>
  <si>
    <t>Autoriteit_Persoonsgegevens__https___www.autoriteitpersoonsgegevens.nl_uploads_imported_boete_transavia.txt::Ontvanger</t>
  </si>
  <si>
    <t>Transavia Airlines C.V.</t>
  </si>
  <si>
    <t>transavia airlines c.v</t>
  </si>
  <si>
    <t>Transavia Airlines C.V. [61253:61276]</t>
  </si>
  <si>
    <t>Transavia Airlines C.V. [368:391]</t>
  </si>
  <si>
    <t xml:space="preserve">No. 2010/1950-07
DE MINISTER VAN VOLKSHUISVESTING RUIMTELIJKE ORDENING EN MILIEUBEHEER
Mede namens de minister van Sociale Zaken en Werkgelegenheid;
Gezien de brief d.d. 1 september 2010 van Corus Staal B.V. (hierna te noemen Tata Steel IJmuiden B.V.) te Velsen-Noord (gemeente Velsen), strekkende tot wijziging van een vergunning als bedoeld in artikel 29 van de Kernenergiewet en als bedoeld in hoofdstuk 4, artikel 23, van het Besluit stralingsbescherming;
Gelet op de artikelen 29-31 en 34 van de Kernenergiewet en het bepaalde in hoofdstuk 4 van het Besluit stralingsbescherming;
Gelet op de d.d. 7 mei 1998, onder nr. 98/469 S, AI/CK/VCR/KEW, verleende vergunning, laatstelijk gewijzigd d.d. 18 juni 2009, onder nr. 2009/0991-06;
Overwegende, dat de naam van de vergunninghouder is gewijzigd;
Overwegende, dat de in de aanvraag bedoelde handelingen voorkomen in bijlage 1 (gerechtvaardigde handelingen en werkzaamheden) van de Regeling bekendmaking rechtvaardiging gebruik van ioniserende straling;
Overwegende, dat de aanvrager reeds eerder een overeenkomstige vergunning met betrekking tot dezelfde plaats was verleend en niet is te verwachten dat door gebruikmaking van de vergunning nadeliger gevolgen voor mensen, dieren, planten en goederen kunnen worden veroorzaakt dan bij de eerder verleende vergunning in aanmerking is genomen;
Gelet op artikel 20.5 van de Wet milieubeheer;
Overwegende, dat om redenen van continuïteit van werkzaamheden in het onderhavige geval een zo spoedig mogelijke inwerkingtreding van deze vergunning noodzakelijk is.
B E S L U I T :
De d.d. 7 mei 1998, onder nr. 98/469 S, AI/CK/VCR/KEW, verleende vergunning, laatstelijk gewijzigd d.d. 18 juni 2009, onder nr. 2009/0991-06, wordt gewijzigd, zodat deze thans luidt als volgt:
Aan Tata Steel IJmuiden B.V., Wenckebachstraat 1 te Velsen-Noord (gemeente Velsen), wordt vergunning verleend voor:
- -het verrichten van handelingen met ioniserende straling uitzendende toestellen.
- -het verrichten van handelingen met radioactieve stoffen;
## In deze vergunning wordt verstaan onder:
- -
- algemeen coördinerend deskundige: Stralingsdeskundige als bedoeld in artikel 9, eerste lid, van het Besluit stralingsbescherming, in de vergunningaanvraag aangeduid als voorzitter van het Committee Radiological Aspects IJmuiden (CRAY), die namens de ondernemer intern toestemming verleent voor handelingen met ioniserende straling, interne voorschriften opstelt en namens de ondernemer intern (onafhankelijk) toezicht en controle uitoefent op de naleving van de wettelijke bepalingen, de vergunningsvoorschriften en de interne voorschriften ten aanzien van alle handelingen met ingekapselde bronnen en ioniserende straling uitzendende toestellen en in die zin jegens de
ondernemer verantwoordelijk is voor alle toepassingen van ioniserende straling binnen het kader van de vergunning;
Ruimte, uitsluitend bedoeld voor de opslag van radioactieve stoffen. De voorschriften die gelden ten aanzien van de bergplaats worden verder uitgewerkt in deze vergunning;
- -bergplaats:
- -besmettingscontrole:
- -bewaakte zone:
Onder een besmettingscontrole wordt verstaan een controle van een voorwerp (niet zijnde een ingekapselde bron) op radioactieve besmetting. Bij deze controle wordt nagegaan of zich op de betreffende plaatsen radioactiviteit bevindt. Bij besmettingscontrole van een bronhouder worden die plaatsen gecontroleerd waarvan wordt verwacht dat in geval van een defect van de bron het eerst besmetting zal optreden;
Een ruimte wordt aangemerkt als bewaakte zone indien de door verblijf in die ruimte mogelijk in een kalenderjaar te ontvangen effectieve dosis hoger is dan 1 mSv en lager dan 6 mSv of de mogelijk in een kalenderjaar te ontvangen equivalente dosis hoger is dan:
- -50 mSv voor de huid, gemiddeld over enig blootgesteld huidoppervlak van 1 cm 2 , en lager dan:
- -15 mSv voor de ooglens, of
- -45 mSv voor de ooglens,
- -150 mSv voor handen, onderarmen, voeten en enkels;
- -150 mSv voor de huid, gemiddeld over enig blootgesteld huidoppervlak van 1 cm 2 , of
- -bron:
- -broncertificaat:
Toestel dan wel radioactieve stof;
Document, opgemaakt door de producent van de ingekapselde bron, waarop de belangrijkste gegevens zijn vermeld. In ieder geval moeten activiteit, nuclide, gegevens van de capsule, classificatie volgens ISO 2919:1999 en bronnummer van de ingekapselde bron worden vermeld. Van bronnen die vóór 1995 zijn geproduceerd moeten de gegevens worden vastgelegd voor zover ze beschikbaar zijn of te achterhalen zijn;
Behuizing van een ingekapselde bron, waaruit deze niet zonder hulpgereedschap is te verwijderen;
- -bronhouder:
-coördinerend deskundige: Stralingsdeskundige als bedoeld in artikel 9, eerste lid, van het Besluit stralingsbescherming, die jegens de ondernemer ervoor zorgt dat de handelingen met ioniserende straling plaatsvinden binnen de kaders en voorschriften van deze vergunning. Deze coördinerend deskundige coördineert tevens de handelingen van de toezichthoudend deskundigen;
Niveau als bedoeld in artikel 9, tweede lid, van het Besluit stralingsbescherming;
- -deskundigheidsniveau:
- -diploma ioniserende straling:
- -effectieve dosis:
Diploma als bedoeld in artikel 132, tweede lid, van het Besluit stralingsbescherming;
De som van de gewogen equivalente doses in alle verschillende organen en weefsels ten gevolge van inwendige en uitwendige bestraling;
Een ruimte wordt aangemerkt als gecontroleerde zone indien:
- -gecontroleerde zone:
- a. de door verblijf in die ruimte mogelijk in een kalenderjaar te ontvangen effectieve dosis groter of gelijk is aan 6 mSv, of de mogelijk in een kalenderjaar te ontvangen equivalente dosis groter of gelijk is aan:
- -150 mSv voor de huid, gemiddeld over enig blootgesteld huidoppervlak van 1 cm 2 , of
- -45 mSv voor de ooglens,
- -150 mSv voor handen, onderarmen, voeten en enkels, of
- -15 mSv voor de ooglens, of
- b. er een mogelijkheid is van verspreiding van radioactieve stoffen vanuit de ruimte zodanig dat personen in een kalenderjaar een effectieve dosis kunnen ontvangen die hoger is dan 1 mSv of een equivalente dosis die groter is dan:
- -50 mSv voor de huid, gemiddeld over enig blootgesteld huidoppervlak van 1 cm 2 ;
- -handeling:
- -ingekapselde bron:
Het bereiden, voorhanden hebben, toepassen of zich ontdoen van een kunstmatige bron of van een natuurlijke bron, voor zover deze natuurlijke bron is of wordt bewerkt met het oog op zijn radioactieve eigenschappen, dan wel het gebruiken of voorhanden hebben van een toestel, uitgezonderd bij een interventie, een ongeval of een radiologische noodsituatie;
Radioactieve stoffen die zijn ingebed in of gehecht aan vast dragermateriaal of zijn omgeven door een omhulling van materiaal met dien verstande dat hetzij het dragermateriaal hetzij de omhulling voldoende weerstand biedt om onder normale gebruiksomstandigheden elke verspreiding van radioactieve stoffen te voorkomen;
Een lektest is een controle van de behuizing van een radioactieve stof (vaak een capsule als ingekapselde bron) op radioactieve besmetting. Een bron wordt verondersteld lek te zijn wanneer een afgewreven activiteit van meer dan 185 becquerel wordt aangetoond;
- -lektest:
- -locatie:
- -radioactieve besmetting:
De inrichting als aangewezen krachtens artikel 1.1, derde lid, van de Wet milieubeheer of plaats, waar een handeling of werkzaamheid wordt verricht, zoals is beschreven in de aanvraag;
Onder radioactieve besmetting wordt verstaan een alfa besmetting van 0,4 becquerel (Bq) of meer per cm 2 of een bèta/gamma besmetting van 4 Bq of meer per cm 2 . Het betreft hier een afgewreven activiteit, waarbij het volgende in aanmerking wordt
- ∗ Het oppervlak dat wordt afgewreven bedraagt circa 5 cm 2 ;
genomen:
- ∗ De detectie-limiet van de meting bedraagt voor alle nucliden maximaal 2 Bq. Deze waarde geldt dus zowel voor alfa als voor bèta/gamma bronnen. Hierbij is uitgegaan van technisch redelijk haalbare detectiegrenzen van meetapparatuur en niet van radiotoxiciteit. Dit omdat anders voor de minder toxische stoffen een besmetting moet worden toegestaan, die vanuit het ALARA-principe opgeruimd had moeten worden;
Organisatie-onderdeel, als bedoeld in artikel 12 van het Besluit stralingsbescherming, waarbinnen de algemeen coördinerend deskundige en de andere onafhankelijk van de toepassing werkende stralingsdeskundigen zijn ondergebracht;
- -stralingsbeschermingseenheid:
- -stralingsincident:
- -terreingrens:
Ongewenste gebeurtenis die direct of op termijn een onvoorziene radioactieve besmetting en/of blootstelling aan ioniserende straling van personen zou kunnen veroorzaken (bijvoorbeeld: brand, defecte apparatuur, vermissing of ongeval);
De begrenzing van de locatie, zoals aangegeven in de bij de aanvraag d.d. 17 maart 1997 gevoegde risicoanalyse;
Toestel dat ioniserende straling kan uitzenden en geen radioactieve stof, splijtstof of erts bevat;
- -toestel:
- -toezichthoudend deskundige:
- -voldoende instructie:
Stralingsdeskundige als bedoeld in artikel 9, eerste lid, van het Besluit stralingsbescherming, die zelfstandig handelingen met ioniserende straling uitvoert of onder wiens toezicht handelingen met ioniserende straling worden uitgevoerd;
Instructie als bedoeld in de artikelen 15 en 16 van het Besluit stralingsbescherming, gericht op de handeling waarbij de werknemer betrokken is;
Waarschuwingsteken voor gevaar van besmetting of voor het kunnen ontvangen van een dosisequivalent, als bedoeld in artikel 20, eerste lid, van het Besluit stralingsbescherming, verder uitgewerkt in de Regeling waarschuwingssignalering ioniserende straling.
- -waarschuwingsteken:
## Deze vergunning is uitsluitend van toepassing voor het volgende:
## A. RADIOACTIEVE STOFFEN
Binnen de locatie van Tata Steel IJmuiden B.V., gelegen aan de Wenckebachstraat 1 te Velsen-Noord (gemeente Velsen), mogen met radioactieve stoffen handelingen worden verricht ten behoeve van meet- en regeldoeleinden, ijkdoeleinden, stof-emissiemetingen en laboratoriumtoepassingen binnen de volgende omvang:
1. het voorhanden hebben en toepassen van ingekapselde bronnen met een activiteit van maximaal 200 gigabecquerel (GBq) per bron en een gezamenlijke activiteit van maximaal 2,5 terabecquerel (TBq);
2. het uitvoeren van besmettingscontroles aan ingekapselde bronnen.
Buiten de locatie van Tata Steel IJmuiden B.V., gelegen aan de Wenckebachstraat 1 te VelsenNoord (gemeente Velsen), binnen een straal van 15 kilometer om de locatie, mogen met radioactieve stoffen handelingen worden verricht ten behoeve van stofmetingen binnen de volgende omvang:
3. het voorhanden hebben en toepassen van vier (4) ingekapselde bronnen krypton-85 met een activiteit van maximaal 1,85 GBq per bron;
## B. TOESTELLEN
Binnen de locatie van Tata Steel IJmuiden B.V., gelegen aan de Wenckebachstraat 1 te VelsenNoord (gem. Velsen), mogen met toestellen handelingen worden verricht ten behoeve van materiaalonderzoek en meet- en regeldoeleinden binnen de volgende omvang:
1. maximaal 90 toestellen, elk met een hoogspanning van maximaal 200 kilovolt (kV).
## Vergunningsdocumenten
De volgende documenten maken deel uit van deze vergunning:
- a. het op 8 mei 2009 ingediende verzoek;
- c. de op 17 maart 1997 ingediende aanvraag met de daarbij behorende bijlagen.
- b. de op 4 augustus 2004 ingediende aanvraag met de daarbij behorende bijlagen;
## Voorschriften
Aan deze vergunning worden de hierna volgende voorschriften verbonden:
## I. Algemeen
- a. voor zover in het vergunde of in de voorschriften niet anders is bepaald worden de handelingen verricht overeenkomstig de aanvraag en bijlagen, voor zover in overeenstemming met artikel 44 van het Besluit stralingsbescherming;
- b. de handelingen met bronnen vinden uitsluitend plaats na verlening van een daartoe strekkende schriftelijke interne toestemming door of namens de ondernemer met instemming van de algemeen coördinerend deskundige;
- c. de schriftelijke interne toestemming omvat naast een duidelijke omschrijving van de handelingen en de ruimten waarin deze plaatsvinden, ook een inventarisatie en evaluatie van de risico's, een nadere invulling van voorschriften en maatregelen en een beargumenteerde beoordeling van in ieder geval de volgende aspecten:
4. -de toepassing van het ALARA-beginsel gericht op bescherming van werknemers en andere personen, van milieu en op de beperking van afval;
5. -de rechtvaardiging, gelet ook op eventuele beschikbare alternatieven;
6. -de in acht te nemen grenswaarden voor bescherming van personen en milieu;
- d. wijziging van de persoon van de algemeen coördinerend deskundige, mutaties in de organisatie van de stralingsbescherming, alsmede wijzigingen van en aanvullingen op de mandateringsbeschikking en de bij de vergunningaanvraag ingediende Regeling 'Verantwoordelijkheden en bevoegdheden stralingshygiëne' en afwijking en/of wijziging van de stralingsdeskundigheid ten opzichte van die welke in deze vergunning is voorgeschreven, aangevuld met een motivatie, worden gemeld aan Agentschap NL, Team Stralingsbescherming, Postbus 93144, 2509 AC 's-Gravenhage.
## II. Organisatie
- a. door de ondernemer is de heer J.Th. van Nes als algemeen coördinerend deskundige aangewezen. De algemeen coördinerend deskundige is verantwoordelijk voor het functioneren van de Stralingsbeschermingseenheid en is in het bezit van het diploma ioniserende straling niveau 3 of een gelijkwaardig diploma;
- b. de ondernemer zorgt ervoor dat binnen de stralingsbeschermingseenheid, naast de algemeen coördinerend deskundige, ten minste 1 deskundige die ten minste het diploma ioniserende straling niveau 3, of een gelijkwaardig diploma heeft behaald, werkzaam is op het gebied van de stralingsbescherming. De algemeen coördinerend deskundige heeft voldoende secretariële en administratieve ondersteuning;
- c. overeenkomstig de bij de aanvraag d.d. 4 augustus 2004, gevoegde stukken is de algemeen coördinerend deskundige namens de ondernemer verantwoordelijk voor:
4. -het verlenen van interne toestemmingen voor handelingen met ioniserende straling,
5. -de uitvoering van intern toezicht op de naleving van de wettelijke bepalingen, de vergunningsvoorschriften en de interne voorschriften ten aanzien van alle handelingen met bronnen;
6. -het opstellen van interne voorschriften, en
- d. de ondernemer zorgt ervoor dat de handelingen met de bronnen uitsluitend geschieden door of onder verantwoordelijkheid van een coördinerend deskundige. Deze coördinerend deskundige wordt aangewezen door de ondernemer in overleg met de algemeen coördinerend deskundige;
- e. de ondernemer zorgt ervoor dat iedere toepassing van ioniserende straling uitsluitend binnen de aanwijzingen van de algemeen coördinerend deskundige geschiedt door of onder verantwoordelijkheid van een toezichthoudend deskundige. Deze toezichthoudend deskundige wordt aangewezen door de ondernemer in overleg met de algemeen coördinerend deskundige. De toezichthoudend deskundigen hebben voor de verschillende toepassingen ten minste het volgende niveau van stralingsdeskundigheid of een gelijkwaardig niveau:
besmettingscontrole/reinigen ingekapselde bronnen: niveau 3
ingekapselde bronnen en toestellen met een matig risico: niveau 4
10 of meer ingekapselde bronnen en/of toestellen met een gering van 50 GBq of meer:
risico en/of bij één of meer ingekapselde bronnen met een activiteit niveau 4
toepassing van minder dan 10 ingekapselde bronnen en/of toestellen met een gering risico: niveau 5.
De ondernemer zorgt ervoor dat bij straling betrokken personeel aantoonbaar voldoende instructie heeft gehad.
## III. Ingekapselde bronnen
## A. Algemeen
- a. een binnenkomende zending met een ingekapselde bron wordt rechtstreeks naar de daarvoor bestemde ruimte gebracht. Zij wordt daar door of onder toezicht van ter zake kundig personeel uitgepakt en gecontroleerd. Indien de verpakking beschadigd is of wanneer tijdens het transport een incident heeft plaatsgevonden, dit ter beoordeling door de toezichthoudend deskundige, wordt de verpakking voorafgaand aan het uitpakken gecontroleerd op radioactieve besmetting. Wanneer de zending met een ingekapselde bron na werktijd wordt afgeleverd, wordt deze direct opgeslagen in een bergplaats;
- b. retouremballage van een zending met een ingekapselde bron wordt, alvorens zij de locatie verlaat, zowel in- als uitwendig ontdaan van radioactieve besmetting. Aanduidingen of waarschuwingstekens van radioactiviteit zijn hierop niet waarneembaar;
- c. de constructie van een ingekapselde bron voldoet aan de eisen daaraan gesteld in de International Standard ISO 2919:1999;
- d. indien, in tegenstelling tot hetgeen hierboven is voorgeschreven, de ingekapselde bron niet hoeft te voldoen aan de voorschriften in de International Standard ISO 2919:1999 of daaraan niet kan voldoen, dan is de constructie van de ingekapselde bron zodanig dat verspreiding van radioactiviteit wordt voorkomen;
- e. de ingekapselde bron gaat vergezeld van een broncertificaat waarop de specifieke gegevens van de ingekapselde bron zijn weergegeven;
- f. de omstandigheden waaronder het feitelijk gebruik van de ingekapselde bron plaatsvindt, mogen niet zwaarder zijn dan waarvoor deze is ontworpen;
- g. de ingekapselde bron is niet lek en heeft geen oppervlaktebesmetting;
- h. het beheer van de ingekapselde bron is zodanig dat steeds bekend is wat de gegevens van iedere bron zijn. De ingekapselde bron is daartoe, indien praktisch mogelijk, voorzien van een serienummer;
- i. de americium/beryllium bronnen zijn omgeven door een dubbele roestvrij stalen capsulering;
- j. de americium/beryllium bronnen zijn in de meetopstelling voorzien van een elektrische beveiligingslus indien de bronnen ingebracht zijn in een cokesbunker of ertsbunker.
## B. Handelingen
- a. de ingekapselde bron bevindt zich alleen in de stralingspositie indien met de apparatuur wordt gewerkt. Aan de buitenzijde van de bronhouder is duidelijk waarneembaar of de ingekapselde bron zich in de stralingspositie bevindt;
- b. handelingen aan de bronhouder geschieden uitsluitend na toestemming en volgens instructies van de toezichthoudend deskundige;
- c. het apparaat, waarin de ingekapselde bron zich bevindt, is zodanig opgesteld, dat op de plaats waar zich personen kunnen bevinden het omgevingsdosisequivalenttempo niet meer dan 7,5 microsievert per uur bedraagt bij puntbronnen en niet meer dan 2,5 microsievert per uur bij staafbronnen;
- d. voor americium/beryllium bronnen geldt dat bij alarmering door de beveiligingslus en bovendien telkens wanneer het elektrische gedeelte van een sonde, waarin zich een neutronenbron bevindt, is gedemonteerd, de sonde zo spoedig mogelijk op inwendige besmetting en lekkage van de radioactieve bron wordt onderzocht. Van dit onderzoek wordt aantekening gehouden in een register;
- e. indien de handelingen met de meet- en/of regelapparatuur, waarvan een radioactieve bron deel uitmaakt, gedurende 10 dagen of langer zullen worden onderbroken, wordt de ingekapselde bron opgeborgen in de bergplaats. Bij het tijdelijk stilleggen van een gehele productie-eenheid moet vooraf contact worden opgenomen met de algemeen coördinerend deskundige, die passende veiligheidsmaatregelen voorschrijft en toestemming geeft voor het verwijderen van de bron;
- f. elke neutronensonde van een vochtigheidsmeter, welke in de cokesbunker c.q. ertsbunker is aangebracht, is omgeven door een beschermpijp die aan het uiteinde is dichtgelast. Zowel de koker als de conus van de beschermpijpen worden iedere drie maanden geïnspecteerd. De resultaten van deze inspecties worden in een register bijgehouden. De beschermpijpen worden bij een plaatselijke slijtage van 50% of meer vervangen;
- g. in de nabijheid van de ingekapselde bron zijn geen brandbare, brandbevorderende of explosieve stoffen aanwezig, tenzij hun aanwezigheid voor de bedrijfsvoering noodzakelijk is;
- h. er zijn maatregelen genomen om te voorkomen dat de ingekapselde bron onbevoegd of onbedoeld in de stralingspositie kan worden gebracht;
- i. het verwisselen van de ingekapselde bron en het verwijderen van de ingekapselde bron uit de bronhouder geschiedt uitsluitend, conform een op schrift gestelde procedure en door een toezichthoudend deskundige, die ten minste in het bezit is van het diploma ioniserende straling niveau 4A of een gelijkwaardig diploma;
- j. een ingekapselde bron, toegepast in een vaste meetopstelling, wordt in de bergplaats opgeborgen indien:
3. -de meetopstelling definitief buiten gebruik is gesteld.
4. -dit uit het oogpunt van stralingshygiëne noodzakelijk is;
Overige ingekapselde bronnen worden na gebruik opgeborgen in de bergplaats.
## IV. Toestellen
## A. Handelingen
- a. ruimte en gebruik van het toestel zijn in stralingshygiënisch opzicht op elkaar afgestemd; buiten de ruimte bedraagt bij gebruik van het toestel op betreedbare plaatsen de effectieve dosis niet meer dan 1 millisievert per jaar;
- b. de bediening van het toestel geschiedt op een plaats waar de effectieve dosis minder bedraagt dan 1 millisievert per jaar;
- c. de handelingen voldoen aan door of namens de ondernemer opgestelde werk- en onderhoudsvoorschriften;
- d. het toestel mag slechts dan worden gebruikt wanneer de beveiligingen die op het apparaat zijn aangebracht ter beperking van de stralingsniveaus buiten het apparaat, in goede staat functioneren;
- e. indien met bouwkundige voorzieningen de benodigde dosisbeperking niet kan worden verkregen, wordt deze door middel van organisatorische maatregelen gerealiseerd.
## V. Bergplaats
- a. de bergplaats is uitsluitend bestemd voor de opslag van radioactieve stoffen en voldoet aan de volgende eisen:
2. -de buitenzijde van de bergplaats is voorzien van een duidelijk leesbaar en onuitwisbaar opschrift "RADIOACTIEVE STOFFEN" en van een duidelijk zichtbaar waarschuwingsteken;
3. -de effectieve dosis aan de buitenzijde is zo laag als redelijkerwijs mogelijk is. In ieder geval wordt op geen enkel punt op 0,1 meter afstand van het oppervlak van de bergplaats een dosisequivalenttempo gemeten van meer dan 1 microsievert per uur;
4. -de bergplaats is deugdelijk afgesloten en kan uitsluitend geopend worden door de ondernemer en personen die daartoe van hem de bevoegdheid hebben gekregen;
5. -wanneer de bergplaats eenvoudig te verplaatsen is, wordt deze geplaatst in een afsluitbare ruimte of kast, die deugdelijk is afgesloten en uitsluitend geopend kan worden door de ondernemer en personen die daartoe van hem de bevoegdheid hebben gekregen.
6. -de constructie van de bergplaats waarborgt een brandwerendheid van ten minste 60 minuten. Hieronder wordt verstaan dat alle bouwdelen bij verhitting (volgens NEN 6068) hun functie ten minste 60 minuten blijven vervullen en dat de constructieonderdelen van de bergplaats voldoen aan klasse 1 als bedoeld in NEN 6065. Een vaste bergplaats is bovendien bekend bij de plaatselijke brandweer;
## VI. Radioactieve afvalstoffen
- a. radioactieve afvalstoffen worden zo spoedig als redelijkerwijs mogelijk is op adequate wijze afgegeven aan een aangewezen instelling of dienst zoals bedoeld in artikel 37, zevende en achtste lid, van het Besluit stralingsbescherming. Tijdelijke opslag van radioactieve afvalstoffen voor een periode van maximaal 2 jaar is toegestaan met het oog op verval tot niet-radioactieve afvalstoffen of uit overwegingen die een efficiënte wijze van afvoer naar een erkende ophaaldienst beogen;
- b. de opslag geschiedt in deugdelijke containers in een daarvoor bestemde ruimte die voldoet aan de eisen gesteld aan een bergplaats.
## VII. Milieubelasting
- a. de door de vergunde handelingen veroorzaakte bijdrage aan de effectieve dosis buiten de locatie is zo laag als redelijkerwijs mogelijk is. De multifunctionele individuele dosis (MID) overschrijdt in geen geval de waarde van 10 microsievert per jaar;
- b. teneinde een wijziging van de terreingrensdosis te kunnen vaststellen, zorgt Tata Steel IJmuiden B.V. er voor dat de overige bedrijven die zijn gevestigd binnen de terreingrenzen van de locatie, aan Tata Steel IJmuiden B.V. meedelen, dat een wijziging bij deze bedrijven optreedt ten aanzien van hun handelingen met bronnen.
## VIII. Controle, registratie en meldingen
## A. Algemeen
- a. wijzigingen in de gegevens die vermeld zijn bij de aanvraag worden op grond van artikel 44, achtste lid, van het Besluit stralingsbescherming, gemeld aan Agentschap NL, Team Stralingsbescherming, Postbus 93144, 2509 AC 's-Gravenhage, onder vermelding van de vergunning waar de wijziging betrekking op heeft;
- b. door de ondernemer worden de gegevens die betrekking hebben op de stralingshygiëne, ondergebracht in een overzichtelijk beheersysteem. Dit systeem dat ook de in deze vergunning genoemde registraties en rapportages bevat, wordt ten minste vijf jaar bewaard;
- c. een afschrift van de vergunning is op het kantoor van de algemeen coördinerend deskundige aanwezig.
## B. Toestellen
- a. in een register wordt aantekening gehouden van alle aanwezige toestellen, gespecificeerd naar:
2. -maximale hoogspanning van de generator, en
3. -merk, type en bouwjaar,
4. -de plaats en aard van de toepassing;
- b. de genomen maatregelen voor toestellen, als bedoeld in artikel 18 van het Besluit stralingsbescherming worden geregistreerd;
- c. het toestel en de beveiligingen worden ten minste eenmaal per jaar door een deskundige (of een bedrijf dat hiervoor vergunning heeft) op deugdelijke werking gecontroleerd. De afscherming en het stralingsniveau buiten het toestel worden ook ten minste eenmaal per jaar gecontroleerd. De resultaten van deze controles worden geregistreerd, onder vermelding van:
7. -degene die de controle heeft uitgevoerd,
8. -de datum van de controle,
9. -eventuele gebreken en daarop volgende reparaties, en
10. -stralingsniveaus buiten het toestel;
- d. tevens wordt aantekening gehouden van elke demontage en/of reparatie aan het toestel onder vermelding van:
12. -degene die de demontage en/of de reparatie heeft uitgevoerd,
13. -de datum en het tijdstip van aanvang en beëindiging van elke relevante demontage danwel reparatie van het toestel,
14. -eventuele gebreken en aard van de reparaties, en
15. -de resultaten van de controle op de goede werking van het toestel, de beveiligingen en de afscherming, na de demontage en/of de reparatie.
## C. Radioactieve stoffen
- a. ingekapselde bronnen worden periodiek gecontroleerd.
2. -de datum van de controle,
Minimaal jaarlijks vindt een visuele controle van de ingekapselde bron plaats. Wanneer deze wordt toegepast in een bronhouder vindt een visuele controle van de bronhouder plaats. Daarnaast wordt de ingekapselde bron en/of bronhouder/meetopstelling minimaal jaarlijks volgens een schriftelijk vastgelegde procedure gecontroleerd op lekken, radioactieve besmetting en op het dosisequivalenttempo aan de buitenzijde van de bronhouder. Hierbij wordt beschadiging van de ingekapselde bron voorkomen. De resultaten van deze controles worden geregistreerd, onder vermelding van:
- -het nummer van de bron die is gecontroleerd,
- -de naam van degene die de controle verrichtte, en
- -de wijze waarop de controle werd uitgevoerd,
- -de resultaten van de controle;
- b. de lektest en/of besmettingscontrole hoeven niet te worden uitgevoerd bij ingekapselde bronnen met een activiteit van minder dan 1 MBq en van minder dan 0,02 Reinh of bij gasvormige ingekapselde bronnen;
- c. wanneer de ingekapselde bron definitief niet meer wordt gebruikt, wordt aan deze ingekapselde bron, voordat deze wordt opgeslagen in de bergplaats of wordt overgedragen, volgens een schriftelijk vastgelegde procedure een lektest uitgevoerd. Wanneer een lek/besmetting wordt geconstateerd boven de vermelde grenzen, wordt gehandeld zoals in deze vergunning is beschreven onder stralingsincident;
- d. in een speciaal daarvoor bestemd register, dat zich in of nabij de bergplaats bevindt, wordt de hoeveelheid radioactiviteit die zich in de bergplaats bevindt aangetekend. Deze registratie vindt minimaal plaats gespecificeerd naar nuclide en activiteit. Elke uitgifte of ontvangst van de radioactieve stof uit of in de bergplaats wordt meteen in dit register aangetekend. Bij uitgifte wordt bovendien de bestemming aangetekend.
## D. Rapportage
- a. voor 1 juni van ieder jaar rapporteert de algemeen coördinerend deskundige over het voorafgaande jaar in een jaarverslag aan de ondernemer. Het jaarverslag bevat een opsomming van de activiteiten in dat jaar in het kader van de stralingsbescherming en van de resultaten daarvan. In deze opsomming komt in ieder geval een overzicht voor van:
2. ∗ de totaal aanwezige hoeveelheid ingekapselde bronnen gespecificeerd naar nuclide en activiteit;
3. ∗ alle aanwezige toestellen, gespecificeerd naar merk, type en bouwjaar, maximale hoogspanning van de generator, en de plaats en aard van de toepassing;
4. ∗ wijzigingen van de situatie, binnen het kader van de vergunning;
5. ∗ de blootgestelde werknemers;
6. ∗ nieuw verleende schriftelijke interne toestemmingen;
7. ∗ de geregistreerde en/of berekende effectieve doses van de blootgestelde werknemers;
8. ∗ de controlewerkzaamheden die door of namens de algemeen coördinerend deskundige zijn uitgevoerd en de resultaten daarvan.
9. ∗ een inschatting van de totale stralingsbelasting voor het milieu ten gevolge van alle bronnen binnen de locatie tezamen. De stralingsniveaus buiten de locatie worden in kaart gebracht met behulp van een plattegrond van de locatie;
Afhankelijk van de hoogte van de effectieve dosis wordt ook nader inzicht geboden in de mogelijkheden die redelijkerwijs bestaan om de dosis verdergaand te reduceren (ALARA). In het jaarverslag zal dit cijfermateriaal worden geëvalueerd in vergelijking met de gegevens van de twee jaar daarvoor.
Dit jaarverslag wordt tevens voor 1 juni van ieder jaar in vijfvoud toegezonden aan het Team Stralingsbescherming van Agentschap NL, Postbus 93144, 2509 AC 's-Gravenhage.
Tevens wordt in dit jaarverslag inzicht gegeven in de beoordeling van rechtvaardiging van nieuwe handelingen binnen het kader van de vergunning en eventuele evaluatie van bestaande handelingen, alsmede van de maatregelen die zijn genomen om de effectieve dosis ten gevolge van deze handelingen zo laag als redelijkerwijs mogelijk te houden en de resultaten daarvan.
## IX. Stralingsincident
- a. bij een stralingsincident worden onverwijld zodanige maatregelen getroffen, dat (verdergaande) besmetting en/of blootstelling van personen wordt tegengegaan;
- b. bij een stralingsincident worden terstond de betrokken inspecties gewaarschuwd:
3. -de VROM-Inspectie.
4. -de Arbeidsinspectie, en
Dit kan hetzij rechtstreeks hetzij via het alarm-incidentennummer: 070-3832425 van het ministerie van Volkshuisvesting, Ruimtelijke Ordening en Milieubeheer, dat 24 uur per dag bereikbaar is.
## X. Beëindiging
- a. indien definitief geen handelingen meer met de bronnen zullen worden verricht, wordt hiervan binnen 4 weken mededeling gedaan aan de minister van Volkshuisvesting, Ruimtelijke Ordening en Milieubeheer. In dat geval ontdoet de vergunninghouder zich zo spoedig mogelijk, doch in ieder geval uiterlijk binnen twee jaar van de bronnen. Dit ontdoen geschiedt alleen overeenkomstig het gestelde in artikel 37, vijfde, zevende en achtste lid, van het Besluit stralingsbescherming.
Na afvoer van de bronnen zal de vergunning worden ingetrokken. Tot dat tijdstip is een afschrift van de vergunning in de betrokken locatie aanwezig.
Deze beschikking treedt terstond in werking.
Van het verlenen van deze vergunning wordt mededeling gedaan door plaatsing in de Staatscourant.
's-Gravenhage, 29 september 2010 de minister van Volkshuisvesting, Ruimtelijke Ordening en Milieubeheer, mede namens de minister van Sociale Zaken en Werkgelegenheid, voor deze: de Algemeen Directeur van Agentschap NL, o.l. de Opdrachtmanager Stralingsbescherming en Samenleving,
drs. M.A. Verzandvoort
&amp;gt; Retouradres Postbus 93144, 2509 AC  Den Haag
## AANTEKENEN
Tata Steel IJmuiden B.V. Committee Radiological Aspects IJmuiden t.a.v. de heer J.Th. van Nes Postbus 10.000 1970 CA  IJMUIDEN
## Agentschap NL
## NL Milieu en Leefomgeving
Juliana van Stolberglaan 3 2595 CA  Den Haag Postbus 93144 2509 AC  Den Haag www.agentschapnl.nl
## Contactpersoon
Team Stralingsbescherming
T 088 602 58 12 F 088 602 90 23
Onze referentie </t>
  </si>
  <si>
    <t>No. 2010/1448-05
## DE MINISTER VAN VOLKSHUISVESTING RUIMTELIJKE ORDENING EN MILIEUBEHEER
Mede namens de minister van Sociale Zaken en Werkgelegenheid;
Gezien de aanvraag d.d. 30 juni 2010 en de aanvulling hierop d.d. 25 augustus 2010 van MCD-CT te Amsterdam, om een vergunning als bedoeld in hoofdstuk 4, artikel 23, van het Besluit stralingsbescherming;
Gelet op artikel 34 van de Kernenergiewet en het bepaalde in hoofdstuk 4 van het Besluit stralingsbescherming;
Overwegende, dat de in de aanvraag bedoelde handelingen voorkomen in bijlage 1 (gerechtvaardigde handelingen en werkzaamheden) van de Regeling bekendmaking rechtvaardiging gebruik van ioniserende straling.
B E S L U I T :
Aan M.H.A.C. Passon-Vastenburg, C.D. van Zuilen, R.J. Maarschalkerweerd en I. Tiemessen, handelende in maatschapverband onder de naam MCD-CT, Weesperzijde 147 te Amsterdam, wordt vergunning verleend voor het verrichten van handelingen met ioniserende straling uitzendende toestellen.
## In deze vergunning wordt verstaan onder:
- -MCD-CT:
- -bewaakte zone:
M.H.A.C. Passon-Vastenburg, C.D. van Zuilen, R.J. Maarschalkerweerd en I. Tiemessen, handelende in maatschapverband onder de naam MDC-CT;
Een ruimte wordt aangemerkt als bewaakte zone indien de door verblijf in die ruimte mogelijk in een kalenderjaar te ontvangen effectieve dosis hoger is dan 1 mSv en lager dan 6 mSv of de mogelijk in een kalenderjaar te ontvangen equivalente dosis hoger is dan:
- -50 mSv voor de huid, gemiddeld over enig blootgesteld huidoppervlak van 1 cm 2 , en lager dan:
- -15 mSv voor de ooglens, of
- -45 mSv voor de ooglens,
- -150 mSv voor handen, onderarmen, voeten en enkels;
- -150 mSv voor de huid, gemiddeld over enig blootgesteld huidoppervlak van 1 cm 2 , of
- -bron:
- -deskundigheidsniveau:
Toestel dan wel radioactieve stof;
- Niveau als bedoeld in artikel 9, tweede lid, van het Besluit stralingsbescherming;
Diploma als bedoeld in artikel 132, tweede lid, van het Besluit stralingsbescherming;
- -diploma ioniserende straling:
- -effectieve dosis:
- -locatie:
De som van de gewogen equivalente doses in alle verschillende organen en weefsels ten gevolge van inwendige en uitwendige bestraling;
De inrichting als aangewezen krachtens artikel 1.1, derde lid, van de Wet milieubeheer of plaats, waar een handeling of werkzaamheid wordt verricht, zoals is beschreven in de aanvraag;
- -stralingsincident: Ongewenste gebeurtenis die direct of op termijn een onvoorziene radioactieve besmetting
- -terreingrens:
en/of blootstelling aan ioniserende straling van personen zou kunnen veroorzaken (bijvoorbeeld: brand, defecte apparatuur, vermissing of ongeval);
De begrenzing van de locatie, zoals aangeduid op tekening (bijlage 1A van de aanvraag);
Toestel dat ioniserende straling kan uitzenden en geen radioactieve stof, splijtstof of erts bevat;
- -toestel:
- -toezichthoudend deskundige: Stralingsdeskundige als bedoeld in artikel 9, eerste lid, van het Besluit stralingsbescherming,
- -voldoende instructie: Instructie als bedoeld in de artikelen 15 en 16 van het Besluit stralingsbescherming, gericht op de handeling waarbij de werknemer betrokken is;
die zelfstandig handelingen met ioniserende straling uitvoert of onder wiens toezicht handelingen met ioniserende straling worden uitgevoerd;
- -waarschuwingsteken:
Waarschuwingsteken voor gevaar van besmetting of voor het kunnen ontvangen van een dosisequivalent, als bedoeld in artikel 20, eerste lid, van het Besluit stralingsbescherming, verder uitgewerkt in de Regeling waarschuwingssignalering ioniserende straling.
## Deze vergunning is uitsluitend van toepassing voor het volgende:
Binnen de locatie van MCD-CT, gelegen gelegen aan de Isolatorweg 45 te Amsterdam, mogen met toestellen uitsluitend handelingen worden verricht ten behoeve van veterinaire diagnostiek binnen de volgende omvang:
1. één toestel, merk Philips, type CT-Aura, met een hoogspanning van maximaal 140 kilovolt (kV).
## Vergunningsdocumenten
De volgende documenten maken deel uit van deze vergunning:
- a. de op 1 juli 2010 ingediende aanvraag met de daarbij behorende bijlagen;
- b. de op 27 augustus 2010 ingediende aanvulling met de daarbij behorende bijlagen.
## Voorschriften
Aan deze vergunning worden de hierna volgende voorschriften verbonden:
## I. Algemeen
- a. voor zover in het vergunde of in de voorschriften niet anders is bepaald worden de handelingen verricht overeenkomstig de aanvraag en bijlagen, voor zover in overeenstemming met artikel 44 van het Besluit stralingsbescherming.
## II. Organisatie
- a. de ondernemer zorgt ervoor dat de handelingen met ioniserende straling plaatsvinden binnen de kaders en voorschriften van deze vergunning door of onder toezicht van een toezichthoudend deskundige die ten minste het diploma ioniserende straling niveau 5A of een gelijkwaardig diploma heeft behaald;
- b. de ondernemer zorgt ervoor dat deze toezichthoudend deskundige schriftelijk gemandateerd is voor deze verantwoordelijkheid en dat hij zo vaak als nodig, en ten minste eenmaal per jaar, verantwoording aan hem aflegt door middel van een rapportage.
## III. Toestellen
## A. Handelingen
- a. ruimte en gebruik van het toestel zijn in stralingshygiënisch opzicht op elkaar afgestemd; buiten de ruimte bedraagt bij gebruik van het toestel op betreedbare plaatsen de effectieve dosis niet meer dan 1 millisievert per jaar;
- b. de bediening van het toestel geschiedt op een plaats waar de effectieve dosis minder bedraagt dan 1 millisievert per jaar;
- c. maatregelen zijn genomen om te voorkomen dat personen onbevoegd de ruimte kunnen betreden wanneer het toestel in werking is;
- d. in de ruimte zijn voorzieningen zoals loodschorten en loodafscherming aanwezig om de blootstelling van de werknemers te beperken;
- e. indien met bouwkundige voorzieningen de benodigde dosisbeperking niet kan worden verkregen, wordt deze door middel van organisatorische maatregelen gerealiseerd;
- f. bij medisch-diagnostisch röntgenonderzoek  zijn niet meer personen aanwezig dan voor het betreffende onderzoek noodzakelijk is.
## IV. Milieubelasting
- a. de door de vergunde handelingen veroorzaakte bijdrage aan de effectieve dosis buiten de locatie is zo laag als redelijkerwijs mogelijk is. De multifunctionele individuele dosis (MID) overschrijdt in geen geval de waarde van 10 microsievert per jaar.
## V. Controle, registratie en meldingen
## A. Algemeen
- a. wijzigingen in de gegevens die vermeld zijn bij de aanvraag worden op grond van artikel 44, achtste lid, van het Besluit stralingsbescherming, gemeld aan Agentschap NL, Team Stralingsbescherming, Postbus 93144, 2509 AC 's-Gravenhage, onder vermelding van de vergunning waar de wijziging betrekking op heeft;
- b. door de ondernemer worden de gegevens die betrekking hebben op de stralingshygiëne, ondergebracht in een overzichtelijk beheersysteem. Dit systeem dat ook de in deze vergunning genoemde registraties en rapportages bevat, wordt ten minste vijf jaar bewaard;
- c. een afschrift van de vergunning is op het kantoor van de toezichthoudend deskundige aanwezig.
## B. Toestellen
- a. de genomen maatregelen voor toestellen, als bedoeld in artikel 18 van het Besluit stralingsbescherming worden geregistreerd;
- b. het toestel en de beveiligingen worden ten minste eenmaal per jaar door een deskundige (of een bedrijf dat hiervoor vergunning heeft) op deugdelijke werking gecontroleerd. De afscherming en het stralingsniveau buiten het toestel worden ook ten minste eenmaal per jaar gecontroleerd. De resultaten van deze controles worden geregistreerd, onder vermelding van:
3. -degene die de controle heeft uitgevoerd,
4. -de datum van de controle,
5. -eventuele gebreken en daarop volgende reparaties, en
6. -stralingsniveaus buiten het toestel;
- c. tevens wordt aantekening gehouden van elke demontage en/of reparatie aan het toestel onder vermelding van:
8. -de datum en het tijdstip van aanvang en beëindiging van elke relevante demontage danwel reparatie van het toestel,
- -degene die de demontage en/of de reparatie heeft uitgevoerd,
- -de resultaten van de controle op de goede werking van het toestel, de beveiligingen en de afscherming, na de demontage en/of de reparatie.
- -eventuele gebreken en aard van de reparaties, en
## VI. Stralingsincident
- a. bij een stralingsincident worden onverwijld zodanige maatregelen getroffen, dat (verdergaande) blootstelling van personen wordt tegengegaan;
- b. bij een stralingsincident worden terstond de betrokken inspecties gewaarschuwd:
3. -de VROM-Inspectie .
4. -de Arbeidsinspectie,
Dit kan hetzij rechtstreeks hetzij via het alarm-incidentennummer: 070-3832425 van het ministerie van Volkshuisvesting, Ruimtelijke Ordening en Milieubeheer, dat 24 uur per dag bereikbaar is.
## VIII. Beëindiging
- a. indien definitief geen handelingen meer met het toestel zullen worden verricht, wordt hiervan binnen 4 weken mededeling gedaan aan de minister van Volkshuisvesting, Ruimtelijke Ordening en Milieubeheer. In dat geval ontdoet de vergunninghouder zich zo spoedig mogelijk van het toestel. Na het zich ontdoen van het toestel zal de vergunning worden ingetrokken. Tot dat tijdstip is
een afschrift van de vergunning in de betrokken locatie aanwezig.
Van het verlenen van deze vergunning wordt mededeling gedaan door plaatsing in de Staatscourant.
's-Gravenhage, 6 oktober 2010 de minister van Volkshuisvesting, Ruimtelijke Ordening en Milieubeheer, mede namens de minister van Sociale Zaken en Werkgelegenheid, voor deze: de Algemeen Directeur van Agentschap NL, o.l. de Opdrachtmanager Stralingsbescherming en Samenleving,
drs. M.A. Verzandvoort
&amp;gt; Retouradres Postbus 93144, 2509 AC  Den Haag
## AANTEKENEN
MCD-CT t.a.v. drs. I. Tiemessen Weesperzijde 147 1091 ET  AMSTERDAM
Datum
6 oktober 2010 Uw aanvraag d.d. 1 juli 2010
Betreft
## NL Milieu en Leefomgeving
Juliana van Stolberglaan 3 2595 CA  Den Haag Postbus 93144 2509 AC  Den Haag www.agentschapnl.nl
Contactpersoon Team Stralingsbescherming
T 088 602 58 12 F 088 602 90 23
Onze referentie 2010/1448-05
Bijlage(n) Vergunning
Naar aanleiding van de desbetreffende aanvraag om een vergunning ingevolge het Besluit stralingsbescherming, doe ik u hierbij, mede namens de minister van Sociale Zaken en Werkgelegenheid mijn beschikking onder datum en nummer als deze toekomen.
Ik vestig er de aandacht op dat de interne situatie waarop deze vergunning betrekking heeft, slechts mag worden gewijzigd nadat de vergunning aan de nieuwe situatie is aangepast. In geval van wijziging van de naam en/of het adres van de vergunninghouder c.q. de locatie dient daarvan mededeling aan mij te worden gedaan.
Wellicht ten overvloede wijs ik u erop dat uiteraard moet worden voldaan aan de bepalingen van het Besluit stralingsbescherming.
Ten slotte maak ik u erop attent dat ingevolge artikel 50 van de Kernenergiewet, de bepalingen van hoofdstuk 20 van de Wet milieubeheer op de onderhavige beschikking van toepassing zijn. Dit houdt onder meer in dat de beschikking pas van kracht wordt met ingang van 6 weken na de dag van verzending van de beschikking. Zolang de beschikking niet van kracht is, is het derhalve niet toegestaan het röntgentoestel
voorhanden te hebben.
Overeenkomstig de Algemene wet bestuursrecht kan tegen dit besluit bezwaar worden gemaakt. Daartoe moet binnen zes weken na de datum van de verzending van dit besluit een bezwaarschrift worden ingediend bij Agentschap NL, afdeling Juridische Zaken, Postbus 93144, 2509 AC Den Haag.
## Agentschap NL
In het bezwaarschrift moet worden aangegeven waarom het besluit niet juist gevonden wordt. Verzocht wordt bij het bezwaarschrift een kopie van deze brief en eventuele andere op de zaak betrekking hebbende stukken te voegen.
de minister van Volkshuisvesting, Ruimtelijke Ordening en Milieubeheer, mede namens de minister van Sociale Zaken en Werkgelegenheid , voor deze: de Algemeen Directeur van Agentschap NL, o.l. de Opdrachtmanager Stralingsbescherming en Samenleving,
drs. M.A. Verzandvoort</t>
  </si>
  <si>
    <t>[...] r 2021 Ons kenmerk [VERTROUWELIJK] Contactpersoon [VERTROUWELIJK] ## Onderwerp Besluit tot het opleggen van een boete ## Geachte heer, mevrouw, De Autoriteit Persoonsgegevens (AP) heeft besloten om aan Transavia Airlines C.V. een bestuurlijke boete van € 400.000 op te leggen. De AP komt is tot de conclusie gekomen dat Transavia geen passende maatregelen getroffen heeft om een op het risico afgestemd beveiligingsniveau te waarborgen. Hierdoor heeft Transavia in strijd gehandeld met artikel 32, eerste en tweede lid, van de Algemene verordening gegevensbescherming. De AP licht het besluit hierna nader toe. Hoofdstuk 1 betreft een inleiding en hoofdstuk 2 bevat de feiten. De AP beoordeelt in hoofdstuk 3 of er sprake is van verwerking van persoonsgegevens, de verwerkingsverantwoordelijkheid en de overtreding. In hoofdstuk 4 wordt de (hoogte van de) bestuurlijke boete uitgewerkt en hoofdstuk 5 bevat het dictum en de rechtsmiddelenclausule. ## Autoriteit Persoonsgegevens Postbus 93374, 2509 AJ Den Haag Bezuidenhoutseweg 30, 2594 AV Den Haag T 070 8888 500 - F 070 8888 501 autoriteitpersoonsgegevens.nl &lt;!-- image --&gt; ## Datum 23 september 2021 Ons kenmerk [VERTROUWELIJK] ## 1. Inleiding ## 1.1 Betrokken organisatie Dit besluit heeft betrekking op Transavia Airlines C.V. (hierna: Transavia), gevestigd aan de Piet Guilonardweg 15, 1117 EE te Schiphol. Het bedrijf staat ingeschreven in het handelsregister onder nummer: 34069081. 1 Als luchtvaarmaatschappij verzorgt Transavia vluchten voor zakelijke reizigers en consumenten binnen Europa. Op 24 oktober 2019 heeft de AP een melding ontvangen van Transavia over een inbreuk op de beveiliging van persoonsgegevens als bedoeld in artikel 33 van de AVG. In deze melding is door Transavia aangegeven dat een kwaadwillende derde partij ongeautoriseerd toegang heeft gehad tot systemen van Transavia. Naar aanleiding hiervan heeft de AP ambtshalve onderzocht of de technische maatregelen bij Transavia met betrekking tot de toegang tot persoonsgegevens passend waren als bedoeld in artikel 5, lid 1, sub f jo. artikel 32 van de AVG. Specifiek richtte dit onderzoek zich op de toegang tot bepaalde gebruikers-accounts bij Transavia, alsmede de rechten en mogelijkheden die deze gebruikers-accounts hadden binnen de systemen van Transavia. ## 1.2 Procesverloop Op 28 november 2019 heeft de AP telefonisch contact opgenomen met Transavia over de datalekmelding van 24 oktober 2019 en de daarop volgende meldingen. Toezichthouders van de AP hebben vervolgens meermaals informatie opgevraagd bij Transavia waarop Transavia deze informatie heeft geleverd. Bij brief van 12 mei 2021 heeft de AP aan Transavia een voornemen tot handhaving verzonden en het daaraan ten grondslag gelegde rapport met bevindingen. Transavia heeft op 28 juni 2021 hierop schriftelijk een zienswijze gegeven. 1 Zie Dossierstuk 26, Inschrijving Handelsregister Transavia Airlines C.V. &lt;!-- image --&gt; Datum 23 september 2021 Ons kenmerk [VERTROUWELIJK] ## 2. Feiten ## 2.1 De inbreuk bij Transavia In de datalekmelding van 24 oktober 2019 heeft Transavia aangegeven dat een kwaadwillende derde partij (hierna ook: 'aanvaller') ongeautoriseerd toegang heeft gehad tot systemen van Transavia. 2 Transavia is volgens de melding hier op 21 oktober 2019 achter gekomen. Transavia heeft vervolgens een externe dienstverlener ingeschakeld en samen met deze dienstverlener is de aanvaller van de systemen van Transavia geweerd. Verder heeft de externe dienstverlener geanalyseerd welke systemen getroffen waren en welke gegevens betrokken waren. In het rapport opgesteld door de externe dienstverlener (hierna ook: 'forensisch rapport') is beschreven dat een aanvaller gebruik heeft gemaakt van [VERTROUWELIJK] e-mailadressen. Deze adressen zijn mogelijk te vinden op het internet. 3 De aanvaller probeerde toegang te verkrijgen tot de [VERTROUWELIJK] 4 De aanvaller heeft gebruik gemaakt van een ' password spray ' of ' credential stuffing ' aanval. Met een " password spray ' aanval gebruikt een aanvaller veel gebruikte wachtwoorden om op een geautomatiseerde manier ongeautoriseerde toegang te krijgen. Bij ' credential stuffing' aanval gebruikt een aanvaller bekende gebruikersgegevens (afkomstig uit andere datalekken van derden) om te proberen toegang te krijgen tot een systeem. Op 12 september 2019 om 9:52 uur vond een succesvolle inlogpoging plaats door de aanvaller. De gebruikte gebruikersnaam was [VERTROUWELIJK] en het wachtwoord was [VERTROUWELIJK]. Met deze inlog kon de aanvaller gebruikmaken van de [VERTROUWELIJK] gebruiker. 5 Dit is een gebruiker die werd gebruikt voor [VERTROUWELIJK]. 6 Met de [VERTROUWELIJK] gebruiker was het mogelijk om toegang te krijgen tot een Citrix omgeving van Transavia. Citrix is software die het mogelijk maakt om te telewerken. Vervolgens was het mogelijk om mogelijke [VERTROUWELIJK]-gebruikers in het [VERTROUWELIJK] domein te achterhalen. 7 Het is de aanvaller vervolgens gelukt om de authenticatiegegevens te verkrijgen van de gebruiker [VERTROUWELIJK] door wederom het wachtwoord [VERTROUWELIJK] te gebruiken. Deze gebruiker 2 Transavia France S.A.S. (zustermaatschappij van Transavia) heeft afzonderlijk gemeld bij de Franse toezichthouder volgens de datalekmelding van 24 oktober 2019 omdat er ook persoonsgegevens zouden zijn betrokken waar Transavia France S.A.S verantwoordelijk voor is. Zie Dossierstuk 1, melding van 24 oktober 2019. 3 Zie Dossierstuk 11, rapport van 5 december 2019, pagina 21. 4 Active Directory Federation Services Webservice is software van Microsoft, die organisaties in staat stelt Single Sign On Services te bewerkstellingen in een organisatie. 5 Zie Dossierstuk 11, rapport van 5 december 2019, pagina 21. 6 Zie Dossierstuk 25, Antwoorden van Transavia, datum 26 mei 2020. 7 Zie Dossierstuk 11, rapport van 5 december 2019, pagina 21. Een netwerkdomein is een groep computers (systemen) binnen een computernetwerk met als doel de systemen gecentraliseerd te beheren. &lt;!-- image --&gt; Datum 23 september 2021 ## Ons kenmerk [VERTROUWELIJK] had volgens Transavia ' de hoogste privileges in het [VERTROUWELIJK]'. 8 In principe betekent dit dat de accounts [VERTROUWELIJK] en [VERTROUWELIJK] tezamen toegang verschaften tot een groot deel van het computernetwerk van Transavia. 9 De rol van het account was bedoeld om te dienen als koppeling tussen het HR systeem van Transavia en de Active Directory (om te bepalen welke medewerkers welke rechten tot systemen behoren te krijgen). 10 Active Directory is een dienst van Microsoft die (onder andere) wordt gebruikt om rechten van gebruikers te beheren. Vervolgens verkende de aanvaller de systemen van Transavia die onderdeel zijn van het domein. In deze verkenningsfase, is er (waarschijnlijk geautomatiseerd) ingelogd op [VERTROUWELIJK] systemen. 11 In totaal is er activiteit waargenomen betreffende [VERTROUWELIJK] systemen. De externe dienstverlener heeft op [VERTROUWELIJK] systemen vast kunnen stellen dat sprake is van gegevens die zijn gekopieerd. 12 De aanvaller had mogelijk interesse in toegang tot [VERTROUWELIJK]. Toegang hiertoe verkrijgen is echter niet gelukt. 13 Dit is ook bevestigd door Transavia. 14 De aanvaller heeft op tenminste [VERTROUWELIJK] systemen [VERTROUWELIJK] logbestanden verwijderd. 15 De aanvaller heeft verder gebruik gemaakt van [VERTROUWELIJK] software. Dit is penetratie test software die bedoeld is om kwetsbaarheden te vinden in een IT-landschap. De externe dienstverlener heeft op tenminste [VERTROUWELIJK] systemen hier aanwijzingen voor gevonden. Op 21 oktober 2019 is dit type aanval door de beheerder opgemerkt en heeft de beheerder onderzoek ingesteld. Na 21 oktober 2019 zijn ook geen activiteiten meer waargenomen van de aanvaller. 16 Op basis van deze signalering is door Transavia op 22 oktober 2019 een externe dienstverlener ingeschakeld (niet de beheerder). De externe dienstverlener heeft een forensische analyse uitgevoerd. Uit de analyse bleek dat het merendeel van de activiteiten van de aanvaller gericht waren op verkenningsactiviteiten. De volgende gegevens zijn echter wel gekopieerd: Netwerk documentatie, zakelijke en diverse andere documenten alsmede zes e-mailboxen. 17 Er zijn door Transavia [VERTROUWELIJK] systemen als kritiek bestempeld. Hier zat een systeem tussen voor de uitwisseling van gegevens met [VERTROUWELIJK]. Ook zaten hier [VERTROUWELIJK] bij en een [VERTROUWELIJK]. Op een van de kritieke systemen, het [VERTROUWELIJK], zijn bepaalde logbestanden verwijderd. Hierdoor was er op dit systeem minder bewijs over wat er gebeurd is met dit systeem. 18 8 Zie Dossierstuk 38, Antwoorden van Transavia datum 24 september 2020. 9 Zie Dossierstuk 11, rapport van 5 december 2019, pagina 21. 10 Zie Dossierstuk 25, Antwoorden van Transavia, datum 26 mei 2020. 11 Zie Dossierstuk 11, rapport van 5 december 2019, pagina 21. 12 Zie Dossierstuk 11, rapport van 5 december 2019, pagina 26. 13 Zie Dossierstuk 11, rapport van 5 december 2019, pagina 25. 14 Zie Dossierstuk 25, Antwoorden van Transavia, datum 26 mei 2020. 15 Zie Dossierstuk 11, rapport van 5 december 2019, pagina 23. 16 Zie Dossierstuk 11, rapport van 5 december 2019, pagina 25. 17 Zie Dossierstuk 11, rapport van 5 december 2019, pagina 4. 18 Zie Dossierstuk 11, rapport van 5 december 2019, pagina 17. &lt;!-- image --&gt; Datum 23 september 2021 ## Ons kenmerk [VERTROUWELIJK] Op 22 november 2019 heeft Transavia opdracht gegeven aan de externe dienstverlener om de mailboxen te onderzoeken die door de aanvaller in deze inbreuk zijn gekopieerd naar een externe locatie. Het doel van het onderzoek betrof de persoonsgegevens in zes mailboxen: vijf mailboxen van medewerkers en één van een oud-medewerker. In de mailboxen bleken 49 bestanden met persoonsgegevens aanwezig. 19 Deze mailboxen waren volgens Transavia (met name) in gebruik bij [VERTROUWELIJK] medewerkers. 20 Deze bestanden zijn vervolgens geanalyseerd en op basis hiervan is besloten een mededeling te doen aan 81.000 betrokkenen, zoals verplicht in artikel 34 van de AVG indien er mogelijk sprake is van een hoog risico. 21 Deze groep betrokkenen bestond uit werknemers van Transavia en klanten van Transavia. De medewerkers wiens mailboxen waren gekopieerd, waren reeds mondeling geïnformeerd volgens Transavia. 22 Transavia geeft aan dat sinds 25 november 2019 de aanvaller definitief geen toegang meer had tot het ITlandschap van Transavia. 23 Dit is ook bevestigd door de externe dienstverlener. 24 Samenvattend heeft een onbevoegde derde partij toegang gehad tot systemen van Transavia. Bij deze toegang was het mogelijk een gebruiker met veel rechten te gebruiken, waardoor de aanvaller veel mogelijkheden had binnen deze systemen. Hierdoor is er toegang geweest tot veel systemen en zijn er ook persoonsgegevens gekopieerd naar een externe locatie. ## 2.2 Soort persoonsgegevens Er zijn twee groepen te onderscheiden persoonsgegevens in deze inbreuk: (1) persoonsgegevens die de aanvaller heeft gekopieerd naar een externe locatie en (2) persoonsgegevens waar de aanvaller toegang tot had. ## 2.2.1 Persoonsgegevens die zijn gekopieerd naar een externe locatie De volgende persoonsgegevens die zich in de mailboxen bevonden zijn door de aanvaller gekopieerd (exclusief de bestandsnamen): 25 | [VERTROUWELIJK] | [VERTROUWELIJK] | [VERTROUWELIJK] | [VERTROUWELIJK] | |-------------------|-------------------|-------------------|-------------------| | [VERTROUWELIJK] | [VERTROUWELIJK] | [VERTROUWELIJK] | [VERTROUWELIJK] | &lt;!-- image --&gt; ## Datum 23 september 2021 ## Ons kenmerk [VERTROUWELIJK] | [VERTROUWELIJK] | [VERTROUWELIJK] | [VERTROUWELIJK] | [VERTROUWELIJK] |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Uit de bovenstaande tabel blijkt dat zowel passagiers-, leveranciers- en (potentiele) werknemersgegevens zijn gekopieerd. Transavia heeft verklaard dat het hier circa 80.000 passagiers betreft. 26 Ook stonden in meerdere bestanden de persoonsgegevens van tot 3000 medewerkers en tot 200 leveranciers. 27 Van passagiers zijn betrokken: voor- en achternaam, geboortedatum, vluchtinformatie en SSR-code. Van één passagier is een adres en telefoonnummer betrokken. Van medewerkers gaat het om de volgende gegevens: voor- en achternaam, zakelijke e-mailadressen, adres, telefoonnummer. En van leveranciers zijn betrokken: zakelijke e-mailadressen, voor- en achternaam, adres, e-mailadres, telefoonnummer. 26 Zie Dossierstuk 25, Antwoorden van Transavia, datum 26 mei 2020. 27 Zie Dossierstuk 25, Antwoorden van Transavia, datum 26 mei 2020 - Bijlage 3: Toelichting bij bijlage 2. &lt;!-- image --&gt; Datum 23 september 2021 Ons kenmerk [VERTROUWELIJK] Ook blijken er tot 10 C.V.-bestanden van potentiele medewerkers betrokken. Hierin bevonden zich vooren achternaam, adres, e-mailadres, telefoonnummer en geboortedatum. In de melding aan de betrokken passagiers (80.000) die Transavia heeft verstuurd meldt Transavia de volgende betrokken gegevens: voornaam, achternaam, geboortedatum, vluchtgegevens, boekingsnummer en de bijgeboekte service zoals bagage, maar ook rolstoelgebruik. 28 Verder geeft Transavia aan dat de betrokken werknemers ook zijn geïnformeerd. 29 De bijgeboekte services werden beschreven als SSR-code. SSR-code staat voor ' Special Service Request ' code. Transavia gebruikt in hun boekingssysteem een reeks van 4 tekens voor additionele verzoeken, zoals een fiets als bagage. De SSR-code is dan ' BIKE '. 30 Deze codes zijn te vinden op het internet waardoor de betekenis bekend is, mocht dit niet al duidelijk zijn uit de code. 31 De AP heeft aan Transavia gevraagd welke SSR-codes Transavia gebruikt en in welke aantallen. De door Transavia gebruikte codes geven onder andere aan wanneer een rolstoel benodigd is, of dat een passagier bijvoorbeeld een elektrische rolstoel gebruikt. Codes voor dieetwensen gebruikt Transavia niet aangezien ze geen maaltijden verstrekken tijdens de vluchten. 32 In de bestanden die zijn gekopieerd naar een externe locatie kwamen codes die rolstoelgebruik indiceren 358 maal voor. Ook kwam een code die blindheid aangeeft vijfmaal voor. Doofheid kwam vier keer voor. 33 Volgens Transavia waren de passagiersgegevens verzameld in de periode van 21 tot en met 31 januari 2015. 34 De gegevens bevonden zich in een mailbox op ' managed devices van medewerkers '. 35 Dit zijn beheerde apparaten, veelal mobiele apparaten zoals telefoons of laptops. De medewerkers in kwestie waren [VERTROUWELIJK]. ## 2.2.2 Persoonsgegevens waar toegang toe mogelijk was Hieronder staat een overzicht van de systemen waar de gebruikers [VERTROUWELIJK] en [VERTROUWELIJK] tezamen toegang toe hadden. 36 De titel ' host ' betekent in dit geval de naam van het systeem. De kolom ' Gegevens vanaf ingezien /Geexfiltreerd ' geeft aan of er na het inloggen op het systeem nog andere acties zijn waargenomen. Indien er door Transavia ' nee' is weergegeven is er alleen ingelogd volgens Transavia. 37 28 Zie Dossierstuk 38, Antwoorden van Transavia datum 24 september 2020. 29 Zie Dossierstuk 12, Vervolgmelding van 18 februari 2020. 30 Zie Dossierstuk 38, Antwoorden van Transavia datum 24 september 2020. 31 Zie bijvoorbeeld: https://wheelchairtravel.org/air-travel/special-service-request-codes/, of https://guides.developer.iata.org/docs/en/list-of-service-ssrs. 32 Zie Dossierstuk 38, Antwoorden van Transavia datum 24 september 2020. 33 Dossierstuk 38, Antwoorden van Transavia datum 24 september 2020 - Bijlage 5: Overzicht aantallen SSR-codes. 34 Zie Dossierstuk 13, Persbericht Transavia. 35 Zie Dossierstuk 25, Antwoorden van Transavia, datum 26 mei 2020. 36 Dossierstuk 25, Antwoorden van Transavia, datum 26 mei 2020 - Bijlage 4: Host en Persoonsgegevens. 37 Zie Dossierstuk 25, Antwoorden van Transavia, datum 26 mei 2020. &lt;!-- image --&gt; ## Datum 23 september 2021 ## Ons kenmerk [VERTROUWELIJK] | [VERTROUWELIJK] | [VERTROUWELIJK] | [VERTROUWELIJK] | [VERTROUWELIJK] | [VERTROUWELIJK] | [VERTROUWELIJK] | |-------------------|-------------------|-------------------|-------------------|-------------------|-------------------| | [VERTROUWELIJK] | [VERTROUWELIJK] | [VERTROUWELIJK] | [VERTROUWELIJK] | [VERTROUWELIJK] | [VERTROUWELIJK] | | [VERTROUWELIJK] | [VERTROUWELIJK] | [VERTROUWELIJK] | [VERTROUWELIJK] | [VERTROUWELIJK] | [VERTROUWELIJK] | | [VERTROUWELIJK] | [VERTROUWELIJK] | [VERTROUWELIJK] . | [VERTROUWELIJK] | [VERTROUWELIJK] | [VERTROUWELIJK] | &lt;!-- image --&gt; ## Datum 23 september 2021 ## Ons kenmerk [VERTROUWELIJK] | [VERTROUWELIJK] | [VERTROUWELIJK] | [VERTROUWELIJK] | [VERTROUWELIJK] | [VERTROUWELIJK] | [VERTROUWELIJK] | |-------------------|-------------------|-------------------|-------------------|-------------------|-------------------| | [VERTROUWELIJK] | [VERTROUWELIJK] | [VERTROUWELIJK] | [VERTROUWELIJK] | [VERTROUWELIJK] | [VERTROUWELIJK] | | [VERTROUWELIJK] | [VERTROUWELIJK] | [VERTROUWELIJK] | [VERTROUWELIJK] | [VERTROUWELIJK] | [VERTROUWELIJK] | | [VERTROUWELIJK] | [VERTROUWELIJK] | [VERTROUWELIJK] | [VERTROUWELIJK] | [VERTROUWELIJK] | [VERTROUWELIJK] | |-------------------|-------------------|-------------------|-------------------|-------------------|-------------------| | [VERTROUWELIJK] | [VERTROUWELIJK] | [VERTROUWELIJK] | [VERTROUWELIJK] | [VERTROUWELIJK] | [VERTROUWELIJK] | | [VERTROUWELIJK] | [VERTROUWELIJK] | [VERTROUWELIJK] | [VERTROUWELIJK] | [VERTROUWELIJK] | [VERTROUWELIJK] | | [VERTROUWELIJK] | [VERTROUWELIJK] | [VERTROUWELIJK] | [VERTROUWELIJK] | [VERTROUWELIJK] | [VERTROUWELIJK] | &lt;!-- image --&gt; ## Datum 23 september 2021 ## Ons kenmerk [VERTROUWELIJK] Uit de bovenstaande tabellen blijkt dat van passagiers de volgende gegevens verwerkt worden: de voor- en achternaam, de geboortedatum, het geslacht, het e-mailadres en telefoonnummer, de vlucht- en boekingsgegevens en de (zakelijke) e-mailcorrespondentie. Van medewerkers zijn de voor- en achternaam, het geslacht, de geboortedatum, het werknemersnummer, het huisadres, het telefoonnummer, de kwalificaties/training, BSN, de aanwezigheidsadministratie en inloggegevens verwerkt. Verder staat genoemd in het overzicht dat op een systeem verslagen over veiligheidsincidenten aan boord bevonden. Hierin zijn ook mogelijk persoonsgegevens van medewerkers en passagiers betrokken. In totaal staan voor passagiers tot 25.000.000 betrokkenen genoemd in het aangeleverde overzicht. Voor medewerkers worden tot 3000 betrokkenen genoemd. Dit betekent dat de aanvaller persoonsgegevens heeft ingezien of had kunnen inzien van 25 miljoen mensen. De mate van activiteit van de aanvaller is door het de externe dienstverlener opgesplitst in de volgende categorieën: 38 -  [VERTROUWELIJK] -  [VERTROUWELIJK] -  [VERTROUWELIJK] -  [VERTROUWELIJK] -  [VERTROUWELIJK] -  [VERTROUWELIJK] Op alle genoemde systemen is er sprake van [VERTROUWELIJK]. 39 Op [VERTROUWELIJK] systemen is daadwerkelijk bewijs gevonden voor het kopiëren van persoonsgegevens. Systeem [VERTROUWELIJK] is als kritiek aangemerkt door Transavia vanwege de hoeveelheid persoonsgegevens. Op dit systeem was er zowel sprake van [VERTROUWELIJK]. Op het systeem [VERTROUWELIJK] was het bewijs voor de activiteiten van de aanvaller beperkter dan bij andere systemen, omdat er logbestanden ontbraken over de relevante periode van de inbreuk. 40 Verder is het systeem [VERTROUWELIJK] als kritiek aangemerkt vanwege de hoeveelheid persoonsgegevens op dit systeem. 41 Op dit systeem was er sprake van [VERTROUWELIJK]. In de melding aan de AP heeft Transavia aangegeven dat de betrokkenen afkomstig zijn uit meerdere landen, namelijk geheel Europa. De AP heeft Transavia verzocht een overzicht heeft uit welk land de betrokkenen komen. Hierop heeft Transavia geantwoord dat 90% van de klanten uit Nederland komt, gebaseerd op de Point of Sale. 42 Slechts een beperkt aantal persoonsgegevens van zustermaatschappij Transavia France S.A.S. waren op de systemen van Transavia Airlines C.V. aanwezig. 43 38 Zie Dossierstuk 11, rapport van 5 december 2019, pagina 19. 39 Zie Dossierstuk 11, rapport van 5 december 2019, pagina 32. 40 Zie Dossierstuk 11, rapport van 5 december 2019, pagina 17. 41 Zie Dossierstuk 11, rapport van 5 december 2019, pagina 4. 42 Zie Dossierstuk 25, Antwoorden van Transavia, datum 26 mei 2020. 43 Zie Dossierstuk 38, Antwoorden van Transavia datum 24 september 2020. &lt;!-- image --&gt; Datum 23 september 2021 Ons kenmerk [VERTROUWELIJK] De AP komt tot de conclusie dat Transavia ten tijde van de inbreuk persoonsgegevens verwerkte van ruim 25 miljoen personen. Hiervan zijn persoonsgegevens gelekt van tot 83.000 personen en gezondheidsgegevens van 367 personen. ## 2.3 Beveiliging ten tijde van de inbreuk ## 2.3.1 Toegang tot het [VERTROUWELIJK] domein In het wachtwoordbeleid van Transavia staat aangegeven welke eisen er gelden per gebruiker, per mogelijk risiconiveau. 44 In het wachtwoordbeleid van Transavia staan 3 niveaus vermeldt: -  ' Minimal baseline', het standaard niveau; -  'Medium Additions', additionele maatregelen voor gebruikers met meer bevoegdheden; -  'Medium and High additions', extra maatregelen voor bepaalde hoog risico gebruikers. De gebruikers die gebruikt zijn door de aanvaller hadden volgens Transavia de volgende niveaus: 45 -  [VERTROUWELIJK] had als niveau: minimal baseline -  [VERTROUWELIJK] had niveau: Medium and High security additions De externe dienstverlener heeft aangegeven dat de [VERTROUWELIJK] gebruikers ' contained the highest possible privileges '. Een gebruiker met minimal baseline heeft volgens het wachtwoordbeleid de volgende wachtwoordeisen: 46 -  [VERTROUWELIJK] -  [VERTROUWELIJK] -  [VERTROUWELIJK] -  [VERTROUWELIJK] -  [VERTROUWELIJK] Voor High security additions zijn de volgende aanvullende eisen van toepassing: 47 -  [VERTROUWELIJK] -  [VERTROUWELIJK] -  [VERTROUWELIJK] -  [VERTROUWELIJK] -  [VERTROUWELIJK] -  [VERTROUWELIJK] -  [VERTROUWELIJK] -  [VERTROUWELIJK] -  [VERTROUWELIJK] 44 Dossierstuk 25, Antwoorden van Transavia, datum 26 mei 2020 - Bijlage 1: Personnel &amp;amp; Access Control Standard. 45 Zie Dossierstuk 25, Antwoorden van Transavia, datum 26 mei 2020. 46 Zie Dossierstuk 25, Antwoorden van Transavia, datum 26 mei 2020 - Bijlage 1: Personnel &amp;amp; Access Control Standard. 47 Zie Dossierstuk 25, Antwoorden van Transavia, datum 26 mei 2020 - Bijlage 1: Personnel &amp;amp; Access Control Standard. &lt;!-- image --&gt; Datum 23 september 2021 ## Ons kenmerk [VERTROUWELIJK] Transavia onderscheidt twee typen gebruiker accounts: ' user accounts ' en ' generieke accounts '. De ' user accounts ' betreffen individuele personen. De ' generieke accounts ' bestaan voor meerdere personen of systemen, onder andere voor koppelingen tussen systemen. Inloggen op deze gebruikers vindt veelal automatisch plaats volgens Transavia. 48 De AP heeft aan Transavia gevraagd waarom de accounts die betrokken waren bij de inbreuk niet voldeden aan de eigen standaarden van Transavia. Transavia geeft in haar antwoord aan dat de focus lag op ' user accounts ' als het gaat om naleving van het wachtwoordenbeleid. Dit zijn in verhouding meer accounts en er werd geacht dat hieruit de meeste risico's zouden voortvloeien. Ook heeft Transavia aangegeven dat deze aanpak de ' awareness ' zou verhogen binnen de organisatie. Vanwege deze focus zouden de tekortkomingen voor de generieke accounts betrokken in de inbreuk niet zijn opgemerkt. 49 In het wachtwoordbeleid staat verder dat er voor ' remote access ' meerfactorauthenticatie vereist is. 50 Uit het rapport blijkt dat dit niet het geval was voor de gebruikers waarmee de aanvaller toegang heeft kunnen verkrijgen. Zo is toegang geweest tot een Citrix omgeving zonder meerfactorauthenticatie. De externe dienstverlener geeft als een van de aanbevelingen aan Transavia het implementeren van meerfactorauthenticatie voor gebruikers wiens accounts toegankelijk zijn vanaf het internet of in ieder geval voor gebruikers met veel rechten. 51 Citrix zelf adviseert zelf ook om meerfactorauthenticatie voor het gebruik van hun applicatie in te voeren. 52 De AP heeft aan Transavia gevraagd waarom toegang mogelijk was tot een telewerkomgeving zonder gebruik te maken van meerfactorauthenticatie bij de accounts betrokken in de inbreuk. 53 Als antwoord heeft Transavia aangegeven dat eerst voor de ' user accounts ' is begonnen met de uitrol van deze maatregelen. De implementatie van deze maatregelen bij de ' user accounts ' duurde langer dan verwacht. Vliegend personeel maakt bij haar werkzaamheden gebruik van applicaties die nodig zijn voor een veilige vlucht. Indien een maatregel zoals meerdere factoren authenticatie vertraging zou veroorzaken, zou dit grote vertragingen bij vluchten kunnen veroorzaken. ' Generieke accounts ' hadden lagere prioriteit bij Transavia. Omdat de implementatie bij het vliegend personeel vertraagd was, was de implementatie bij de ' generieke accounts ' ook vertraagd. 54 48 Zie Dossierstuk 38, Antwoorden van Transavia datum 24 september 2020. 49 Zie Dossierstuk 38, Antwoorden van Transavia datum 24 september 2020. 50 Zie Dossierstuk 25, Antwoorden van Transavia, datum 26 mei 2020 - Bijlage 1: Personnel &amp;amp; Access Control Standard. 51 Zie Dossierstuk 11, rapport van 5 december 2019, pagina 21. 52 Zie Dossierstuk 40, Citrix best practices, 9 april 2019. 53 Dossierstuk 30, Brief AP aan Transavia van 4 september 2020. 54 Zie Dossierstuk 38, Antwoorden van Transavia datum 24 september 2020. &lt;!-- image --&gt; Datum 23 september 2021 ## Ons kenmerk [VERTROUWELIJK] De AP heeft aan Transavia gevraagd of periodieke controles plaatsvonden van het beveiligingsbeleid en de feitelijke implementatie hiervan. Transavia heeft hierop aangegeven dat er meerdere periodieke controles plaatsvinden: 55 -  [VERTROUWELIJK] 56 -  [VERTROUWELIJK] -  [VERTROUWELIJK] Bij de [VERTROUWELIJK] controle is ook aangegeven dat voor geprivilegieerde accounts (accounts met veel toegangsrechten) er controle moet plaatsvinden of de wachtwoorden voldoen aan het beleid van Transavia. 57 Transavia heeft als voorbeeld hiervan de resultaten aangeleverd van een [VERTROUWELIJK] controle van 2019, kwartaal 3. De bevindingen gaan over de periode van 12 maanden vóór het onderzoek. Hierin staan positieve en negatieve resultaten aangegeven. Bij meerdere systemen is hier aangegeven dat de wachtwoorden niet voldeden aan het beleid van Transavia. 58 De AP stelt vast dat de gebruikte wachtwoorden in de aanval niet aan de eisen voldeden van het wachtwoordbeleid van Transavia. Ook was voor deze gebruikers geen meerfactorauthenticatie aanwezig, terwijl deze gebruikers wel toegankelijk waren via het internet of via telewerk software. ## 2.3.2 Toegang binnen het [VERTROUWELIJK] domein De aanvaller had tijdens de inbreuk toegang tot vrijwel het hele [VERTROUWELIJK] domein. Transavia heeft meer netwerksegmentatie als vervolgmaatregel doorgevoerd. 59 Volgens het Nationaal Cyber Security Centrum (NCSC) is netwerksegmentatie het ' netwerk opdelen in functionele segmenten '. Met netwerksegmentatie worden alleen de systemen die onderling moeten communiceren samen in aparte segmenten geplaatst. ' Gebruikers krijgen alleen toegang tot de segmenten die zij nodig hebben.' . 60 De AP heeft aan Transavia gevraagd of de aanvaller bij de systemen waar automatisch toegang toe is verkregen ook andere zaken had kunnen doen zoals gegevens kopiëren, inzien of anderzijds bewerken. 61 Transavia heeft aangegeven dat de aanvaller deze mogelijkheid had. In de schriftelijke reactie noemt Transavia een aantal beveiligingsmaatregelen die van kracht waren op het moment van de inbreuk: ' Op het moment van de inbreuk had Transavia verschillende maatregelen getroffen in het kader van haar beveiligingsbeleid om de gevolgen van een onbevoegde inlogpoging te voorkomen, waaronder monitoring. Zo werden met het voor Transavia door haar IT-leverancier ingerichte Security Operations Centre de computer- en netwerkactiviteiten van Transavia in de gaten gehouden en gecontroleerd op afwijkende activiteiten. Via dit systeem 55 Zie Dossierstuk 38, Antwoorden van Transavia datum 24 september 2020. 56 Dossierstuk 38, Antwoorden van Transavia datum 24 september 2020 - Bijlage 6: [VERTROUWELIJK]. 57 Dossierstuk 38, Antwoorden van Transavia datum 24 september 2020 - Bijlage 6: [VERTROUWELIJK]. 58 Dossierstuk 38, Antwoorden van Transavia datum 24 september 2020 - Bijlage 7: Resultaten [VERTROUWELIJK] 2019 - Q3. 59 Zie Dossierstuk 25, Antwoorden van Transavia, datum 26 mei 2020. 60 Zie Dossierstuk 41, NCSC, Ransomware, maatregelen voor het voorkomen, beperken en herstellen van een ransomware-aanval, juni 2020. 61 Dossierstuk 30, Brief AP aan Transavia van 4 september 2020. &lt;!-- image --&gt; Datum 23 september 2021 Ons kenmerk [VERTROUWELIJK] ontving Transavia op 21 oktober 2019 de beveiligingsmelding van haar IT-leverancier die duidde op ongeautoriseerde toegang tot het IT-landschap van Transavia.' 62 In het forensisch rapport is aangegeven dat de beheerder logging mogelijkheden had ingericht, waardoor de externe dienstverlener de gebeurtenissen voor een groot gedeelte heeft kunnen reconstrueren. De externe dienstverlener heeft gebruik kunnen maken van de [VERTROUWELIJK] 63 omgeving van Transavia. 64 Uit onderzoek bleek dat het mogelijk was om bepaalde logbestanden te verwijderen. Aangegeven is dat gedurende een week op tenminste [VERTROUWELIJK] systemen logbestanden zijn verwijderd. Ook is beschreven dat bepaalde logging niet bijgehouden werd in de gecentraliseerde omgeving, waaronder van Citrix en van bepaalde kritieke systemen. Een aanbeveling van de externe dienstverlener is dan ook de centrale logging uit te breiden om de integriteit hiervan te bewaken. Ook zou dit leiden tot betere respons op incidenten. 65 In het forensisch rapport staat verder dat op diverse systemen verouderde besturingssystemen geïnstalleerd waren. Ook staat er dat de geïmplementeerde meerfactorauthenticatie op bepaalde systemen dusdanig was ingeregeld dat een gebruiker zelf een telefoonnummer kon invullen om een tweede factor bericht op te ontvangen. Bepaalde systemen hadden ongecontroleerd toegang tot het internet. Hierdoor heeft de aanvaller kunnen communiceren met externe systemen vanuit het netwerk van Transavia. 66 Tot slot was er onvoldoende netwerk indringer detectie aanwezig was. Hierdoor was er sprake van een beperkt zicht op netwerkactiviteit van de aanvaller. 67 ## 2.4 Maatregelen na de inbreuk Nadat Transavia op 21 oktober 2019 erachter is gekomen dat een aanvaller ongeautoriseerde toegang heeft gehad tot haar systemen, heeft Transavia direct door een externe dienstverlener een forensische analyse laten uitvoeren. Na de vaststelling van de inbreuk heeft Transavia verschillende maatregelen genomen. Transavia heeft onder andere voor alle eindgebruikers en apparaten tweefactor-authenticatie ingevoerd. Daarnaast zijn de wachtwoorden van alle gebruikers- en generieke accounts gereset en zijn wachtwoordvereisten technisch doorgevoerd. Tot slot heeft Transavia haar netwerk opgedeeld in meerdere segmenten. 68 62 Zie Dossierstuk 25, Antwoorden van Transavia, datum 26 mei 2020. 63 [VERTROUWELIJK] maakt het mogelijk om gegevens uit een grote hoeveelheid verschillende bronnen (geautomatiseerd) te analyseren en signaleringen te ontvangen hierop. Een gecentraliseerde omgeving waarbij een systeem logging uit verschillende bronnen verzamelt, analyseert en rapporteert wordt ook wel een Security Information and Event Management (SIEM) genoemd. Zie ook: Dossierstuk 42, NCSC, Handreiking voor implementatie van detectie oplossingen, oktober 2015. 64 Zie Dossierstuk 11, rapport van 5 december 2019, pagina 4. 65 Zie Dossierstuk 11, rapport van 5 december 2019, pagina 23 en 29. 66 Zie Dossierstuk 11, rapport van 5 december 2019, pagina 27 en 28. 67 Zie Dossierstuk 11, rapport van 5 december 2019, pagina 29. 68 Schriftelijke zienswijze Transavia, 28 juni 2021, pagina 7 en 8. &lt;!-- image --&gt; Datum 23 september 2021 Ons kenmerk [VERTROUWELIJK] ## 2.5 Zienswijze Transav</t>
  </si>
  <si>
    <t>Autoriteit_Persoonsgegevens__https___www.autoriteitpersoonsgegevens.nl_uploads_imported_boete_transavia.txt::Besluitvormend Orgaan</t>
  </si>
  <si>
    <t>Autoriteit Persoonsgegevens [61453:61480]</t>
  </si>
  <si>
    <t>Autoriteit Persoonsgegevens [313:340]</t>
  </si>
  <si>
    <t xml:space="preserve">No.2011/0259-08 No. 2011/0259-08
&lt;!-- image --&gt;
## DE MINISTER VAN ECONOMISCHE ZAKEN, LANDBOUW EN INNOVATIE
Gezien de aanvraag d.d. 22 februari 2011 en de daarop aanvullende informatie d.d. 26 april 2011, van de Stichting Amphia Ziekenhuis te Breda, om wijziging van een vergunning als bedoeld in artikel 29 van de Kernenergiewet en als bedoeld in hoofdstuk 4, artikel 23, van het Besluit stralingsbescherming;
Gelet op de artikelen 29-31 en 34 van de Kernenergiewet en het bepaalde in hoofdstuk 4 van het Besluit stralingsbescherming;
Gelet op de d.d. 14 augustus 2000, onder nr. 2000/21704, AI/CK/B/KEW, verleende vergunning, laatstelijk gewijzigd d.d. 28 mei 2010, onder nr. 2010/1000-05;
Overwegende, dat de in de aanvraag bedoelde handelingen voorkomen in bijlage 1 (gerechtvaardigde handelingen en werkzaamheden) van de Regeling bekendmaking rechtvaardiging gebruik van ioniserende straling.
## BESLUIT:
D    i  i     i gewijzigd d.d. 28 mei 2010, onder nr. 2010/1000-05 wordt gewijzigd, zodat deze thans luidt als volgt:
Aan de Stichting Amphia Ziekenhuis, Molengracht 21 te Breda, wordt vergunning verleend voor:
- het verrichten van handelingen met radioactieve stoffen;
- het verrichten van handelingen met ioniserende straling uitzendende toestellen.
## In deze vergunning wordt verstaan onder:
- Locatie Molengracht:
- Stichting Amphia Ziekenhuis;
- Locatie Langendijk:
- Stichting Amphia Ziekenhuis;
- Locatie Pasteurlaan:
- Stichting Amphia Ziekenhuis;
- Aanbevelingen Nucleaire Geneeskunde: Publicatie van de Nederlandse Vereniging voor Nucleaire Geneeskunde;
- Aanbevelingen "Het werken met therapeutische doses radionucliden – 2005":
- Publicatie van het ministerie van Volkshuisvesting, Ruimtelijke Ordening en Milieubeheer;
- bergplaats: Ruimte, uitsluitend bedoeld voor de opslag van radioactieve stoffen. De voorschriften die gelden ten aanzien van de bergplaats worden verder uitgewerkt in deze vergunning;
- besmettingscontrole:
Onder een besmettingscontrole wordt verstaan een controle van een voorwerp (niet zijnde een ingekapselde bron) op radioactieve besmetting. Bij deze controle wordt nagegaan of zich op de betreffende plaatsen radioactiviteit bevindt. Bij besmettingscontrole van een bronhouder worden die plaatsen gecontroleerd waarvan wordt verwacht dat in geval van een defect van de bron het eerst besmetting zal optreden;
- bewaakte zone:
Een ruimte wordt aangemerkt als bewaakte zone indien de door verblijf in die ruimte mogelijk in een kalenderjaar te ontvangen effectieve dosis hoger is dan 1 mSv en lager dan 6 mSv of de mogelijk in een kalenderjaar te ontvangen equivalente dosis hoger is dan:
- 15 mSv voor de ooglens, of
- 50 mSv voor de huid, gemiddeld over enig blootgesteld huidoppervlak van 1 cm², en lager dan:
- 45 mSv voor de ooglens,
- 150 mSv voor de huid, gemiddeld over enig blootgesteld huidoppervlak van 1 cm², of
- 150 mSv voor handen, onderarmen, voeten en enkels;
- bron:
Toestel dan wel radioactieve stof;
- broncertificaat: Document, opgemaakt door de producent van de ingekapselde bron, waarop de belangrijkste gegevens zijn vermeld. In ieder geval moeten activiteit, nuclide, gegevens van de capsule, classificatie volgens ISO 2919:1999 en bronnummer van de ingekapselde bron worden vermeld. Van bronnen die vóór 1995 zijn geproduceerd moeten de gegevens worden vastgelegd voor zover ze beschikbaar zijn of te achterhalen zijn;
- bronhouder:
Behuizing van een ingekapselde bron, waaruit deze niet zonder hulpgereedschap is te verwijderen;
- coördinerend deskundige:
- Stralingsdeskundige als bedoeld in artikel 9, eerste lid, van het Besluit stralingsbescherming, die jegens de ondernemer ervoor zorgt dat de handelingen met ioniserende straling plaatsvinden binnen de kaders en voorschriften van deze vergunning. Deze coördinerend deskundige coördineert tevens de handelingen van de toezichthoudend deskundigen;
- Deskundigheidseisen voor medische stralingstoepassingen:
Rapport van de Commissie Medische stralingstoepassingen van de Gezondheidsraad; publicatie nummer 1996/04;
- deskundigheidsniveau:
- Niveau als bedoeld in artikel 9, tweede lid, van het Besluit stralingsbescherming;
- diploma ioniserende straling:
- Diploma als bedoeld in artikel 132, tweede lid, van het Besluit stralingsbescherming;
- effectieve dosis:
De som van de gewogen equivalente doses in alle verschillende organen en weefsels ten gaevg in  ge  ing
- gecontroleerde zone:
Een ruimte wordt aangemerkt als gecontroleerde zone indien:
- a. de door verblijf in die ruimte mogelijk in een kalenderjaar te ontvangen effectieve dosis groter of gelijk is aan 6 mSv, of de mogelijk in een kalenderjaar te ontvangen equivalente dosis groter of gelijk is aan:
2. 45 mSv voor de ooglens,
3. 150 mSv voor de huid, gemiddeld over enig blootgesteld huidoppervlak van 1 cm², of
4. 150 mSv voor handen, onderarmen, voeten en enkels, of
- b. er een mogelijkheid is van verspreiding van radioactieve stoffen vanuit de ruimte zodanig dat personen in een kalenderjaar een effectieve dosis kunnen ontvangen die hoger is dan 1 mSv of een equivalente dosis die groter is dan:
6. 15 mSv voor de ooglens, of
7. 50 mSv voor de huid, gemiddeld over enig blootgesteld huidoppervlak van 1 cm²;
8. GHI Bulletin: GHI Bulletin Verantwoordelijkheidsstructuur stralenbescherming, Rijswijk, juli 1993, te verkrijgen bij de Inspectie voor de Gezondheidszorg te 's-Gravenhage;
9. handeling:
Het bereiden, voorhanden hebben, toepassen of zich ontdoen van een kunstmatige bron of van een natuurlijke bron, voor zover deze natuurlijke bron is of wordt bewerkt met het oog op zijn radioactieve eigenschappen, dan wel het gebruiken of voorhanden hebben van een toestel, uitgezonderd bij een interventie, een ongeval of een radiologische noodsituatie;
- ingekapselde bron:
Radioactieve stoffen die zijn ingebed in of gehecht aan vast dragermateriaal of zijn omgeven door een omhulling van materiaal met dien verstande dat hetzij het dragermateriaal hetzij de omhulling voldoende weerstand biedt om onder normale gebruiksomstandigheden elke verspreiding van radioactieve stoffen te voorkomen;
- lektest:
Een lektest is een controle van de behuizing van een radioactieve stof (vaak een capsule als ingekapselde bron) op radioactieve besmetting. Een bron wordt verondersteld lek te zijn wanneer een afgewreven activiteit van meer dan 185 becquerel wordt aangetoond;
- locatie:
De inrichting als aangewezen krachtens artikel 1.1, derde lid, van de Wet milieubeheer of plaats, waar een handeling of werkzaamheid wordt verricht, zoals is beschreven in de aanvraag;
- open bron:
Bron, niet zijnde een ingekapselde bron en niet zijnde een toestel;
- radioactieve besmetting: Onder radioactieve besmetting wordt verstaan een alfa besmetting van 0,4 becquerel (Bq) of er r mr  br  en m b  r r m mm Het betreft hier een afgewreven activiteit, waarbij het volgende in aanmerking wordt genomen:
* De detectie-limiet van de meting bedraagt voor alle nucliden maximaal 2 Bq. Deze waarde geldt dus zowel voor alfa als voor bèta/gamma bronnen. Hierbij is uitgegaan van tecn  n r    nr van radiotoxiciteit. Dit omdat anders voor de minder toxische stoffen een besmetting moet worden toegestaan, die vanuit het ALARA-principe opgeruimd had moeten worden;
- Het oppervlak dat wordt afgewreven bedraagt circa 5 cm²; *
- radionucliden-laboratorium:
- Onder een radionucliden-laboratorium van B-niveau, C-niveau respectievelijk D-niveau wordt verstaan hetgeen daarover is gesteld in de bijlage radionucliden-laboratorium;
- radiotoxiciteitsequivalent (Re):
De activiteit die bij inname leidt tot een effectieve volgdosis van 1 sievert voor een volwassen referentiepersoon;
- stralingsincident:
Ongewenste gebeurtenis die direct of op termijn een onvoorziene radioactieve besmetting en/of blootstelling aan ioniserende straling van personen zou kunnen veroorzaken (bijvoorbeeld: brand, defecte apparatuur, vermissing of ongeval);
- terreingrens:
De begrenzing van de locatie, zoals aangeduid op de plattegronden (bijlage A en B van de aanvraag d.d. 27 maart 2000, bijlage C en D van de aanvraag d.d. 25 mei 2001 en de bijlage van de aanvullende informatie locatie Langendijk d.d. 26 april 2011);
- toestel: Toestel dat ioniserende straling kan uitzenden en geen radioactieve stof, splijtstof of erts bevat;
- toezichthoudend deskundige:
Stralingsdeskundige als bedoeld in artikel 9, eerste lid, van het Besluit stralingsbescherming, die zelfstandig handelingen met ioniserende straling uitvoert of onder wiens toezicht handelingen met ioniserende straling worden uitgevoerd;
- voldoende instructie:
Instructie als bedoeld in de artikelen 15 en 16 van het Besluit stralingsbescherming, gericht op de handeling waarbij de werknemer betrokken is;
- waarschuwingsteken:
Waarschuwingsteken voor gevaar van besmetting of voor het kunnen ontvangen van een dosisequivalent, als bedoeld in artikel 20, eerste lid, van het Besluit stralingsbescherming, verder uitgewerkt in de Regeling waarschuwingssignalering ioniserende straling.
## Deze vergunning is uitsluitend van toepassing voor het volgende:
## A. RADIOACTIEVE STOFFEN
## Locatie Molengracht
Binnen de locatie Molengracht, gelegen aan de Molengracht 21 te Breda, mogen met radioactieve stoffen uitsluitend handelingen worden verricht ten behoeve van medische diagnostiek, therapie en ijk- en referentiedoeleinden, alsmede ten behoeve van de uitvoering van de sentinel node procedure, binnen de volgende omvang:
1. het voorhanden hebben en toepassen van open bronnen binnen de locatie tot een maximum van 150 radiotoxiciteitsequivalent voor inhalatie (Reinn);
2. het voorhanden hebben en toepassen van open bronnen ten behoeve van van medische diagnostiek en therapie in ten hoogste 1 radionucliden-laboratoria op B-niveau en 3 radionucliden-laboratoria op C-niveau met aangrenzende nevenruimten en de bergplaats, waarbij de belastingsfactor, berekend volgens hoofdstuk 2 van de bijlage radionuclidenlaboratorium, per radionucliden-laboratorium niet meer mag bedragen dan 1;
3. het voorhanden hebben en toepassen van de open bronnen rubidium-81 en krypton-81m in patiëntenmeetkamers, ten behoeve van medische diagnostiek (in vivo);
4. open bronnen, toegepast bij patiënten ten behoeve van medische diagnostiek, te weten maximaal per handeling:
4. 1 gigabecquerel (GBq) technetium-99m in diverse radiofarmaceutische samenstellingen;
5. 740 megabecquerel (MBq) krypton-81m als gas;
6. 370 MBq gallium-67 in diverse radiofarmaceutische samenstellingen;
7. 370 MBq indium-111 in diverse radiofarmaceutische samenstellingen;
8. 185 MBq thallium-201 in diverse radiofarmaceutische samenstellingen;
9. 370 MBq jodium-123 in diverse radiofarmaceutische samenstellingen;
10. 40 MBq jodium-124 in diverse radiofarmaceutische samenstellingen;
11. 5 MBq jodium-125 in diverse radiofarmaceutische samenstellingen;
12. 370 MBq jodium-131 in diverse radiofarmaceutische samenstellingen;
13. 185 MBq selenium-75 in diverse radiofarmaceutische samenstellingen;
14. 5 MBq chroom-51 in diverse radiofarmaceutische samenstellingen;
15. 1 MBq cobalt-57/cobalt-58 in diverse radiofarmaceutische samenstellingen;
16. 18,5 MBq ijzer-59 in diverse radiofarmaceutische samenstellingen;
17. 400 MBq fluor-18 in diverse radiofarmaceutische samenstellingen;
18. 40 kilobecquerel (kBq) koolstof-14 in een beperkt aantal radiofarmaceutische samenstellingen en een gezamenlijke activiteit van maximaal 4 MBq.
De hoeveelheid die aan patiënten wordt toegediend ten behoeve van medische diagnostiek voldoet aan de richtgetallen die volgens de laatste stand der wetenschap zijn vastgesteld door de beroepsgroep, zoals aangegeven in de Aanbevelingen Nucleaire Geneeskunde;
5. open bronnen, toegepast bij patiënten ten behoeve van medische therapie, te weten maximaal per handeling:
2. 5,5 GBq jodium-131 als natriumjodide in de vorm van capsules voor de behandeling van hyperthyreoïdie en verkleining van euthyreote strumata;
3. 1,2 GBq yttrium-90 in de vorm van yttrium-ibritumomab-tiuxetan (Zevalin®) voor behandeling van Non-Hodgkin Lymfoom;
4. 4 GBq samarium-153 als lexidronam (Quadramet) voor palliatieve behandeling van pijn bij multiple skeletmetastasen;
5. 1,5 GBq rhenium-186 als hydroxy ethylidene diphosphonaat (HEDP) voor palliatieve behandeling van pijn bij multiple skeletmetastasen;
6. 250 MBq strontium-89 in de vorm van strontiumchloride voor palliatieve behandeling van pijn bij multiple skeletmetastasen;
7. 1 GBq yttrium-90 in de vorm van yttriumsilicaat of yttriumcitraat voor radiochemische synovectomie van de grote gewrichten;
8. 400 MBq rhenium-186 als rheniumsulfide-colloïd voor radiochemische synovectomie van de kleine gewrichten;
9. 40 MBq erbium-169 als erbiumcitraat-colloïd voor radiochemische synovectomie van de zeer kleine gewrichten;
10. 185 MBq fosfor-32 als orthofosfaat voor de behandeling van polycythaemia vera.
11. D dn      d   d die voldoet aan de richtgetallen die volgens de laatste stand der wetenschap zijn vastgesteld door dnn n    n sz  de
6. het voorhanden hebben en toepassen van ingekapselde bronnen voor ijk- en ref n n   n n in n ein   ike activiteit van maximaal 5 GBq;
lendijk, gelegen aan de Langendijk : worden verricht ten behoeve van
tellen met een hoogspanning van m
eurlaan, gelegen aan de Pasteurlaar n worden verricht ten behoeve van
tellen met een hoogspanning van π
## nten
ten maken deel uit van deze vergur
2011 ingediende aanvraag en de o ', met de daarbij horende bijlagen; 10 ingediende verzoek;
9 ingediende aanvraag met de daa 2008 ingediende aanvraag met de ingediende aanvraag met de daar 005 ingediende aanvraag met de d r 2003 ingediende aanvraag en de aarbij behorende bijlagen;
- 2009 ingediende verzoek;
- 1 ingediende aanvraag en de op 11 aarbij behorende bijlagen;
- 000 ingediende aanvraag en de op aanvullingen daarop, met de daarbi
worden de volgende voorschriften
vergunde of in de voorschriften nie cht overeenkomstig de aanvraag e n het Besluit stralingsbescherming.
orgt ervoor dat de handelingen me rschriften van deze vergunning doc en minste het diploma ioniserende : naald;
- orgt ervoor dat deze coördinerend woordelijkheid en dat hij zo vaak a ian hem aflegt door middel van eer
orgt ervoor dat iedere handeling m van de coördinerend deskundige g deskundige. Deze deskundige wor verleg met de coördinerend desku 'erschillende toepassingen ten min igheid of een gelijkwaardig niveau:
7. het voorhanden hebben en toepassen van jodium-125 in de vorm van kle implanteerbare bronnen (zaadjes) met een activiteit van maximaal 10 ME gezamenlijke activiteit van maximaal 1 GBq voor de lokalisatie van tumor
8. het voorhanden hebben en toepassen van zes ingekapselde bronnen gerr activiteit van maximaal 122 MBq per bron en een gezamenlijke activiteit MBq voor ijk- en referentiedoeleinden;
9. het voorhanden hebben en toepassen van 1 ingekapselde bron gadoliniur activiteit van maximaal 3,7 GBq voor transmissiemetingen;
10. het uitvoeren van besmettingscontroles aan ingekapselde bronnen;
11. het toepassen in de vorm van bewerking en verwerking van radioactieve zover dit is gericht op preventie, hergebruik of scheiding aan de bron.
## Locatie Langendijk
Binnen de locatie Langendijk, gelegen aan de Langendijk 75 te Breda, mogen stoffen uitsluitend handelingen worden verricht ten behoeve van medische dia sentinel node procedure binnen de volgende omvang:
1. het voorhanden hebben en toepassen van open bronnen binnen de locatie van 1 radiotoxiciteitsequivalent voor inhalatie (Reinh);
2. het voorhanden hebben van open bronnen technetium-99m bij het operat weefsel van patiënten na sentinel node scintigrafie tot een maximum van en tot een maximum van 500 patiënten per jaar;
3. het voorhanden hebben van open bronnen technetium-99m in weefsel afk patiënten ten behoeve van pathologisch onderzoek na sentinel node scinti ma n n a    n vn   n atr
4. het voorhanden hebben en toepassen van jodium-125 in de vorm van klei implanteerbare bronnen (zaadjes) met een activiteit van maximaal 10 MB gezamenlijke activiteit van maximaal 100 MBq voor de lokalisatie van tum
## Locatie Pasteurlaan
Binnen de locatie Pasteurlaan, gelegen aan de Pasteurlaan 9 te Oosterhout, m radioactieve stoffen uitsluitend handelingen worden verricht ten behoeve van c procedure binnen de volgende omvang:
1. het voorhanden hebben van open bronnen technetium-99m bij het operat wen anl vl     v   an en tot een maximum van 3 patiënten per dag;
2. het voorhanden hebben van open bronnen technetium-99m in weefsel afk pan     ed    nt maximum van 10 MBq;
3. het voorhanden hebben en toepassen van jodium-125 in de vorm van klei implanteerbare bronnen (zaadjes) met een activiteit van maximaal 10 MB gezamenlijke activiteit van maximaal 50 MBq voor de lokalisatie van tumo
- B. TOESTELLEN
## Locatie Molengracht
Binnen de locatie Molengracht, gelegen aan de Molengracht 21 te Breda, moge uitsluitend handelingen worden verricht ten behoeve van medische diagnostiek omvang:
- a na n  n n n o n ot lt
open bronnen/besmettingscontrole/reinigen ingekapselde bronnen:
niveau 3
ingekapselde bronnen en toestellen met een matig risico:
niveau 4
10 of meer ingekapselde bronnen en/of toestellen met een gering risico:
niveau 4
toepassing van minder dan 10 ingekapselde bronnen, toepassing van toestellen met een gering risico en toepassing van open bronnen (Tc-99m) in de operatiekamer:
niveau 5;
- d. de ondernemer zorgt ervoor dat degenen die handelingen uitvoeren met de bronnen ten minste het volgende niveau van stralingsdeskundigheid of een gelijkwaardig niveau hebben:
- e. de ondernemer zorgt ervoor dat, onverminderd het gestelde in artikel 54 van het Besluit stralingsbescherming, in het kader van medische handelingen met behulp van ioniserende straling conform de Deskundigheidseisen voor medische stralingstoepassingen' ten minste de volgende deskundigheidsniveaus worden aangehouden voor artsen:
handelingen met open bronnen in het laboratorium:
voldoende instructie
toedienen van open bronnen aan patiënten:
niveau 4B
handelingen met ingekapselde bronnen en bedienen toestellen:
voldoende instructie;
nucleair geneeskundigen:
niveau 3
radiotherapeuten:
niveau 3M
radiologen:
niveau 3M (tot 1996 niveau 4)
overige specialisten:
niveau 4M
tandartsen, tandarts-specialisten:
niveau 5M.
De ondernemer draagt zorg voor bij/nascholing van reeds werkzame artsen en assisterenden.
## III. Open bronnen
## A. Algemeen
- a. een binnenkomende zending met een open bron wordt rechtstreeks naar de daarvoor bestemde ruimte gebracht. Zij wordt daar door of onder toezicht van ter zake kundig personeel uitgepakt en gecontroleerd. Indien de verpakking beschadigd is of wanneer tijdens het transport een incident heeft plaatsgevonden, dit ter beoordeling door de toezichthoudend deskundige, wordt de verpakking voorafgaand aan het uitpakken gecontroleerd op radioactieve besmetting. Tevens worden de identiteit en de activiteit van de open bron vastgesteld. Wanneer de zending met de open bron na werktijd wordt afgeleverd, wordt deze direct opgeslagen in een bergplaats;
- b. retouremballage van een zending met een open bron wordt, alvorens zij het radionuclidenlaboratorium verlaat, zowel in- als uitwendig ontdaan van radioactieve besmetting. Aanduidingen of waarschuwingstekens van radioactiviteit zijn hierop niet waarneembaar;
- C. het is voor onbevoegden niet mogelijk om een ruimte waarin handelingen met open bronnen plaatsvinden te betreden zonder dat de toezichthoudend deskundige daarvoor toestemming heeft gegeven. Voor een gecontroleerde zone waarin met open bronnen wordt gewerkt, geldt daarbij dat de ruimte is afgesloten met een cijferslot waarvan de code alleen bekend is bij geautoriseerde werknemers of afgesloten is met een vergelijkbare voorziening;
- d. in of bij de ruimte waarin handelingen met open bronnen plaatsvinden, zijn persoonlijke beschermingsmiddelen, werkkleding, zoals laboratoriumjassen en handschoenen, aanwezig zodat voorkomen kan worden dat werknemers besmet raken met radioactieve stoffen. Ter
controle van mogelijk aanwezige radioactieve besmetting is besmettingscontrole apparatuur aanwezig;
- de ruimten waarin handelingen met open bronnen plaatsvinden, worden regelmatig, volgens een vastgelegde procedure, gecontroleerd op radioactieve besmetting. Wanneer sprake is van radioactieve besmetting wordt deze door of onder toezicht van de toezichthoudend deskundige opgeruimd;
- f. de schoonmaak van een ruimte waarin handelingen met open bronnen plaatsvinden, wordt uitgevoerd door een werknemer die daarvoor voldoende instructie heeft ontvangen, onder toezicht van de toezichthoudend deskundige en nadat de ruimte is gecontroleerd op radioactieve besmetting;
- g. de bij de sentinel node procedure gebruikte materialen en andere hulpmiddelen worden ven vn vz yvi vn v vn vn vn n yvo radioactiviteit. Deze mogen de operatiekamer slechts verlaten met toestemming van de ter zake kundige of zijn gemachtigde;
- h. patiëntenweefsel dat radioactieve stoffen bevat, is deugdelijk verpakt en wordt voorzien van een duidelijk zichtbaar waarschuwingsteken;
- i. materialen die in de ruimte zijn geweest waarin handelingen met open bronnen plaatsvinden, verlaten deze ruimte slechts nadat zij gecontroleerd zijn op radioactieve besmetting. Wanneer sprake is van radioactieve besmetting wordt deze door of onder toezicht van de toezichthoudend deskundige opgeruimd;
- j. in een radionucliden-laboratorium is voor het meten van stralingsniveaus en radioactieve besmetting geschikte meetapparatuur aanwezig die is afgestemd op de gebruikte nucliden.
## B. Handelingen binnen het radionucliden-laboratorium
- a. een radionucliden-laboratorium voldoet aan de eisen die op grond van de Arbeidsomstandighedenwet aan laboratoria worden gesteld en zoals is aangegeven in hoofdstuk 1 van de bijlage radionucliden-laboratorium;
- b. een radionucliden-laboratorium op B-niveau wordt aangemerkt als gecontroleerde zone. Een radionucliden-laboratorium op C-niveau of op D-niveau wordt aangemerkt als bewaakte zone. Van deze indeling kan worden afgeweken, mits onderbouwd op basis van een risicoinventarisatie en -evaluatie;
- C. de totale hoeveelheid waarmee in het radionucliden-laboratorium en de daarbij behorende nevenruimten gelijktijdig per handeling wordt gewerkt, bedraagt niet meer dan de hoeveelheid die voor de gegeven omstandigheden wordt bepaald volgens de methode, die is beschreven in hoofdstuk 2 van de bijlage radionucliden-laboratorium. Bij het berekenen van de hoeveelheden wordt gebruik gemaakt van de parameterwaarden voor die omstandigheden, zoals is aangegeven in deze bijlage;
- d. de molybdeen-technetium-generator is voor toepassing en opslag aanwezig in een bergplaats;
- e. wanan  n n en  n  n  n gen in een bergplaats. Als dagelijkse voorraad kan een hoeveelheid van maximaal 0,5 Renh in de werkruimte worden opgeslagen.
## C. Handelingen buiten het radionucliden-laboratorium
- a. handelingen met open bronnen, in ruimten die vallen buiten het laboratoriumbeheer, vinden uitsluitend plaats na toestemming van de toezichthoudend deskundige en binnen de hoeveelheden waarvoor dit is toegestaan volgens hoofdstuk 2 van de bijlage radionuclidenlaboratorium;
- b. toediening van radioactieve stoffen aan patiënten vindt uitsluitend plaats in een daarvoor goedgekeurde ruimte;
- C. patiëntenonderzoekruimten, meetruimten en nevenruimten worden aangemerkt als bewaakte zone. Therapieruimten worden aangemerkt als gecontroleerde zone. Van deze indeling kan worden afgeweken, mits onderbouwd op basis van een risico-inventarisatie en -evaluatie;
- d. wanneer therapeutische behandelingen plaatsvinden, wordt gehandeld conform de Aanbevelingen "Het werken met therapeutische doses radionucliden – 2005";
- e. wanneer radioactieve stoffen worden toegediend aan klinische patiënten draagt de toezichthoudend deskundige ervoor zorg dat het betrokken personeel voldoende is geïnstrueerd ten aanzien van de stralingshygiënische aspecten. In de periode dat excreta radioactief besmet zijn, vindt bewaren daarvan voor onderzoek uitsluitend plaats op medische indicatie. De toezichthoudend deskundige zorgt ervoor dat radioactieve materialen en radioactieve besmettingen in de betrokken afdelingen worden opgeruimd;
- f. wanneer de therapeutische behandeling van een patiënt (zoals behandeling met radioactief jodium-131 in hoeveelheden met meer dan 400 MBq) isolatie van de patiënt noodzakelijk maakt, wordt de patiënt verpleegd in een speciaal hiervoor bestemde ruimte. Na toediening van de radioactieve stof mag de patiënt, tenzij zich bijzondere omstandigheden voordoen - oa  t n      e enn 2005", de ruimte niet verlaten, totdat aan de ontslagcriteria wordt voldaan. De deur van de ruimte wordt in deze periode zoveel mogelijk gesloten gehouden.
## IV. Ingekapselde bronnen
## A. Algemeen
- a. een binnenkomende zending met een ingekapselde bron wordt rechtstreeks naar de daarvoor bestemde ruimte gebracht. Zij wordt daar door of onder toezicht van ter zake kundig personeel uitgepakt en gecontroleerd. Indien de verpakking beschadigd is of wanneer tijdens het transport een incident heeft plaatsgevonden, dit ter beoordeling door de toezichthoudend deskundige, wordt de verpakking voorafgaand aan het uitpakken gecontroleerd op radioactieve besmetting. Wanneer de zending met een ingekapselde bron na werktijd wordt afgeleverd, wordt deze direct opgeslagen in een bergplaats;
2. retouremballage van een zending met een ingekapselde bron wordt, alvorens zij de locatie verlaat, zowel in- als uitwendig ontdaan van radioactieve besmetting. Aanduidingen of waarschuwingstekens van radioactiviteit zijn hierop niet waarneembaar;
- C. de constructie van een ingekapselde bron voldoet aan de eisen daaraan gesteld in de International Standard ISO 2919:1999;
- d. indien, in tegenstelling tot hetgeen hierboven is voorgeschreven, de ingekapselde bron niet hoeft te voldoen aan de voorschriften in de International Standard ISO 2919:1999 of daaraan niet kan voldoen, dan is de constructie van de ingekapselde bron zodanig dat verspreiding van radioactiviteit wordt voorkomen;
- e. de ingekapselde bron gaat vergezeld van een broncertificaat waarop de specifieke gegevens van de ingekapselde bron zijn weergegeven;
- f. de omstandigheden waaronder het feitelijk gebruik van de ingekapselde bron plaatsvindt, mogen niet zwaarder zijn dan waarvoor deze is ontworpen;
- g. de ingekapselde bron is niet lek;
- h. het beheer van de ingekapselde bron is zodanig dat steeds bekend is wat de gegevens van iedere bron zijn. De ingekapselde bron is daartoe, indien praktisch mogelijk, voorzien van een serienummer.
## B. Handelingen
- a. er zijn maatregelen genomen om te voorkomen dat de ingekapselde bron onbevoegd of onbedoeld in de stralingspositie kan worden gebracht;
- b. het apparaat, waarin de ingekapselde bron zich bevindt, is zodanig opgesteld, dat op de plaats waar zich personen kunnen bevinden het omgevingsdosisequivalenttempo niet meer dan 7,5 microsievert per uur bedraagt bij puntbronnen en niet meer dan 2,5 microsievert per uur bij staafbronnen;
- C. in de nabijheid van de ingekapselde bron zijn geen brandbare, brandbevorderende of explosieve stoffen aanwezig, tenzij hun aanwezigheid voor de bedrijfsvoering noodzakelijk is;
- d. de werklocatie is niet, of althans niet zonder nadere waarschuwing toegankelijk voor personen die niet direct bij de handelingen betrokken zijn;
- e. een ingekapselde bron, toegepast in een vaste meetopstelling, wordt in de bergplaats opgeborgen indien:
5. de meetopstelling definitief buiten gebruik is gesteld.
6. dit uit het oogpunt van stralingshygiëne noodzakelijk is;
Overige ingekapselde bronnen worden na gebruik opgeborgen in de bergplaats.
## V. Toestellen
## A. Handelingen
- ruimte en gebruik van het toestel zijn in stralingshygiënisch opzicht op elkaar afgestemd; buiten de ruimte bedraagt bij gebruik van het toestel op betreedbare plaatsen de effectieve dosis niet meer dan 1 millisievert per jaar;
- b. de bediening van het toestel geschiedt op een plaats waar de effectieve dosis minder bedraagt dan 1 millisievert per jaar;
- C. maatregelen zijn genomen om te voorkomen dat personen onbevoegd de ruimte kunnen betreden wanneer het toestel in werking is;
- d. in of bij de ruimte zijn voorzieningen zoals loodschorten en loodafscherming aanwezig om de blootstelling van de werknemers te beperken;
- e. indien met bouwkundige voorzieningen de benodigde dosisbeperking niet kan worden verkregen, wordt deze door middel van organisatorische maatregelen gerealiseerd;
- f. bi   e e   e e er personen aanwezig dan voor het betreffende onderzoek noodzakelijk is.
## VI. Bergplaats
- a. de bergplaats is uitsluitend bestemd voor de opslag van radioactieve stoffen en voldoet aan de volgende eisen:
2. de effectieve dosis aan de buitenzijde is zo laag als redelijkerwijs mogelijk is. In ieder v n   n  dl   ndd     dn bergplaats een dosisequivalenttempo gemeten van meer dan 1 microsievert per uur;
3. de buitenzijde van de bergplaats is voorzien van een duidelijk leesbaar en onuitwisbaar opschrift "RADIOACTIEVE STOFFEN" en van een duidelijk zichtbaar waarschuwingsteken;
4. de  n nn in u u   n  d ondernemer en personen die daartoe van hem de bevoegdheid hebben gekregen;
5. de constructie van de bergplaats waarborgt een brandwerendheid van ten minste 60 minuten. Hieronder wordt verstaan dat alle bouwdelen bij verhitting (volgens NEN 6068) hun functie ten minste 60 minuten blijven vervullen en dat de constructieonderdelen van de bergplaats voldoen aan klasse 1 als bedoeld in NEN 6065. Een vaste bergplaats is bovendien bekend bij de plaatselijke brandweer;
6. wanneer de bergplaats eenvoudig te verplaatsen is, wordt deze geplaatst in een afsluitbare ruimte of kast, die deugdelijk is afgesloten en uitsluitend geopend kan worden door de ondernemer en personen die daartoe van hem de bevoegdheid hebben gekregen;
- bij de opslag van open bronnen is de bergplaats eenvoudig decontamineerbaar. Is in dit geval de bergplaats ook betreedbaar, dan wordt zij bovendien geventileerd met een ventilatievoud van ten minste 3 maal per uur;
- in de bergplaats worden de containers die vloeistof bevatten zodanig opgesteld, dat bij lekkage van een container de vloeistof binnen een bak blijft. Onder deugdelijke container wonn sn v      n   von an binnenuit of buitenaf, zoals corrosie, breuk, etc.
## VII. Patiëntbescherming
- a. de ondernemer draagt zorg voor een deugdelijk en schriftelijk vastgelegd stralingsbeschermingsbeleid inhoudende onder meer zodanige maatregelen en procedures dat ten aanzien van diagnostische procedures elke blootstelling om medische redenen gerechtvaardigd is en zo beperkt wordt gehouden als redelijkerwijs mogelijk is en dat ten aanzien van therapeutische procedures elke blootstelling gerechtvaardigd is en dat daarbij elke blootstelling van gezonde weefsels rondom het doelvolume zo beperkt wordt gehouden als redelijkerwijs mogelijk is;
- b. de ondernemer draagt zorg voor een deugdelijk en schriftelijk vastgelegd beleid waarin de deskundigheidseisen ten aanzien van de stralingshygiëne zijn opgenomen van medisch en paramedisch personeel bij het toepassen van ioniserende straling bij patiënten. De on  -  r  z ng
- C. de ondernemer draagt zorg of doet zorgdragen voor een deugdelijk en schriftelijk vastgelegd beleid dat de aan de patiënt toe te dienen radiofarmaca alleen door een radiofarmaceut dan wel onder verantwoordelijkheid van een radiofarmaceut door bevoegde assisterenden worden bereid;
- d. de ondernemer draagt zorg voor een deugdelijk en schriftelijk vastgelegd beleid dat een snelle en effectieve verwerking van betrokken medische documenten waarborgt, zodanig dat de resultaten van reeds uitgevoerde onderzoeken en/of behandelingen zo snel mogelijk beschikbaar zijn;
- e. de ondernemer draagt er zorg voor dat er een stralingsbeschermingsorganisatiestructuur is ingesteld die gelijk is aan of gelijkwaardig is aan de in het GHI-bulletin beschreven structuur;
- f. de ondernemer draagt er zorg voor dat er een adequaat kwaliteitsborgingsprogramma ans  s g vi g o n    sn ing PET-camera's. Voor de invulling van het kwaliteitsborgingsprogramma wordt, waar aanwezig, gebruik gemaakt van door de betrokken beroepsgroepen opgestelde normen zoals die zijn opgenomen in de </t>
  </si>
  <si>
    <t xml:space="preserve">[...] uilonardweg 15 1117 EE Schiphol Datum 23 september 2021 Ons kenmerk [VERTROUWELIJK] Contactpersoon [VERTROUWELIJK] ## Onderwerp Besluit tot het opleggen van een boete ## Geachte heer, mevrouw, De Autoriteit Persoonsgegevens (AP) heeft besloten om aan Transavia Airlines C.V. een bestuurlijke boete van € 400.000 op te leggen. De AP komt is tot de conclusie gekomen dat Transavia geen passende maatregelen getroffen heeft om een op het risico afgestemd beveiligingsniveau te waarborgen. Hierdoor heeft Transavia in strijd gehandeld met artikel 32, eerste en tweede lid, van de Algemene verordening gegevensbescherming. De AP licht het besluit hierna nader toe. Hoofdstuk 1 betreft een inleiding en hoofdstuk 2 bevat de feiten. De AP beoordeelt in hoofdstuk 3 of er sprake is van verwerking van persoonsgegevens, de verwerkingsverantwoordelijkheid en de overtreding. In hoofdstuk 4 wordt de (hoogte van de) bestuurlijke boete uitgewerkt en hoofdstuk 5 bevat het dictum en de rechtsmiddelenclausule. ## Autoriteit Persoonsgegevens Postbus 93374, 2509 AJ Den Haag Bezuidenhoutseweg 30, 2594 AV Den Haag T 070 8888 500 - F 070 8888 501 autoriteitpersoonsgegevens.nl &lt;!-- image --&gt; ## Datum 23 september 2021 Ons kenmerk [VERTROUWELIJK] ## 1. Inleiding ## 1.1 Betrokken organisatie Dit besluit heeft betrekking op Transavia Airlines C.V. (hierna: Transavia), gevestigd aan de Piet Guilonardweg 15, 1117 EE te Schiphol. Het bedrijf staat ingeschreven in het handelsregister onder nummer: 34069081. 1 Als luchtvaarmaatschappij verzorgt Transavia vluchten voor zakelijke reizigers en consumenten binnen Europa. Op 24 oktober 2019 heeft de AP een melding ontvangen van Transavia over een inbreuk op de beveiliging van persoonsgegevens als bedoeld in artikel 33 van de AVG. In deze melding is door Transavia aangegeven dat een kwaadwillende derde partij ongeautoriseerd toegang heeft gehad tot systemen van Transavia. Naar aanleiding hiervan heeft de AP ambtshalve onderzocht of de technische maatregelen bij Transavia met betrekking tot de toegang tot persoonsgegevens passend waren als bedoeld in artikel 5, lid 1, sub f jo. artikel 32 van de AVG. Specifiek richtte dit onderzoek zich op de toegang tot bepaalde gebruikers-accounts bij Transavia, alsmede de rechten en mogelijkheden die deze gebruikers-accounts hadden binnen de systemen van Transavia. ## 1.2 Procesverloop Op 28 november 2019 heeft de AP telefonisch contact opgenomen met Transavia over de datalekmelding van 24 oktober 2019 en de daarop volgende meldingen. Toezichthouders van de AP hebben vervolgens meermaals informatie opgevraagd bij Transavia waarop Transavia deze informatie heeft geleverd. Bij brief van 12 mei 2021 heeft de AP aan Transavia een voornemen tot handhaving verzonden en het daaraan ten grondslag gelegde rapport met bevindingen. Transavia heeft op 28 juni 2021 hierop schriftelijk een zienswijze gegeven. 1 Zie Dossierstuk 26, Inschrijving Handelsregister Transavia Airlines C.V. &lt;!-- image --&gt; Datum 23 september 2021 Ons kenmerk [VERTROUWELIJK] ## 2. Feiten ## 2.1 De inbreuk bij Transavia In de datalekmelding van 24 oktober 2019 heeft Transavia aangegeven dat een kwaadwillende derde partij (hierna ook: 'aanvaller') ongeautoriseerd toegang heeft gehad tot systemen van Transavia. 2 Transavia is volgens de melding hier op 21 oktober 2019 achter gekomen. Transavia heeft vervolgens een externe dienstverlener ingeschakeld en samen met deze dienstverlener is de aanvaller van de systemen van Transavia geweerd. Verder heeft de externe dienstverlener geanalyseerd welke systemen getroffen waren en welke gegevens betrokken waren. In het rapport opgesteld door de externe dienstverlener (hierna ook: 'forensisch rapport') is beschreven dat een aanvaller gebruik heeft gemaakt van [VERTROUWELIJK] e-mailadressen. Deze adressen zijn mogelijk te vinden op het internet. 3 De aanvaller probeerde toegang te verkrijgen tot de [VERTROUWELIJK] 4 De aanvaller heeft gebruik gemaakt van een ' password spray ' of ' credential stuffing ' aanval. Met een " password spray ' aanval gebruikt een aanvaller veel gebruikte wachtwoorden om op een geautomatiseerde manier ongeautoriseerde toegang te krijgen. Bij ' credential stuffing' aanval gebruikt een aanvaller bekende gebruikersgegevens (afkomstig uit andere datalekken van derden) om te proberen toegang te krijgen tot een systeem. Op 12 september 2019 om 9:52 uur vond een succesvolle inlogpoging plaats door de aanvaller. De gebruikte gebruikersnaam was [VERTROUWELIJK] en het wachtwoord was [VERTROUWELIJK]. Met deze inlog kon de aanvaller gebruikmaken van de [VERTROUWELIJK] gebruiker. 5 Dit is een gebruiker die werd gebruikt voor [VERTROUWELIJK]. 6 Met de [VERTROUWELIJK] gebruiker was het mogelijk om toegang te krijgen tot een Citrix omgeving van Transavia. Citrix is software die het mogelijk maakt om te telewerken. Vervolgens was het mogelijk om mogelijke [VERTROUWELIJK]-gebruikers in het [VERTROUWELIJK] domein te achterhalen. 7 Het is de aanvaller vervolgens gelukt om de authenticatiegegevens te verkrijgen van de gebruiker [VERTROUWELIJK] door wederom het wachtwoord [VERTROUWELIJK] te gebruiken. Deze gebruiker 2 Transavia France S.A.S. (zustermaatschappij van Transavia) heeft afzonderlijk gemeld bij de Franse toezichthouder volgens de datalekmelding van 24 oktober 2019 omdat er ook persoonsgegevens zouden zijn betrokken waar Transavia France S.A.S verantwoordelijk voor is. Zie Dossierstuk 1, melding van 24 oktober 2019. 3 Zie Dossierstuk 11, rapport van 5 december 2019, pagina 21. 4 Active Directory Federation Services Webservice is software van Microsoft, die organisaties in staat stelt Single Sign On Services te bewerkstellingen in een organisatie. 5 Zie Dossierstuk 11, rapport van 5 december 2019, pagina 21. 6 Zie Dossierstuk 25, Antwoorden van Transavia, datum 26 mei 2020. 7 Zie Dossierstuk 11, rapport van 5 december 2019, pagina 21. Een netwerkdomein is een groep computers (systemen) binnen een computernetwerk met als doel de systemen gecentraliseerd te beheren. &lt;!-- image --&gt; Datum 23 september 2021 ## Ons kenmerk [VERTROUWELIJK] had volgens Transavia ' de hoogste privileges in het [VERTROUWELIJK]'. 8 In principe betekent dit dat de accounts [VERTROUWELIJK] en [VERTROUWELIJK] tezamen toegang verschaften tot een groot deel van het computernetwerk van Transavia. 9 De rol van het account was bedoeld om te dienen als koppeling tussen het HR systeem van Transavia en de Active Directory (om te bepalen welke medewerkers welke rechten tot systemen behoren te krijgen). 10 Active Directory is een dienst van Microsoft die (onder andere) wordt gebruikt om rechten van gebruikers te beheren. Vervolgens verkende de aanvaller de systemen van Transavia die onderdeel zijn van het domein. In deze verkenningsfase, is er (waarschijnlijk geautomatiseerd) ingelogd op [VERTROUWELIJK] systemen. 11 In totaal is er activiteit waargenomen betreffende [VERTROUWELIJK] systemen. De externe dienstverlener heeft op [VERTROUWELIJK] systemen vast kunnen stellen dat sprake is van gegevens die zijn gekopieerd. 12 De aanvaller had mogelijk interesse in toegang tot [VERTROUWELIJK]. Toegang hiertoe verkrijgen is echter niet gelukt. 13 Dit is ook bevestigd door Transavia. 14 De aanvaller heeft op tenminste [VERTROUWELIJK] systemen [VERTROUWELIJK] logbestanden verwijderd. 15 De aanvaller heeft verder gebruik gemaakt van [VERTROUWELIJK] software. Dit is penetratie test software die bedoeld is om kwetsbaarheden te vinden in een IT-landschap. De externe dienstverlener heeft op tenminste [VERTROUWELIJK] systemen hier aanwijzingen voor gevonden. Op 21 oktober 2019 is dit type aanval door de beheerder opgemerkt en heeft de beheerder onderzoek ingesteld. Na 21 oktober 2019 zijn ook geen activiteiten meer waargenomen van de aanvaller. 16 Op basis van deze signalering is door Transavia op 22 oktober 2019 een externe dienstverlener ingeschakeld (niet de beheerder). De externe dienstverlener heeft een forensische analyse uitgevoerd. Uit de analyse bleek dat het merendeel van de activiteiten van de aanvaller gericht waren op verkenningsactiviteiten. De volgende gegevens zijn echter wel gekopieerd: Netwerk documentatie, zakelijke en diverse andere documenten alsmede zes e-mailboxen. 17 Er zijn door Transavia [VERTROUWELIJK] systemen als kritiek bestempeld. Hier zat een systeem tussen voor de uitwisseling van gegevens met [VERTROUWELIJK]. Ook zaten hier [VERTROUWELIJK] bij en een [VERTROUWELIJK]. Op een van de kritieke systemen, het [VERTROUWELIJK], zijn bepaalde logbestanden verwijderd. Hierdoor was er op dit systeem minder bewijs over wat er gebeurd is met dit systeem. 18 8 Zie Dossierstuk 38, Antwoorden van Transavia datum 24 september 2020. 9 Zie Dossierstuk 11, rapport van 5 december 2019, pagina 21. 10 Zie Dossierstuk 25, Antwoorden van Transavia, datum 26 mei 2020. 11 Zie Dossierstuk 11, rapport van 5 december 2019, pagina 21. 12 Zie Dossierstuk 11, rapport van 5 december 2019, pagina 26. 13 Zie Dossierstuk 11, rapport van 5 december 2019, pagina 25. 14 Zie Dossierstuk 25, Antwoorden van Transavia, datum 26 mei 2020. 15 Zie Dossierstuk 11, rapport van 5 december 2019, pagina 23. 16 Zie Dossierstuk 11, rapport van 5 december 2019, pagina 25. 17 Zie Dossierstuk 11, rapport van 5 december 2019, pagina 4. 18 Zie Dossierstuk 11, rapport van 5 december 2019, pagina 17. &lt;!-- image --&gt; Datum 23 september 2021 ## Ons kenmerk [VERTROUWELIJK] Op 22 november 2019 heeft Transavia opdracht gegeven aan de externe dienstverlener om de mailboxen te onderzoeken die door de aanvaller in deze inbreuk zijn gekopieerd naar een externe locatie. Het doel van het onderzoek betrof de persoonsgegevens in zes mailboxen: vijf mailboxen van medewerkers en één van een oud-medewerker. In de mailboxen bleken 49 bestanden met persoonsgegevens aanwezig. 19 Deze mailboxen waren volgens Transavia (met name) in gebruik bij [VERTROUWELIJK] medewerkers. 20 Deze bestanden zijn vervolgens geanalyseerd en op basis hiervan is besloten een mededeling te doen aan 81.000 betrokkenen, zoals verplicht in artikel 34 van de AVG indien er mogelijk sprake is van een hoog risico. 21 Deze groep betrokkenen bestond uit werknemers van Transavia en klanten van Transavia. De medewerkers wiens mailboxen waren gekopieerd, waren reeds mondeling geïnformeerd volgens Transavia. 22 Transavia geeft aan dat sinds 25 november 2019 de aanvaller definitief geen toegang meer had tot het ITlandschap van Transavia. 23 Dit is ook bevestigd door de externe dienstverlener. 24 Samenvattend heeft een onbevoegde derde partij toegang gehad tot systemen van Transavia. Bij deze toegang was het mogelijk een gebruiker met veel rechten te gebruiken, waardoor de aanvaller veel mogelijkheden had binnen deze systemen. Hierdoor is er toegang geweest tot veel systemen en zijn er ook persoonsgegevens gekopieerd naar een externe locatie. ## 2.2 Soort persoonsgegevens Er zijn twee groepen te onderscheiden persoonsgegevens in deze inbreuk: (1) persoonsgegevens die de aanvaller heeft gekopieerd naar een externe locatie en (2) persoonsgegevens waar de aanvaller toegang tot had. ## 2.2.1 Persoonsgegevens die zijn gekopieerd naar een externe locatie De volgende persoonsgegevens die zich in de mailboxen bevonden zijn door de aanvaller gekopieerd (exclusief de bestandsnamen): 25 | [VERTROUWELIJK] | [VERTROUWELIJK] | [VERTROUWELIJK] | [VERTROUWELIJK] | |-------------------|-------------------|-------------------|-------------------| | [VERTROUWELIJK] | [VERTROUWELIJK] | [VERTROUWELIJK] | [VERTROUWELIJK] | &lt;!-- image --&gt; ## Datum 23 september 2021 ## Ons kenmerk [VERTROUWELIJK] | [VERTROUWELIJK] | [VERTROUWELIJK] | [VERTROUWELIJK] | [VERTROUWELIJK] |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Uit de bovenstaande tabel blijkt dat zowel passagiers-, leveranciers- en (potentiele) werknemersgegevens zijn gekopieerd. Transavia heeft verklaard dat het hier circa 80.000 passagiers betreft. 26 Ook stonden in meerdere bestanden de persoonsgegevens van tot 3000 medewerkers en tot 200 leveranciers. 27 Van passagiers zijn betrokken: voor- en achternaam, geboortedatum, vluchtinformatie en SSR-code. Van één passagier is een adres en telefoonnummer betrokken. Van medewerkers gaat het om de volgende gegevens: voor- en achternaam, zakelijke e-mailadressen, adres, telefoonnummer. En van leveranciers zijn betrokken: zakelijke e-mailadressen, voor- en achternaam, adres, e-mailadres, telefoonnummer. 26 Zie Dossierstuk 25, Antwoorden van Transavia, datum 26 mei 2020. 27 Zie Dossierstuk 25, Antwoorden van Transavia, datum 26 mei 2020 - Bijlage 3: Toelichting bij bijlage 2. &lt;!-- image --&gt; Datum 23 september 2021 Ons kenmerk [VERTROUWELIJK] Ook blijken er tot 10 C.V.-bestanden van potentiele medewerkers betrokken. Hierin bevonden zich vooren achternaam, adres, e-mailadres, telefoonnummer en geboortedatum. In de melding aan de betrokken passagiers (80.000) die Transavia heeft verstuurd meldt Transavia de volgende betrokken gegevens: voornaam, achternaam, geboortedatum, vluchtgegevens, boekingsnummer en de bijgeboekte service zoals bagage, maar ook rolstoelgebruik. 28 Verder geeft Transavia aan dat de betrokken werknemers ook zijn geïnformeerd. 29 De bijgeboekte services werden beschreven als SSR-code. SSR-code staat voor ' Special Service Request ' code. Transavia gebruikt in hun boekingssysteem een reeks van 4 tekens voor additionele verzoeken, zoals een fiets als bagage. De SSR-code is dan ' BIKE '. 30 Deze codes zijn te vinden op het internet waardoor de betekenis bekend is, mocht dit niet al duidelijk zijn uit de code. 31 De AP heeft aan Transavia gevraagd welke SSR-codes Transavia gebruikt en in welke aantallen. De door Transavia gebruikte codes geven onder andere aan wanneer een rolstoel benodigd is, of dat een passagier bijvoorbeeld een elektrische rolstoel gebruikt. Codes voor dieetwensen gebruikt Transavia niet aangezien ze geen maaltijden verstrekken tijdens de vluchten. 32 In de bestanden die zijn gekopieerd naar een externe locatie kwamen codes die rolstoelgebruik indiceren 358 maal voor. Ook kwam een code die blindheid aangeeft vijfmaal voor. Doofheid kwam vier keer voor. 33 Volgens Transavia waren de passagiersgegevens verzameld in de periode van 21 tot en met 31 januari 2015. 34 De gegevens bevonden zich in een mailbox op ' managed devices van medewerkers '. 35 Dit zijn beheerde apparaten, veelal mobiele apparaten zoals telefoons of laptops. De medewerkers in kwestie waren [VERTROUWELIJK]. ## 2.2.2 Persoonsgegevens waar toegang toe mogelijk was Hieronder staat een overzicht van de systemen waar de gebruikers [VERTROUWELIJK] en [VERTROUWELIJK] tezamen toegang toe hadden. 36 De titel ' host ' betekent in dit geval de naam van het systeem. De kolom ' Gegevens vanaf ingezien /Geexfiltreerd ' geeft aan of er na het inloggen op het systeem nog andere acties zijn waargenomen. Indien er door Transavia ' nee' is weergegeven is er alleen ingelogd volgens Transavia. 37 28 Zie Dossierstuk 38, Antwoorden van Transavia datum 24 september 2020. 29 Zie Dossierstuk 12, Vervolgmelding van 18 februari 2020. 30 Zie Dossierstuk 38, Antwoorden van Transavia datum 24 september 2020. 31 Zie bijvoorbeeld: https://wheelchairtravel.org/air-travel/special-service-request-codes/, of https://guides.developer.iata.org/docs/en/list-of-service-ssrs. 32 Zie Dossierstuk 38, Antwoorden van Transavia datum 24 september 2020. 33 Dossierstuk 38, Antwoorden van Transavia datum 24 september 2020 - Bijlage 5: Overzicht aantallen SSR-codes. 34 Zie Dossierstuk 13, Persbericht Transavia. 35 Zie Dossierstuk 25, Antwoorden van Transavia, datum 26 mei 2020. 36 Dossierstuk 25, Antwoorden van Transavia, datum 26 mei 2020 - Bijlage 4: Host en Persoonsgegevens. 37 Zie Dossierstuk 25, Antwoorden van Transavia, datum 26 mei 2020. &lt;!-- image --&gt; ## Datum 23 september 2021 ## Ons kenmerk [VERTROUWELIJK] | [VERTROUWELIJK] | [VERTROUWELIJK] | [VERTROUWELIJK] | [VERTROUWELIJK] | [VERTROUWELIJK] | [VERTROUWELIJK] | |-------------------|-------------------|-------------------|-------------------|-------------------|-------------------| | [VERTROUWELIJK] | [VERTROUWELIJK] | [VERTROUWELIJK] | [VERTROUWELIJK] | [VERTROUWELIJK] | [VERTROUWELIJK] | | [VERTROUWELIJK] | [VERTROUWELIJK] | [VERTROUWELIJK] | [VERTROUWELIJK] | [VERTROUWELIJK] | [VERTROUWELIJK] | | [VERTROUWELIJK] | [VERTROUWELIJK] | [VERTROUWELIJK] . | [VERTROUWELIJK] | [VERTROUWELIJK] | [VERTROUWELIJK] | &lt;!-- image --&gt; ## Datum 23 september 2021 ## Ons kenmerk [VERTROUWELIJK] | [VERTROUWELIJK] | [VERTROUWELIJK] | [VERTROUWELIJK] | [VERTROUWELIJK] | [VERTROUWELIJK] | [VERTROUWELIJK] | |-------------------|-------------------|-------------------|-------------------|-------------------|-------------------| | [VERTROUWELIJK] | [VERTROUWELIJK] | [VERTROUWELIJK] | [VERTROUWELIJK] | [VERTROUWELIJK] | [VERTROUWELIJK] | | [VERTROUWELIJK] | [VERTROUWELIJK] | [VERTROUWELIJK] | [VERTROUWELIJK] | [VERTROUWELIJK] | [VERTROUWELIJK] | | [VERTROUWELIJK] | [VERTROUWELIJK] | [VERTROUWELIJK] | [VERTROUWELIJK] | [VERTROUWELIJK] | [VERTROUWELIJK] | |-------------------|-------------------|-------------------|-------------------|-------------------|-------------------| | [VERTROUWELIJK] | [VERTROUWELIJK] | [VERTROUWELIJK] | [VERTROUWELIJK] | [VERTROUWELIJK] | [VERTROUWELIJK] | | [VERTROUWELIJK] | [VERTROUWELIJK] | [VERTROUWELIJK] | [VERTROUWELIJK] | [VERTROUWELIJK] | [VERTROUWELIJK] | | [VERTROUWELIJK] | [VERTROUWELIJK] | [VERTROUWELIJK] | [VERTROUWELIJK] | [VERTROUWELIJK] | [VERTROUWELIJK] | &lt;!-- image --&gt; ## Datum 23 september 2021 ## Ons kenmerk [VERTROUWELIJK] Uit de bovenstaande tabellen blijkt dat van passagiers de volgende gegevens verwerkt worden: de voor- en achternaam, de geboortedatum, het geslacht, het e-mailadres en telefoonnummer, de vlucht- en boekingsgegevens en de (zakelijke) e-mailcorrespondentie. Van medewerkers zijn de voor- en achternaam, het geslacht, de geboortedatum, het werknemersnummer, het huisadres, het telefoonnummer, de kwalificaties/training, BSN, de aanwezigheidsadministratie en inloggegevens verwerkt. Verder staat genoemd in het overzicht dat op een systeem verslagen over veiligheidsincidenten aan boord bevonden. Hierin zijn ook mogelijk persoonsgegevens van medewerkers en passagiers betrokken. In totaal staan voor passagiers tot 25.000.000 betrokkenen genoemd in het aangeleverde overzicht. Voor medewerkers worden tot 3000 betrokkenen genoemd. Dit betekent dat de aanvaller persoonsgegevens heeft ingezien of had kunnen inzien van 25 miljoen mensen. De mate van activiteit van de aanvaller is door het de externe dienstverlener opgesplitst in de volgende categorieën: 38 -  [VERTROUWELIJK] -  [VERTROUWELIJK] -  [VERTROUWELIJK] -  [VERTROUWELIJK] -  [VERTROUWELIJK] -  [VERTROUWELIJK] Op alle genoemde systemen is er sprake van [VERTROUWELIJK]. 39 Op [VERTROUWELIJK] systemen is daadwerkelijk bewijs gevonden voor het kopiëren van persoonsgegevens. Systeem [VERTROUWELIJK] is als kritiek aangemerkt door Transavia vanwege de hoeveelheid persoonsgegevens. Op dit systeem was er zowel sprake van [VERTROUWELIJK]. Op het systeem [VERTROUWELIJK] was het bewijs voor de activiteiten van de aanvaller beperkter dan bij andere systemen, omdat er logbestanden ontbraken over de relevante periode van de inbreuk. 40 Verder is het systeem [VERTROUWELIJK] als kritiek aangemerkt vanwege de hoeveelheid persoonsgegevens op dit systeem. 41 Op dit systeem was er sprake van [VERTROUWELIJK]. In de melding aan de AP heeft Transavia aangegeven dat de betrokkenen afkomstig zijn uit meerdere landen, namelijk geheel Europa. De AP heeft Transavia verzocht een overzicht heeft uit welk land de betrokkenen komen. Hierop heeft Transavia geantwoord dat 90% van de klanten uit Nederland komt, gebaseerd op de Point of Sale. 42 Slechts een beperkt aantal persoonsgegevens van zustermaatschappij Transavia France S.A.S. waren op de systemen van Transavia Airlines C.V. aanwezig. 43 38 Zie Dossierstuk 11, rapport van 5 december 2019, pagina 19. 39 Zie Dossierstuk 11, rapport van 5 december 2019, pagina 32. 40 Zie Dossierstuk 11, rapport van 5 december 2019, pagina 17. 41 Zie Dossierstuk 11, rapport van 5 december 2019, pagina 4. 42 Zie Dossierstuk 25, Antwoorden van Transavia, datum 26 mei 2020. 43 Zie Dossierstuk 38, Antwoorden van Transavia datum 24 september 2020. &lt;!-- image --&gt; Datum 23 september 2021 Ons kenmerk [VERTROUWELIJK] De AP komt tot de conclusie dat Transavia ten tijde van de inbreuk persoonsgegevens verwerkte van ruim 25 miljoen personen. Hiervan zijn persoonsgegevens gelekt van tot 83.000 personen en gezondheidsgegevens van 367 personen. ## 2.3 Beveiliging ten tijde van de inbreuk ## 2.3.1 Toegang tot het [VERTROUWELIJK] domein In het wachtwoordbeleid van Transavia staat aangegeven welke eisen er gelden per gebruiker, per mogelijk risiconiveau. 44 In het wachtwoordbeleid van Transavia staan 3 niveaus vermeldt: -  ' Minimal baseline', het standaard niveau; -  'Medium Additions', additionele maatregelen voor gebruikers met meer bevoegdheden; -  'Medium and High additions', extra maatregelen voor bepaalde hoog risico gebruikers. De gebruikers die gebruikt zijn door de aanvaller hadden volgens Transavia de volgende niveaus: 45 -  [VERTROUWELIJK] had als niveau: minimal baseline -  [VERTROUWELIJK] had niveau: Medium and High security additions De externe dienstverlener heeft aangegeven dat de [VERTROUWELIJK] gebruikers ' contained the highest possible privileges '. Een gebruiker met minimal baseline heeft volgens het wachtwoordbeleid de volgende wachtwoordeisen: 46 -  [VERTROUWELIJK] -  [VERTROUWELIJK] -  [VERTROUWELIJK] -  [VERTROUWELIJK] -  [VERTROUWELIJK] Voor High security additions zijn de volgende aanvullende eisen van toepassing: 47 -  [VERTROUWELIJK] -  [VERTROUWELIJK] -  [VERTROUWELIJK] -  [VERTROUWELIJK] -  [VERTROUWELIJK] -  [VERTROUWELIJK] -  [VERTROUWELIJK] -  [VERTROUWELIJK] -  [VERTROUWELIJK] 44 Dossierstuk 25, Antwoorden van Transavia, datum 26 mei 2020 - Bijlage 1: Personnel &amp;amp; Access Control Standard. 45 Zie Dossierstuk 25, Antwoorden van Transavia, datum 26 mei 2020. 46 Zie Dossierstuk 25, Antwoorden van Transavia, datum 26 mei 2020 - Bijlage 1: Personnel &amp;amp; Access Control Standard. 47 Zie Dossierstuk 25, Antwoorden van Transavia, datum 26 mei 2020 - Bijlage 1: Personnel &amp;amp; Access Control Standard. &lt;!-- image --&gt; Datum 23 september 2021 ## Ons kenmerk [VERTROUWELIJK] Transavia onderscheidt twee typen gebruiker accounts: ' user accounts ' en ' generieke accounts '. De ' user accounts ' betreffen individuele personen. De ' generieke accounts ' bestaan voor meerdere personen of systemen, onder andere voor koppelingen tussen systemen. Inloggen op deze gebruikers vindt veelal automatisch plaats volgens Transavia. 48 De AP heeft aan Transavia gevraagd waarom de accounts die betrokken waren bij de inbreuk niet voldeden aan de eigen standaarden van Transavia. Transavia geeft in haar antwoord aan dat de focus lag op ' user accounts ' als het gaat om naleving van het wachtwoordenbeleid. Dit zijn in verhouding meer accounts en er werd geacht dat hieruit de meeste risico's zouden voortvloeien. Ook heeft Transavia aangegeven dat deze aanpak de ' awareness ' zou verhogen binnen de organisatie. Vanwege deze focus zouden de tekortkomingen voor de generieke accounts betrokken in de inbreuk niet zijn opgemerkt. 49 In het wachtwoordbeleid staat verder dat er voor ' remote access ' meerfactorauthenticatie vereist is. 50 Uit het rapport blijkt dat dit niet het geval was voor de gebruikers waarmee de aanvaller toegang heeft kunnen verkrijgen. Zo is toegang geweest tot een Citrix omgeving zonder meerfactorauthenticatie. De externe dienstverlener geeft als een van de aanbevelingen aan Transavia het implementeren van meerfactorauthenticatie voor gebruikers wiens accounts toegankelijk zijn vanaf het internet of in ieder geval voor gebruikers met veel rechten. 51 Citrix zelf adviseert zelf ook om meerfactorauthenticatie voor het gebruik van hun applicatie in te voeren. 52 De AP heeft aan Transavia gevraagd waarom toegang mogelijk was tot een telewerkomgeving zonder gebruik te maken van meerfactorauthenticatie bij de accounts betrokken in de inbreuk. 53 Als antwoord heeft Transavia aangegeven dat eerst voor de ' user accounts ' is begonnen met de uitrol van deze maatregelen. De implementatie van deze maatregelen bij de ' user accounts ' duurde langer dan verwacht. Vliegend personeel maakt bij haar werkzaamheden gebruik van applicaties die nodig zijn voor een veilige vlucht. Indien een maatregel zoals meerdere factoren authenticatie vertraging zou veroorzaken, zou dit grote vertragingen bij vluchten kunnen veroorzaken. ' Generieke accounts ' hadden lagere prioriteit bij Transavia. Omdat de implementatie bij het vliegend personeel vertraagd was, was de implementatie bij de ' generieke accounts ' ook vertraagd. 54 48 Zie Dossierstuk 38, Antwoorden van Transavia datum 24 september 2020. 49 Zie Dossierstuk 38, Antwoorden van Transavia datum 24 september 2020. 50 Zie Dossierstuk 25, Antwoorden van Transavia, datum 26 mei 2020 - Bijlage 1: Personnel &amp;amp; Access Control Standard. 51 Zie Dossierstuk 11, rapport van 5 december 2019, pagina 21. 52 Zie Dossierstuk 40, Citrix best practices, 9 april 2019. 53 Dossierstuk 30, Brief AP aan Transavia van 4 september 2020. 54 Zie Dossierstuk 38, Antwoorden van Transavia datum 24 september 2020. &lt;!-- image --&gt; Datum 23 september 2021 ## Ons kenmerk [VERTROUWELIJK] De AP heeft aan Transavia gevraagd of periodieke controles plaatsvonden van het beveiligingsbeleid en de feitelijke implementatie hiervan. Transavia heeft hierop aangegeven dat er meerdere periodieke controles plaatsvinden: 55 -  [VERTROUWELIJK] 56 -  [VERTROUWELIJK] -  [VERTROUWELIJK] Bij de [VERTROUWELIJK] controle is ook aangegeven dat voor geprivilegieerde accounts (accounts met veel toegangsrechten) er controle moet plaatsvinden of de wachtwoorden voldoen aan het beleid van Transavia. 57 Transavia heeft als voorbeeld hiervan de resultaten aangeleverd van een [VERTROUWELIJK] controle van 2019, kwartaal 3. De bevindingen gaan over de periode van 12 maanden vóór het onderzoek. Hierin staan positieve en negatieve resultaten aangegeven. Bij meerdere systemen is hier aangegeven dat de wachtwoorden niet voldeden aan het beleid van Transavia. 58 De AP stelt vast dat de gebruikte wachtwoorden in de aanval niet aan de eisen voldeden van het wachtwoordbeleid van Transavia. Ook was voor deze gebruikers geen meerfactorauthenticatie aanwezig, terwijl deze gebruikers wel toegankelijk waren via het internet of via telewerk software. ## 2.3.2 Toegang binnen het [VERTROUWELIJK] domein De aanvaller had tijdens de inbreuk toegang tot vrijwel het hele [VERTROUWELIJK] domein. Transavia heeft meer netwerksegmentatie als vervolgmaatregel doorgevoerd. 59 Volgens het Nationaal Cyber Security Centrum (NCSC) is netwerksegmentatie het ' netwerk opdelen in functionele segmenten '. Met netwerksegmentatie worden alleen de systemen die onderling moeten communiceren samen in aparte segmenten geplaatst. ' Gebruikers krijgen alleen toegang tot de segmenten die zij nodig hebben.' . 60 De AP heeft aan Transavia gevraagd of de aanvaller bij de systemen waar automatisch toegang toe is verkregen ook andere zaken had kunnen doen zoals gegevens kopiëren, inzien of anderzijds bewerken. 61 Transavia heeft aangegeven dat de aanvaller deze mogelijkheid had. In de schriftelijke reactie noemt Transavia een aantal beveiligingsmaatregelen die van kracht waren op het moment van de inbreuk: ' Op het moment van de inbreuk had Transavia verschillende maatregelen getroffen in het kader van haar beveiligingsbeleid om de gevolgen van een onbevoegde inlogpoging te voorkomen, waaronder monitoring. Zo werden met het voor Transavia door haar IT-leverancier ingerichte Security Operations Centre de computer- en netwerkactiviteiten van Transavia in de gaten gehouden en gecontroleerd op afwijkende activiteiten. Via dit systeem 55 Zie Dossierstuk 38, Antwoorden van Transavia datum 24 september 2020. 56 Dossierstuk 38, Antwoorden van Transavia datum 24 september 2020 - Bijlage 6: [VERTROUWELIJK]. 57 Dossierstuk 38, Antwoorden van Transavia datum 24 september 2020 - Bijlage 6: [VERTROUWELIJK]. 58 Dossierstuk 38, Antwoorden van Transavia datum 24 september 2020 - Bijlage 7: Resultaten [VERTROUWELIJK] 2019 - Q3. 59 Zie Dossierstuk 25, Antwoorden van Transavia, datum 26 mei 2020. 60 Zie Dossierstuk 41, NCSC, Ransomware, maatregelen voor het voorkomen, beperken en herstellen van een ransomware-aanval, juni 2020. 61 Dossierstuk 30, Brief AP aan Transavia van 4 september 2020. &lt;!-- image --&gt; Datum 23 september 2021 Ons kenmerk [VERTROUWELIJK] ontving Transavia op 21 oktober 2019 de beveiligingsmelding van haar IT-leverancier die duidde op ongeautoriseerde toegang tot het IT-landschap van Transavia.' 62 In het forensisch rapport is aangegeven dat de beheerder logging mogelijkheden had ingericht, waardoor de externe dienstverlener de gebeurtenissen voor een groot gedeelte heeft kunnen reconstrueren. De externe dienstverlener heeft gebruik kunnen maken van de [VERTROUWELIJK] 63 omgeving van Transavia. 64 Uit onderzoek bleek dat het mogelijk was om bepaalde logbestanden te verwijderen. Aangegeven is dat gedurende een week op tenminste [VERTROUWELIJK] systemen logbestanden zijn verwijderd. Ook is beschreven dat bepaalde logging niet bijgehouden werd in de gecentraliseerde omgeving, waaronder van Citrix en van bepaalde kritieke systemen. Een aanbeveling van de externe dienstverlener is dan ook de centrale logging uit te breiden om de integriteit hiervan te bewaken. Ook zou dit leiden tot betere respons op incidenten. 65 In het forensisch rapport staat verder dat op diverse systemen verouderde besturingssystemen geïnstalleerd waren. Ook staat er dat de geïmplementeerde meerfactorauthenticatie op bepaalde systemen dusdanig was ingeregeld dat een gebruiker zelf een telefoonnummer kon invullen om een tweede factor bericht op te ontvangen. Bepaalde systemen hadden ongecontroleerd toegang tot het internet. Hierdoor heeft de aanvaller kunnen communiceren met externe systemen vanuit het netwerk van Transavia. 66 Tot slot was er onvoldoende netwerk indringer detectie aanwezig was. Hierdoor was er sprake van een beperkt zicht op netwerkactiviteit van de aanvaller. 67 ## 2.4 Maatregelen na de inbreuk Nadat Transavia op 21 oktober 2019 erachter is gekomen dat een aanvaller ongeautoriseerde toegang heeft gehad tot haar systemen, heeft Transavia direct door een externe dienstverlener een forensische analyse laten uitvoeren. Na de vaststelling van de inbreuk heeft Transavia verschillende maatregelen genomen. Transavia heeft onder andere voor alle eindgebruikers en apparaten tweefactor-authenticatie ingevoerd. Daarnaast zijn de wachtwoorden van alle gebruikers- en generieke accounts gereset en zijn wachtwoordvereisten technisch doorgevoerd. Tot slot heeft Transavia haar netwerk opgedeeld in meerdere segmenten. 68 62 Zie Dossierstuk 25, Antwoorden van Transavia, datum 26 mei 2020. 63 [VERTROUWELIJK] maakt het mogelijk om gegevens uit een grote hoeveelheid verschillende bronnen (geautomatiseerd) te analyseren en signaleringen te ontvangen hierop. Een gecentraliseerde omgeving waarbij een systeem logging uit verschillende bronnen verzamelt, analyseert en rapporteert wordt ook wel een Security Information and Event Management (SIEM) genoemd. Zie ook: Dossierstuk 42, NCSC, Handreiking voor implementatie van detectie oplossingen, oktober 2015. 64 Zie Dossierstuk 11, rapport van 5 december 2019, pagina 4. 65 Zie Dossierstuk 11, rapport van 5 december 2019, pagina 23 en 29. 66 Zie Dossierstuk 11, rapport van 5 december 2019, pagina 27 en 28. 67 Zie Dossierstuk 11, rapport van 5 december 2019, pagina 29. 68 Schriftelijke zienswijze Transavia, 28 juni 2021, pagina 7 en 8. &lt;!-- image --&gt; Datum 23 september 2021 Ons </t>
  </si>
  <si>
    <t>&amp;gt; ketouradres Postbus 16001 2500 AB Den Haag
## AANTEKENEN
SGS Nederland BV. Tav. Dhr. E. Malta Postbus 200 3200 AE Spijkenisse
Datum
27 maart 2015
Betreft
Vervoersvergunning
KERNENERGIEWETVERGUNNING VERLEEND AAN SGS BELGIUM NV VOOR HET INVOEREN, VERVOEREN EN UITVOEREN VAN ONBESTRAALD VERARMD URANIUM
## Verleend door:
DE MINISTER VAN ECONOMISCHE ZAKEN.
## 1. Het besluit
## 1.1 Vergunning
Aan SGS Belgium NV gevestigd te Antwerpen, België wordt, krachtens artikel 15 onder a van de Kernenergiewet, juncto artikel 2, eerste lid en artikel 23, eerste lid van het Besluit vervoer splijtstoffen, ertsen en radioactieve stoffen vergunning verleend voor:
Het binnen Nederlands grondgebied (doen) brengen en het aansluitend vervoeren over Nederlands grondgebied, of het vervoeren over Nederlands grondgebied en het aansluitend buiten Nederlands grondgebied (doen) brengen over de weg met bestemming:
1. Applus RTD te Rotterdam ter vervanging van de radioactieve bronnen, waarna de bronnen terug gaan naar SGS Belgium voor opslag;
2. wisselende plaatsen in Nederland voor het verrichten van niet-destructief onderzoek, waarna de bronnen terug gaan naar SGS Belgium voor opslag;
van verarmd uranium als afschermingsmateriaal in de vervoersverpakkingen (hierna te noemen splijtstoffen), zoals nader omschreven onder 1.2. Aan de vergunning worden de onder 1.4 gestelde voorschriften verbonden.
&lt;!-- image --&gt;
## ANVS
Stral ingsbeschermi ng Aanvragen en Melden Bezuidenhoutseweg 67 2500 AB Den Haag www.ANVS.nl Postbus 16001
T 070-3487366
Onze referentie 40816 2015/0086-6
Bijlage(n)
&lt;!-- image --&gt;
## 1.2 Inhoud en geldigheid van de vergunning
A. de te vervoeren stoffen, de gegevens voor de verzending en het collo
De volgende gegevens zijn op de zending van toepassing:
| maximale hoeveelheid (kg):             | In situatie 1: maximaal 200; In situatie 2: maximaal 77,5.                                                                                                                                                                  |
|----------------------------------------|-----------------------------------------------------------------------------------------------------------------------------------------------------------------------------------------------------------------------------|
| fysische toestand:                     | vast                                                                                                                                                                                                                        |
| chemische toestand:                    | Verarmd uranium, metallisch                                                                                                                                                                                                 |
| maximale activiteit:                   | 3,7 resp. 1,4 gigabecguerel                                                                                                                                                                                                 |
| type verpakking:                       | Type A en Type B(U)                                                                                                                                                                                                         |
| kenmerk goedkeuringscertificaat collo: | RUS/5373/B(U)-96 (Rev. 2) of een hogere geldige revisie; RUS/5898/B(U)-96T of een hogere geldige revisie; USA/9035/B(U)-96 (Rev. 22) of een hogere geldige revisie; NL/0205/B(U)-96 (rev. 5) of een hogere geldige revisie. |
| kenmerk certificaat van validatie:     | NL/0245/B(U)-96 (Rev. 0)                                                                                                                                                                                                    |
| transportindex collo:                  | Max. 1                                                                                                                                                                                                                      |
| stralingscategorie collo:              | 11-geel en 111-geel                                                                                                                                                                                                         |
| beschrijving van de stoffen:           | Verarmd uranium als afscherming in vervoersverpakkingen                                                                                                                                                                     |
| aantal zendingen:                      | In situatie 1: maximaal 16 In situatie 2: maximaal 100                                                                                                                                                                      |
| aantal colli per zending:              | In situatie 1: maximaal 9 In situatie 2: maximaal 5                                                                                                                                                                         |
## B. Afzender, ontvanger en vervoerder'
| afzender:               | SGS Belgium NV                                        |
|-------------------------|-------------------------------------------------------|
| ontvanger:              | In situatie 1: Applus RTD In situatie 2: SGS Belg ium |
| vervoerder over de weg: | SGS Belgium                                           |
&lt;!-- image --&gt;
- C. Geldigheid van de vergunning: vervoer, ontheffingen en tijdsduur
- De vergunning is geldig voor:
3. -het over de weg binnen Nederlands grondgebied (doen) brengen;
4. -het over de weg buiten Nederlands grondgebied (doen) brengen;
5. -het (doen) vervoeren over Nederlands grondgebied.
- Deze vergunning ontheft de afzender niet van de verplichting te voldoen aan de eisen van de overheid van de landen waardoor of waarnaar de colli zullen worden vervoerd.
- De vergunning is geldig tot 31 maart 2016.
- De vergunning treedt terstond in werking.
## 1.3 Van toepassing zijnde wet- en regelgeving
De relevante wet- en regelgeving hierbij is:
- Kernenergiewet (Kew); in het bijzonder de artikelen 15-19;
- Besluit vervoer splijtstoffen, ertsen, radioactieve stoffen (Bvser);
- Regeling bekendmaking rechtvaardiging gebruik van ioniserende straling;
- Regeling Vervoer over land van Gevaarlijke Stoffen (VLG);
- Accord européenrelatif au transport international des marchandises dangereuses par Route (ADR).
## 1.4 Voorschriften van de vergunning
## 1.4.1 Het transport
1. In het geval dat de radioactieve bronnen die zich in de verpakkingen met splijtstoffen bevinden naar Applus RTD worden vervoerd voor vervanging van de bronnen, is de vergunninghouder verplicht elke zending via de grensovergangen Ossendrecht of Rijsbergen binnen of buiten Nederlands grondgebied te (doen) brengen.
2. In het geval dat de radioactieve bronnen die zich in de verpakkingen met splijtstoffen bevinden worden gebruikt voor niet-destructief onderzoek op Nederlands grondgebied, is de vergunninghouder verplicht elke zending via de grensovergangen Ossend recht, Rijsbergen Aardenburg, Westdorpe, Sas van Gent, Sint Jansteen, De Kempen, Stem of Maastricht binnen of buiten Nederlands grondgebied te (doen) brengen.
3. Van bovengenoemde plaatsen mag worden afgeweken indien door een voorval een onbelemmerde doorgang van het transport niet kan plaatsvinden.
4. De vergunninghouder draagt er zorg voor dat aan de voor het betrokken vervoer in Nederland geldende voorschriften met betrekking tot de verpakking en de daarop aan te brengen opschriften en gevaarsetiketten wordt voldaan.
5. De vergunninghouder organiseert het vervoer zodanig dat, buiten situaties van overmacht, geen tijdelijke opslag in verband met vervoer op Nederlands grondgebied plaatsvindt, en dat een eenmaal aangevangen transport zo snel mogelijk wordt uitgevoerd.
&lt;!-- image --&gt;
6. Het vervoermiddel, het voor het vervoer benodigde materieel en de technische voorzieningen verkeren te allen tijde in goede staat van onderhoud.
7. De vergunninghouder is verplicht de zending te doen vergezellen van een kopie van deze vergunning.
## 1.4.2 De verpakking
1. De colli, zijnde type A verpakkingen en type B verpakkingen met kenmerk NL/0205/B(U)-96 (Rev.4), RUS/5373/B(U)-96 (Rev. 2), RUS/5898/B(U)-96T of USA/9035/B(U)-96 (Rev. 22) worden na aankomst in Nederland zo spoedig mogelijk ingevoerd en onmiddellijk verder vervoerd naar de eindbestemming en worden vâ6r en tijdens dat vervoer niet geopend.
2. Tijdens het vervoer is (een afschrift van) het originele goedkeuringscertificaat van de verpakking(en) aanwezig. Alle bepalingen van het originele goed keuringscertificaat worden nageleefd.
3. De overslag en/of tijdelijke opslag in verband met vervoer dient plaats te vinden op een terrein, dat duidelijk afgescheiden is van zijn omgeving en permanent kan worden geobserveerd.
## 1.4.3 Stralingsbescherming
1. De vergunninghouder draagt er zorg voor dat blootstelling van personen aan ioniserende straling zoveel als redelijkerwijs mogelijk is wordt voorkomen.
2. Het vervoer is onderworpen aan een stralingsbeschermingsprogramma dat systematische voorzorgen bevat die voorzien in een adequate beschouwing van beschermingsmaatregelen tegen straling, zoals omschreven in bijlage 1 onder 1.7.2 van de VLG. De aard en omvang van de maatregelen moeten in verhouding staan met de grootte en waarschijnlijkheid van blootstelling aan straling. Bescherming en veiligheid worden geoptimaliseerd, zodat de grootte van individuele doses, het aantal blootgestelde personen en de waarschijnlijkheid van blootstelling zo laag wordt gehouden als redelijkerwijs mogelijk is, waarbij economische en sociale factoren in aanmerking worden genomen.
3. De vergunninghouder draagt er zorg voor dat personen, die met betrekking tot het vervoer of opslag in verband met vervoer van colli van categorie IIgeel en 111-geel namens de vergunninghouder handelingen verrichten waarbij een stralingsdosis van meer dan 1 millisievert per kalenderjaar kan worden ontvangen, persoonlijke controlemiddelen dragen. Deze controlemiddelen komen van een erkende dosimetrische dienst, zoals bedoeld in artikel 8 van het Besluit stralingsbescherming, of indien het een buitenlandse vervoerder betreft, van een in het betreffende land erkende instelling, welke de gegevens betreffende de ontvangen straling registreert.
## 14.4 Algemeen
1. De vergunninghoucler en de namens hem optredende personen volgen de instructies op van en namens het vergunningverlenend gezag.
2. Uiterlijk twee maanden na de expiratiedatum van de vergunning, dan wel gelijktijdig met het indienen van een aanvraag om verlenging van de vergunning, wordt bij de Autoriteit Nucleaire Veiligheid en Stralingsbescherming, sector Stralingsbescherming, team Aanvragen en Melden, Postbus 16001, 2500 AB Den Haag, een overzicht ingediend van alle daadwerkelijk plaatsgevonden transporten, onder vermelding van:
3. -datum van aankomst / datum van vertrek;
4. -vervoerde hoeveelheid;
5. -activiteit(en);
6. -afnemer(s);
7. -feitelijke vervoerder(s).
3. Bij vermissing van een collo of een ongeval met een collo dat splijtstoffen bevat worden onmiddellijk gewaarschuwd:
9. -de Autoriteit Nucleaire Veiligheid en Stralingsbescherming, sector Stralingsbescherming, team Inspectie en Handhaving (tel. 088 -4890000. Dit nummer is 24 uur per dag bereikbaar);
10. -Inspectie SZW (tel. 0800 -5151. Dit nummer is 24 uur per dag bereikbaar).
## 1.5 Inwerkingtreding van de vergunning
SGS Belgium NV verzoekt in zijn aanvraag om de vergunning terstond in werking te laten treden. Als motivatie wordt aangegeven dat het vervoer over Nederlands grondgebied onder meer dient ter vervanging van de radioactieve bron(nen). Een snelle in werking treding voorkomt dat er stagnatie optreedt in de bedrijfsvoering. Ik beoordeel deze argumenten als gegrond.
Om deze redenen is het noodzakelijk dat de vergunning terstond in werking treedt. Deze vergunning wordt aldus terstond van kracht overeenkomstig het bepaalde in artikel 20.5, eerste lid, van de Wet milieubeheer.
&lt;!-- image --&gt;
## 2. De aanvraag
## 2.1 De aanvraagdocumenten
SGS Belgium NV heeft twee separate aanvragen ingediend. Beide aanvragen zijn gedateerd op 16 januari 2015 en zijn op 20 januari 2015 ontvangen.
Op de aanvragen zijn de volgende bijlagen van toepassing:
- -een ondertekende Machtiging Vergunningen;
- -oprichtings- en exploitatievergunning voor tijdelijke of bij gelegenheid uitgevoerde werkzaamheden voor klasse II, Nummer BGAM-0007284, verleend door het FANC;
- -berekening effectieve dosis werknemers;
- -een kopie van het goedkeuringscertificaat NL/0205/B(U)-96 (Rev. 4);
- -tweemaal een kopie van het Certificate of Compliance for Radioactive Material Packages USA/9035/B(U)-96 (Rev. 22);
- -een kopie van Certificate Permission RUS/5373/B(U)-96 (Rev. 2);
- -een kopie van Certificate Permission RUS/5898/B(U)-96T;
- -additionele gegevens vergunningsaanvraag SGS Belgium NV.
Op 16 maart 2015 is per e-mail verzocht om aanvullende informatie. Op 17 maart 2015 is de volgende informatie ontvangen:
- -een e-mail waarin de vragen op adequate wijze zijn beantwoord.
Op 23 maart 2015 heb ik voor de tweede keer verzocht om aanvullende informatie. Op 24 maart 2015 heb ik de volgende aanvullende gegevens ontvangen:
- -Informatie over het maximale gewicht in kg per zending.
Met deze vergunning wordt op beide aanvragen beschikt.
De eisen die aan een aanvraag om een vervoersvergunning zijn vermeld in artikel 3 en artikel 24 van het Besluit vervoer splijtstoffen, ertsen en radioactieve stoffen (Bvser). Naast de namen en adressen van aanvrager, afzender, vervoerder en ontvanger moet onder meer worden opgegeven het traject waarlangs het vervoer zal plaatsvinden, het type vervoermiddel, de transportperiode, de aard en de eigenschappen van de te vervoeren stoffen alsmede het type verpakking en de maatregelen die zijn getroffen om een veilig verloop van het vervoer te bewerkstelligen. De aanvraag voldoet aan de gestelde vereisten.
Het vervoer over de weg zal plaatsvinden langs één van de kortst mogelijke routes, waarbij zo veel mogelijk gebruik wordt gemaakt van autosnelwegen.
&lt;!-- image --&gt;
&lt;!-- image --&gt;
## 2.2 Aanleiding en betekenis van de aanvraag
SGS Belgium heeft twee separate aanvragen ingediend voor het vervoer van de verpakkingen voorzien van verarmd uranium als afschermingsmateriaal. De eerste heeft betrekking op de periodieke vervanging van de radioactieve bronnen in deze verpakkingen. De tweede aanvraag betreft het uitvoeren van NDO werkzaamheden in geheel Nederland. Deze werkzaamheden zullen plaatsvinden onder de vergunning van SGS Nederland BV. en aanvankelijk ook in aanwezigheid van een medewerker van SGS Nederland B.V. om het Belgische team vertrouwd te maken met de aanpak in Nederland.
De twee aanvragen zijn beide samengevoegd in de huidige vergunning.
Bij vervoersvergunningen is gekozen voor het beleid dat bij een eerste aanvraag voor een vergunning een geldigheidsduur van maximaal 1 jaar wordt gegeven. Bij een verlenging dan wel tweede aanvraag wordt afhankelijk van de opgedane ervaring door de vergunninghouder, eventuele geconstateerde overtredingen van de vergunning en/of gewijzigde inzichten de vergunning voor maximaal 3 jaar verleend.
SGS Belgium NV heeft niet eerder vergunning gekregen en daarom wordt de onderhavige vergunning voor de duur van 1 jaar verleend.
&lt;!-- image --&gt;
## 3. Wetgeving, procedures en beoordelingskader
## 3.1 Van toepassing zijnde wet- en regelgeving en procedurebepalingen
## A. Vergunningvereiste
Voor het gevraagde vervoeren van het materiaal is een vergunning vereist op grond van artikel 15 onder a Kew, juncto artikel 2, eerste lid van het Bvser.
## B. Bevoegd gezag
Op grond van artikel 15 van de Kew is de Minister van Economische Zaken bevoegd te beslissen op een aanvraag voor het binnen danwel buiten Nederlands grondgebied (doen) brengen van splijtstoffen en het (doen) vervoeren binnen Nederlands grondgebied van splijtstoffen.
## C. Procedure vergunningverlening
Op grond van artikel 17, tweede lid, onder a, van de Kew, is Hoofdstuk 4, titel 4.1 van de Algemene wet bestuursrecht (Awb) van toepassing. Dat wil zeggen dat bij de totstandkoming van de beschikking niet de uniforme openbare voorbereidingsprocedure van afdeling 3.4 van de Awb wordt gevolgd en dat de verleende vergunning openstaat voor bezwaar en beroep in de zin van de Awb.
In het kader van de vergunningverlening is getoetst aan de Kew, aan de Awb, alsmede aan de hoofdprincipes van het stralingsbeschermingsbeleid rechtvaardiging, ALARA en dosislimieten.
## 3.2 Beoordelingskader: rechtvaardiging, ALARA en dosislimieten
In artikel 15b, eerste lid, van de Kew worden de belangen genoemd uitsluitend op grond waarvan een vergunning kan worden geweigerd, zoals de bescherming van mensen, dieren, planten en goederen.
De drie hoofdprincipes van het stralingsbeschermingsbeleid, rechtvaardiging, ALARA en dosislimieten, zijn afkomstig van de Euratom richtlijn nr. 96/29. Deze richtlijn is geïmplementeerd in het Besluit stralingsbescherming en het Bvser.
Rechtvaardiging wil zeggen dat een handeling die blootstelling aan ioniserende straling met zich mee brengt, slechts is toegestaan indien de economische, sociale en andere voordelen van de betrokken handeling opwegen tegen de gezondheidsschade die hierdoor kan worden toegebracht. Handelingen en werkzaamheden of categorieën daarvan, die overeenkomstig artikel 4, eerste lid van het Besluit Stralingsbescherming zijn gerechtvaardigd, zijn opgenomen in de Regeling bekendmaking rechtvaardiging gebruik van ioniserende straling.
&lt;!-- image --&gt;
Toepassing van ALARA (As Low As Reasonably Achievable) is de optimalisatie, gericht op beperking van (de kans op) emissies en op beperking van blootstelling. Optimalisatie vindt plaats zowel in de voorbereidings- en planningsfase, voordat de activiteit is begonnen, als in de fase nadat de activiteit is toegestaan en tot uitvoering wordt gebracht. ALARA leidt tot een proces waarbij gestreefd wordt naar een kans op schade die zo klein is als in de gegeven omstandigheden redelijkerwijs kan worden verwezenlijkt. Hierbij wordt rekening gehouden met maatschappelijke en economische factoren en het omvat zowel milieuhygiënische als arbeidshygiënische aspecten. Het ALARA-beginsel heeft geen betrekking op de afweging tussen verschillende alternatieve activiteiten, maar ziet op de vraag in hoeverre de nadelige gevolgen van een bepaalde activiteit moeten worden beperkt.
Dosislimieten vervullen een vangnetfunctie, namelijk indien het toepassen van rechtvaardiging en ALARA niet voldoende is om een bepaald beschermingsniveau te bereiken. De in verschillende situaties van toepassing zijnde dosislimieten zijn in het Bvser en het Besluit stralingsbescherming neergelegd.
Voor alle duidelijkheid: de dosislimieten hebben alleen betrekking op situaties bij normale bedrijfsvoering. Hieraan dient dus de toegestane blootstelling te worden gerelateerd.
## 3.3 Deskundigheid
Voor een verantwoorde uitvoering van handelingen met radioactieve stoffen en splijtstoffen is het van belang dat deze onder leiding en toezicht van verantwoordelijk deskundigen worden uitgevoerd en de nodige instructies voor betrokkenen zijn opgesteld. In dit kader dient de vergunninghouder ervoor te zorgen dat het transport wordt begeleid door verantwoordelijken die de kennis hebben om in alle gevallen die zich tijdens de transporten kunnen voordoen op adequate wijze in het belang van de bescherming van mens en milieu op te treden. Deskundigheid is vereist zowel op grond van het Besluit stralingsbescherming als vanuit de Regeling vervoer over land van gevaarlijke stoffen (VLG).
&lt;!-- image --&gt;
## 3.4 Maatregelen ter voorkoming van mogelijk gevaar, schade of hinder
In verband met de bescherming van mensen, dieren, planten en goederen op grond van artikel 15b, eerste lid, onder a, van de Kew, geldt dat de transportverpakking daarbij beschouwd moet worden als het belangrijkste element. De transportverpakking dient in alle routinematige, normale maar ook in ongevalsomstandigheden, zoals bedoeld in bijlage 1 van het VLG onder 1.7.1.3, er in te voorzien dat geen radioactiviteit in het milieu wordt verspreid en dat de straling zo veel als redelijkerwijs mogelijk wordt afgeschermd.
De vergunninghouder draagt er zorg voor dat de vervoerder van dit materiaal (zoals genoemd in paragraaf 1.2 onder B. Afzender, ontvanger en vervoerder) voldoet aan de eisen die worden gesteld in de Regeling vervoer over land van gevaarlijke stoffen (VLG).
Wat betreft de terminologie het volgende. Onder verpakking wordt verstaan het samenstel van onderdelen dat nodig is voor het volledig omsluiten van de radioactieve inhoud. Onder collo wordt verstaan de verpakking met radioactieve inhoud. In de praktijk wordt vaak het begrip 'container' gebruikt waarmee 'collo' of 'verpakking' wordt bedoeld.
De eisen die de IAEA en de daarop gebaseerde regelingen hebben betrekking op colli, dus op verpakkingen inclusief de radioactieve inhoud.
Naast een adequate verpakking is tevens van belang dat de uitvoering van het transport als zodanig op verantwoorde wijze wordt uitgevoerd. Met het oog op dit aspect zijn de voorschriften onder 1.4 'Voorschriften van de vergunning' opgenomen.
## 4. De toetsing van de aanvraag
## 4.1. Rechtvaardiging
Het binnen Nederlands grondgebied (doen) brengen, het aansluitend vervoeren over Nederlands grondgebied en het buiten Nederlands grondgebied (doen) brengen is een gerechtvaardigde handeling op grond van bijlage 1, III.A.1 van de Regeling bekendmaking rechtvaardiging gebruik van ioniserende straling. Appius RTD beschikt over een Kew-vergunning voor het voorhanden mogen hebben en toepassen van deze splijtstoffen. Tevens beschikt SGS Belgium NV over een vergunning voor het uitbaten van de betreffende bronnen. Daarnaast worden de NDO werkzaamheden in Nederland uitgevoerd onder de vergunning van SGS Nederland B.V.
De wijze van vervoer wordt als zodanig gerechtvaardigd door het feit dat daarbij gebruik gemaakt wordt van een gecertificeerde, speciaal voor het vervoer van deze bronnen ingerichte verpakking.
De vergunning is geldig tot 31 maart 2016. Dit is langer dan de geldigheidsduur van het goedkeuringscertificaat van het collo USA/9035/B(U)-96 en bijbehorende Nederlandse validatie, die op 31 oktober 2015 expireren. Daarom is in 1.2 onder A 'De te vervoeren stoffen en de gegevens van het collo' bij 'kenmerk goedkeuringscertificaat collo en kenmerk certificaat van validatie' toegevoegd 'of hogere geldige revisie'. Dit betekent dat tot en met 31 oktober 2015 het huidige certificaat van goedkeuring en het huidige certificaat van erkenning benut kunnen worden, tenzij tussentijds een nieuw certificaat van goedkeuring wordt verleend dat tevens het huidige certificaat vervangt. Voor de periode na 31 oktober 2015 tot 31 maart 2018 zal een nieuw Amerikaans certificaat van goedkeuring nodig zijn alsmede een nieuw Nederlands certificaat van erkenning. In plaats van nieuwe certificaten is het ook mogelijk dat nieuwe revisies van de bestaande worden verstrekt waarin bijvoorbeeld alleen de geldigheidsduur wordt verlengd. De wijze van vervoer wordt als zodanig gerechtvaardigd door het feit dat daarbij gebruik gemaakt wordt van een gecertificeerde, speciaal voor het vervoer van hoog radioactieve bronnen ingerichte verpakking.
De keuze van de routes naar Applus RTD en SGS Belgium NV is gerechtvaardigd omdat het binnen Nederlands grondgebied (doen) brengen, het aansluitend vervoeren over Nederlands grondgebied en het buiten Nederlands grondgebied (doen) brengen zoveel mogelijk over auto(snel)wegen verloopt en één van de kortst mogelijke routes is, zodat een spoedig verlopend transport mogelijk is. Dit laat onverlet dat de burgemeester op grond van toegekende bevoegdheden zo nodig de route binnen zijn gemeente kan wijzigen.
&lt;!-- image --&gt;
&lt;!-- image --&gt;
Gelet op het bovenstaande alsmede gelet op de in de vergunning opgenomen beperkingen en voorschriften wegen de voordelen van het aangevraagde transport op tegen de nadelen ervan.
Uit deze overwegingen volgt dat verlening van de gevraagde vergunning gerechtvaardigd is en de belangen genoemd in artikel 15b van de Kew niet worden geschaad.
## 42 ALARA en dosislimieten
Het transport is onderworpen aan een stralingsbeschermingsprogramma met het doel bescherming tegen ioniserende straling en veiligheid te optimaliseren (voorschrift 1.4.3.2).
Ten slotte kan het voorafgaande als volgt samengevat worden.
ALARA-maatregelen ter beperking van de blootstelling aan straling dienen de volgende uitgangspunten in acht te nemen:
- de bron moet zoveel mogelijk worden afgeschermd,
- er moet zoveel mogelijk afstand tot de bron in acht worden genomen, en
- er moet zo kort mogelijk in de buurt van de bron verbleven worden.
Een goede uitwerking hiervan in dit geval wordt door de volgende maatregelen verzekerd:
- de voorgeschreven transportverpakking is adequaat ('sterk' en voorzien van voldoende afscherming) en mag als 'stand der techniek' worden gekwalificeerd,
- de voorschriften van de vergunning zoals bepalingen met betrekking tot stralingsbescherming zorgen voor verder beperking van de (kansen op) blootstelling, en
- de bepalingen omtrent de daadwerkelijke uitvoering van het transport (route e.d.) zorgen ervoor dat het aantal blootgestelden en de duur daarbij zo beperkt mogelijk worden gehouden.
Gelet op het voorafgaande wordt vastgesteld dat voor deze transporten in voldoende mate aan de vereisten met betrekking tot ALARA en de dosislimieten wordt voldaan.
&lt;!-- image --&gt;
## 4.3 Conclusie toetsing vergunningaanvraag
Gelet op het hiervoor overwogene wordt vastgesteld dat zich geen weigeringsgrond als bedoeld in artikel 15b van de Kew heeft voorgedaan alsmede dat aan de in acht te nemen principes ter zake van stralingsbescherming is voldaan.
## 5. Ondertekening
&lt;!-- image --&gt;
Den Haag,
en Stralingsbescherming drs. A.E.M. Niedei sectorhoofd directie Autoriteit Nucleaire Veiligheid
De Minister van Economische Zaken, namens deze:
Voor nadere informatie over dit besluit kunt u terecht bij de hierboven genoemde contactpersoon. Op grond van de Algemene wet bestuursrecht kunnen belanghebbenden een bezwaarschrift indienen tegen dit besluit binnen zes weken na de dag waarop dit is bekendgemaakt. Het bezwaarschrift moet worden ingediend bij de directie Autoriteit Nucleaire Veiligheid en Stralingsbescherming, ter attentie van Hoofddirectie Bestuurlijke en Juridische Zaken van het Ministerie van Infrastructuur en Milieu, afdeling Algemeen Bestuurlijk-Juridische Zaken, postbus 20906, 2500 EX Den Haag.
Dit besluit is verzonden op de in de aanhef van deze brief vermelde datum. Op de envelop en op het bezwaarschrift dient het woord 'bezwaar' te worden vermeld.
Het bezwaarschrift dient te zijn ondertekend en ten minste te bevatten:
- a. naam en adres van de indiener;
- b. de dagtekening;
- c. een omschrijving van het besluit waartegen het bezwaarschrift zich richt (datum en nummer of kenmerk);
- d. een opgave van de redenen waarom men zich met het besluit niet kan verenigen;
- e. zo mogelijk een afschrift van het besluit waartegen het bezwaarschrift zich richt. Het niet voldoen aan deze eisen kan leiden tot niet-ontvankelijkheid van het bezwaarschrift.
Van het verlenen van deze beschikking wordt melding gedaan op de internet website van de Autoriteit Nucleaire Veiligheid en Stralingsbescherming (ANVS) (http ://www.anvs. nI).</t>
  </si>
  <si>
    <t>- &amp;gt; Retouradres Postbus 16001 2500 DA Den Haag
## AANTEKENEN
Stichting Alrijne Zorggroep T.a.v. R. Treffers, voorzitter Raad van Bestuur Simon Smitweg 1 2353 GA Leiderdorp
Datum
13
april 2016
Betreft
Vergunning Kernenergiewet
KERNENERGIEWETVERGUNNING VERLEEND AAN STICHTING ALRIJNE ZORGGROEP VOOR HET VERRICHTEN VAN HANDELINGEN MET RADIOACTIEVE STOFFEN EN IONISERENDE STRALING UITZENDENDE TOESTELLEN
## Verleend door:
DE MINISTER VAN INFRASTRUCTUUR EN MILIEU.
## 1. Het besluit
## 1. Vergunning
Aan Stichting Alrijne Zorggroep gevestigd te Leiderdorp wordt, onder intrekking van de op 16 september 2003 verleende vergunning met nummer 2003/383383 AI/UJB/BES, laatstelijk gewijzigd op 1 april 2015, met nummer 2015/0036-07, en onder intrekking van de op 8 mei 2002 verleende vergunning met nummer 2002/11252 AI/CK/B/KEW, laatstelijk gewijzigd op 25 februari 2015, met nummer 2015/0112-04, krachtens de artikelen 29 en 34 van de Kernenergiewet en de artikelen 23, 24 en 25 van het Besluit stralingsbescherming voor onbepaalde tijd conform de aanvraag vergunning verleend voor:
## A. RADIOACTIEVE STOFFEN
## Locatie Leiderdorp
Het verrichten van handelingen ten behoeve van medische diagnostiek en therapie, uk- en referentiedoeleinden en medisch wetenschappelijk onderzoek binnen de locatie van Stichting Alrijne Zorggroep, gelegen aan Simon Smitweg 1 te Leiderdorp, met radioactieve stoffen binnen de volgende omvang:
1. Het voorhanden hebben en toepassen van open bronnen binnen de locatie tot een maximum van 30 radiotoxiciteitsequivalent voor inhalatie (Reflh).
&lt;!-- image --&gt;
## ANVS
Stralingsbescherming Aanvragen en Melden Bezuidenhoutseweg 67 Postbus 16001 2500 BA Den Haag www.anvs.nI
- T 070-3487366
- E Postbus.Aanvragenenmelden l0ianvs.nI
Onze referentie 2016/0124-11
Bijlage(n)
Bijlage radionuclidenlaboratorium
&lt;!-- image --&gt;
2. Het voorhanden hebben en toepassen van open radioactieve stoffen ten behoeve van kwaliteitscontroles in ten hoogste 1 radionucliden-laboratorium op D-niveau met aangrenzende nevenruimten en de bergplaats, waarbij de belastingsfactor, berekend volgens hoofdstuk 2 van de bijlage radionucliden laboratorium, per radionucliden-laboratorium niet meer mag bedragen dan 1.
3. Het voorhanden hebben en toepassen van ingekapselde bronnen voor jk- en referentiedoeleinden met een activiteit van maximaal 1 gigabecquerel (GBq) per bron en een gezamenlijke activiteit van maximaal 2 GBq.
4. Het voorhanden hebben en toepassen van een open bron fluor-18 met een activiteit van maximaal 5 GBq voor het kalibreren van PET-CT-apparatuur.
5. Het uitvoeren van besmettingscontroles aan ingekapselde bronnen.
6. Het voorhanden hebben en toepassen in de vorm van bewerking en verwerking van radioactieve (afval)stoffen voor zover dit is gericht op het voorkomen van het ontstaan van afvalstoffen, hergebruik van radioactieve (afval)stoffen of scheiding aan de bron van radioactieve (afval)stoffen.
7. Het in patiëntenmeetkamers voorhanden hebben en toepassen van rubidium-81/krypton-81m generatoren ten behoeve van medische diagnostiek, waarbij de gezamenlijke activiteit van het rubidium-81 ten hoogste 1 GBq bedraagt.
8. Het in patiëntenmeetkamers voorhanden hebben en toepassen van strontium-82/rubidium-82 generatoren ten behoeve van medische diagnostiek, waarin de gezamenlijke activiteit van het strontium-82 ten hoogste 15 GBq bedraagt.
9. Het in opslag hebben van strontium-82/rubidium-82 generatoren, welke niet meer voor toepassing binnen de medische diagnostiek te gebruiken zijn, maar nog niet afgevoerd kunnen worden, waarin de gezamenlijke activiteit van het strontium-82 ten hoogste 15 GBq bedraagt.
10. Het toedienen van open radioactieve stoffen aan patiënten ten behoeve van medische diagnostiek.
De radionuclide, het farmacon en de hoeveelheid die aan patiënten wordt toegediend ten behoeve van medische diagnostiek voldoen aan de richtlijnen die volgens de laatste stand der wetenschap zijn vastgesteld door de beroepsgroep, zoals aangegeven in de Aanbevelingen Nucleaire Geneeskunde. De hoeveelheid die aan patiënten ten behoeve van medisch-wetenschappelijk onderzoek wordt toegediend, voldoet aan de richtgetallen uit het onderzoeksprotocol.
&lt;!-- image --&gt;
11. Het toedienen van open radioactieve stoffen aan patiënten ten behoeve van medische therapie, uitgezonderd medisch wetenschappelijk onderzoek, te weten maximaal per verrichting:
2. -400 megabecquerel (MBq) jodium-131 als natriumjodide voor de behandeling van hyperthyreoïdie en verkleining van euthyreote strumata;
3. -1,3 GBq renium-186 als hydroxy ethylidene diphosphonaat (HEDP) voor palliatieve behandeling van pijn bij multiple skeletmetastasen;
4. -3,3 GBq renium-188 als hydroxy ethylidene diphosphonaat (HEDP) voor palliatieve behandeling van pijn bij multiple skeletmetastasen;
5. -150 MBq strontium-89 als strontiumchloride voor palliatieve behandeling van pijn bij multiple skeletmetastasen;
6. -200 MBq yttrium-90 als yttriumsilicaat of yttriumcitraat voor radiochemische synovectomie van de grote gewrichten;
7. -1,2 GBq yttrium9O als ibritumomab tiuxetan voor een reguliere behandelingsmethode bij non-Hodgkin lymfoom;
8. -185 MBq fosfor-32 als orthofosfaat voor de behandeling van polycythaemia vera;
9. -4,4 GBq samarium-153 in de vorm van ethylene diamine tetramethylene phosphonate (EDTMP) voor de behandeling van pijn bij multipele skeletmetastasen.
De radionuclide, het farmacon en de hoeveelheid die aan patiënten wordt toegediend ten behoeve van medische therapie voldoen aan de richtlijnen die volgens de laatste stand der wetenschap zijn vastgesteld door de beroepsgroep, zoals aangegeven in de Aanbevelingen Nucleaire Geneeskunde.
12. Het voorhanden hebben en toepassen van ingekapselde implanteerbare bronnen voor het lokaliseren van niet palpabele tumoren en klieren bij patiënten:
2. -Ingekapselde bronnen jodium-125 in de vorm van zaadjes, met een activiteit van maximaal 21 MBq per bron en een gezamenlijke activiteit van maximaal 3 GBq.
De toegepaste hoeveelheid ten behoeve van medische diagnostiek bij patiënten voldoet aan de richtgetallen die volgens de laatste stand der wetenschap zijn vastgesteld door de beroepsgroep.
## Locatie Leiden
Het verrichten van handelingen ten behoeve van medische diagnostiek, ijk- en referentiedoeleinden en medisch wetenschappelijk onderzoek binnen de locatie van Stichting Alrijne Zorggroep, gelegen aan Houtlaan 55 te Leiden, met radioactieve stoffen binnen de volgende omvang:
13. Het voorhanden hebben en toepassen van ingekapselde bronnen voor ijk- en referentiedoeleinden met een activiteit van maximaal 4 MBq per bron en een gezamenlijke activiteit van maximaal 5 MBq.
14. Het uitvoeren van besmettingscontroles aan ingekapselde bronnen.
15. Het voorhanden hebben en toepassen in de vorm van bewerking en verwerking van radioactieve (afval)stoffen voor zover dit is gericht op het voorkomen van het ontstaan van afvalstoffen, hergebruik van radioactieve (afval)stoffen of scheiding aan de bron van radioactieve (afval)stoffen.
16. Het voorhanden hebben en toepassen van technetium-99m als open bron bij het operatief verwijderen van weefsel van patiënten na sentinel node scintigrafie tot een maximum van 150 MBq per patiënt tot een maximum van 250 patiënten per jaar.
5. De toegepaste hoeveelheid ten behoeve van medische diagnostiek bij patiënten voldoet aan de richtgetallen die volgens de laatste stand der wetenschap zijn vastgesteld door de beroepsgroep
17. Het voorhanden hebben en toepassen van ingekapselde implanteerbare bronnen voor het lokaliseren van niet palpabele tumoren en klieren bij patiënten:
7. -Ingekapselde bronnen jodium-125 in de vorm van zaadjes, met een activiteit van maximaal 21 MBq per bron en een gezamenlijke activiteit van maximaal 1,1 GBq.
De toegepaste hoeveelheid ten behoeve van medische diagnostiek bij patiënten voldoet aan de richtgetallen die volgens de laatste stand der wetenschap zijn vastgesteld door de beroepsgroep.
&lt;!-- image --&gt;
## B. TOESTELLEN
## Locatie Leiderdorp
Het verrichten van handelingen ten behoeve van medische diagnostiek en medisch wetenschappelijk onderzoek binnen de locatie van Stichting Alrijne Zorggroep, gelegen aan Simon Smitweg 1 te Leiderdorp, met ioniserende straling uitzendende toestellen binnen de volgende omvang:
1. 23 toestellen met een hoogspanning van maximaal 150 kilovolt (kV).
## Locatie Leiden
Het verrichten van handelingen ten behoeve van medische diagnostiek en medisch wetenschappelijk onderzoek binnen de locatie van Stichting Alrijne Zorggroep, gelegen aan Houtlaan 55 te Leiden, met ioniserende straling uitzendende toestellen binnen de volgende omvang:
2. 15 toestellen met een hoogspanning van maximaal 150 kV.
## Locatie Alphen aan den Rijn
Het verrichten van handelingen ten behoeve van medische diagnostiek en medisch wetenschappelijk onderzoek binnen de locatie van Stichting Alrijne Zorggroep, gelegen aan Meteoorlaan 4 te Alphen aan den Rijn, met ioniserende straling uitzendende toestellen binnen de volgende omvang:
3. 10 toestellen met een hoogspanning van maximaal 150 kV.
## II. Voorschriften
Aan deze vergunning worden de voorschriften verbonden, zoals opgenomen onder hoofdstuk 4 van deze beschikking.
## III. Documenten
De volgende documenten maken deel uit van de vergunning:
- -de op 22 januari 2016 ontvangen aanvraag, met de daarbij behorende bijlag en;
- -de op 27 januari 2016 ontvangen aanvulling op de aanvraag, met de daarbij behorende bijlage;
- -de op 3 maart 2016 ontvangen aanvulling op de aanvraag, met de daarbij behorende bijlage;
- -de op 31 maart 2016 ontvangen aanvullende informatie, met de daarbij behorende bijlagen.
- -de op 6 april 2016 ontvangen aanvullende informatie.
&lt;!-- image --&gt;
&lt;!-- image --&gt;
Bij strijdigheden prevaleert het meest recente document.
## IV. Openbaarmaking en publicatie
De beschikking bevat milieu-informatie. Daarom wordt deze beschikking ingevolge artikel 8 van de Wet openbaarheid van bestuur actief openbaar gemaakt door publicatie van deze beschikking op de internetsite www.anvs.nl.
Van het verlenen van deze vergunning wordt tevens mededeling gedaan in de Staatscourant.
## V. Inwerkingtreding
Deze beschikking treedt in werking overeenkomstig het bepaalde in artikel 20.3 van de Wet milieubeheer (Wm).
&lt;!-- image --&gt;
## 2. De aanvraag, het toetsingskader en de beoordeling van de aanvraag
## 2.1. De aanvraag
De aanvraag met kenmerk 16.038rt.tk heb ik op 22 januari 2016 ontvangen en heeft betrekking op een aanvraag voor toekenning van een geactualiseerde verzamelvergunning ter vervanging van de huidige vergunningen 2015/0036-07 en 2015/0112-04.
In het bijzonder betreft het de volgende toepassingen:
- -Diverse Radiologische verrichtingen
- -Diverse Nucleair geneeskundige verrichtingen
Bij de aanvraag zijn de volgende documenten toegevoegd:
- -Aanvraag Kernenergiewetvergunning met kenmerk 16.038rt.tk
- -Bijlagen Aanvraag Kernenergiewetvergunning Stichting Alrijne Zorggroep
Op 27januari heb ik de volgende aanvulling op de aanvraag ontvangen:
- -E-mail van J. Zöllner met onderwerp Aanvulling aanvraag KEW vergunning Stichting Alrijne Zorggroep
- -Bijlage: Aanvulling aanvraag KEW-vergunning\_Belastingsfactor D laboratorium Alrijne Zorggroep\_Bijlage VIII\_20160127.docx
Op 3 maart heb ik de volgende aanvulling op de aanvraag ontvangen:
- -E-mail van J. Zöllner met onderwerp RE: Aanvulling aanvraag KEW vergunning Stichting Alrijne Zorggroep
- -Bijlage: Aanvulling aanvraag KEW-vergunning Alrijne Zorggroep mbt MWO\_2016-0 124\_20 160303. pdf
Op 10 maart 2016 is verzocht om aanvullende informatie. Op 31 maart 2016 heb ik de volgende aanvullende gegevens ontvangen:
- -Aanvraag Kernenergiewetvergunning met kenmerk 16.038jz
- -Bijlagen aanvullende informatie Aanvraag Kernenergiewetvergunning Stichting Alrijne Zorggroep
Op 4 april 2016 is verzocht om aanvullende informatie. Op 6 april 2016 heb ik de volgende aanvullende gegevens ontvangen:
- -E-mail van J. Zöllner met onderwerp RE: Aanvullende informatie 2016/0124 uw kenmerk 16.038jz
De aanvraag en de aanvullende informatie heb ik getoetst aan artikel 44 van het Besluit stralingsbescherming en artikel 2.6 van de Uitvoeringsregeling stralingsbescherming EZ en volledig bevonden.
## 2.2. Gevolgde procedure
Dit besluit is ingevolge de artikelen 29a en 34 van de Kernenergiewet en de artikelen 45 en 46 van het Besluit stralingsbescherming niet tot stand gekomen overeenkomstig de openbare voorbereidingsprocedure van afdeling 3.4 van de Algemene wet bestuursrecht.
Er is al eerder een overeenkomstige vergunning voor handelingen met radioactieve stoffen met betrekking tot dezelfde plaatsen aan de aanvrager verleend. Het is niet te verwachten dat door gebruikmaking van de gevraagde vergunning nadeliger gevolgen voor mensen, dieren, planten en goederen kunnen worden veroorzaakt dan bij de eerder verleende vergunning in aanmerking zijn genomen.
De handelingen met toestellen zijn op grond van de artikelen 45 en 23 van het Besluit stralingsbescherming vrijgesteld van de bepalingen van de afdeling 3.4 van de Algemene wet bestuursrecht.
## 2.3. Het toetsingskader
Aan het wettelijk kader van de stralingsbescherming, zoals vastgelegd in de Kernenergiewet en de onderliggende besluiten, liggen onder meer de drie principes van het stralingsbeschermingsbeleid ten grondslag, te weten: rechtvaardiging, ALARA en dosislimieten. Indien aan deze uitgangspunten niet wordt voldaan of indien aan de andere voorwaarden genoemd in artikel 39 van het Besluit stralingsbescherming niet wordt voldaan, wordt de vergunning niet verleend.
Rechtvaardiging houdt in dat een handeling die blootstelling aan ioniserende straling met zich meebrengt, slechts is toegestaan indien de economische, sociale en andere voordelen van de betrokken handeling opwegen tegen de gezondheidsschade die hierdoor kan worden toegebracht. Dit principe is vastgelegd in artikel 4, eerste lid van het Besluit stralingsbescherming.
Toepassing van ALARA (as low as reasonably achievable, ofwel zo laag als redelijkerwijs haalbaar) is de optimalisatie, gericht op beperking van de blootstelling aan ioniserende straling. In de wetgeving is het ALARA beginsel vastgelegd in artikel 31 van de Kernenergiewet en artikel 5 van het Besluit stralingsbescherming.
Dosislimieten vervullen een vangnetfunctie, indien het toepassen van rechtvaardiging en ALARA niet voldoende is om een bepaald beschermingsniveau te bereiken. De limietwaarden zijn vastgelegd in artikel 48, 49 en paragraaf 7.1 van het Besluit stralingsbescherming.
&lt;!-- image --&gt;
## 2.4 Bevindingen en overwegingen
Met inachtneming van paragraaf 2.3 heb ik de aanvraag getoetst aan artikel 39 van het Besluit stralingsbescherming. Geen van de daarin genoemde bepalingen staat vergunningverlening in de weg.
De in de aanvraag bedoelde handelingen zijn opgenomen in bijlage 1 van de Regeling bekendmaking rechtvaardiging gebruik van ioniserende straling. Derhalve is sprake van gerechtvaardigde handelingen. Ook in de situatie die is beschreven in de aanvraag zijn deze handelingen gerechtvaardigd.
Uit de aanvraag is gebleken dat de aanvrager in voldoende mate stralingshygiënische maatregelen treft. Deze stralingshygiënische maatregelen en de aan de vergunning verbonden voorschriften bieden voldoende waarborgen, dat mensen, dieren, planten en goederen ten gevolge van de toepassing van radioactieve stoffen en/of ioniserende straling, zo weinig schade of hinder daarvan zullen ondervinden als redelijkerwijs mogelijk is.
Tevens is met de aanvraag d.d. 21 januari 2016 conform artikel 21 derde lid van het Besluit stralingsbescherming voldaan aan de meldingsplicht voor handelingen met toestellen met een hoogspanning van maximaal 99 kilovolt (kV).
Tenslotte is uit de aanvraag gebleken dat de dosislimieten voor leden van de bevolking en werknemers niet overschreden zullen worden.
## 2.5 Besluit
Op grond van het bovenstaande heb ik besloten om tot verlening van de vergunning over te gaan.
&lt;!-- image --&gt;
&lt;!-- image --&gt;
## 3. Definities
In deze vergunning gelden de onderstaande definities. Voor de overige termen en definities wordt naar de Kernenergiewet, het Besluit stralingsbescherming en de onderliggende ministeriële regelingen verwezen.
- -Aanbevelingen Nucleaire Geneeskunde: publicatie van de Nederlandse Vereniging voor Nucleaire Geneeskunde;
- -Aanbevelingen 'Het werken met therapeutische doses radionucliden -2005': publicatie van het Ministerie van Volkshuisvesting, Ruimtelijke Ordening en Milieubeheer, VROM 5049 02-05;
- -bergplaats:
ruimte die
- -
uitsluitend wordt gebruikt voor de opslag van radioactieve stoffen;
controle van een oppervlak of een voorwerp, niet zijnde een ingekapselde bron, op radioactieve besmetting, waarbij het volgende in aanmerking wordt
- besmettingscontrole: genomen:
1. het oppervlak dat wordt afgewreven bedraagt circa 5 cm 2 ;
2. de detectielimiet van de meting bedraagt voor alle nucliden maximaal 2 becquerel;
- -bewaakte zone: een ruimte als bedoeld in artikel 83, eerste lid, onderdeel b, van het Besluit stralingsbescherming;
- -bijlage radionucliden-laboratorium bij de vergunning: Deze bijlage bevat de eisen die vanuit het oogpunt van stralingsbescherming gelden voor een radionucliden-laboratorium;
- -
document van de producent van de ingekapselde bron waarin ten minste de activiteit, de nuclide, de gegevens van de capsule, de classificatie volgens Internationale standaard ISO 2919:1999 of recenter en het serienummer zijn
- broncertificaat: vermeld;
- -deugdelijke container:
lekvrij, goed afgesloten vat of tank bestand tegen aantasting van binnenuit of buitenaf, zoals corrosie, breuk, etc.;
- -diploma ioniserende straling:
diploma, certificaat, of ander getuigschrift afgegeven door een instelling als bedoeld in artikel 7f van het Besluit stralingsbescherming;
- -gecontroleerde zone:
- een ruimte als bedoeld in artikel 83, eerste lid, onderdeel a, van het Besluit stralingsbescherming;
- -
- GHI Bulletin:
GHI Bulletin Verantwoordelijkheidsstructuur stralenbescherming, Rijswijk, juli 1993, te verkrijgen bij de Inspectie voor de Gezondheidszorg te Den Haag;
- -
- intern transport:
het verplaatsen van radioactieve stoffen, splijtstoffen of ertsen binnen een inrichting of een locatie, of tussen twee locaties binnen een inrichting, indien het vervoer onderworpen is aan regelgeving die op de inrichting van toepassing is en het vervoer niet via de openbare weg plaatsvindt;
- -lek:
een bron waarbij een afgewreven activiteit van meer dan 185 becquerel is vastgesteld;
- -lektest:
een controle van de behuizing van een radioactieve stof op radioactieve besmetting;
- -radioactieve besmetting:
een alfa besmetting van 0,4 becquerel of meer per cm besmetting van 4 becquerel of meer per cm 2 ;
- 2of een bèta/gamma
- radionucliden-laboratorium: laboratorium van B-niveau, C-niveau respectievelijk D-niveau wat daarover is gesteld in de bijlage radionucliden-laboratorium;
- terreingrens:
de begrenzing van de locaties Leiden en Alphen aan den Rijn, zoals aangeduid op de kaarten uit bijlage T van de aanvraag d.d. 22 januari 2016 zoals bedoeld volgens bijlage 1.5 van de Uitvoeringsregeling stralingsbescherming EZ en de begrenzing van de locatie Leiderdorp, zoals aangeduid op de kaart uit bijlage la van de aanvullende informatie cl.d. 29 maart 2016 zoals bedoeld volgens bijlage 1.5 van de Uitvoeringsregeling stralingsbescherming EZ;
- voldoende instructie: instructie als bedoeld in de artikelen 15 en 16 van het Besluit stralingsbescherming, gericht op de handeling waarbij de werknemer betrokken is;
- -
- -
- -waarschuwingssignalering en -teken:
waarschuwingsbord en/of -teken dat in de in artikel 20, eerste lid, van het Besluit stralingsbescherming bedoelde situaties wordt aangebracht.
&lt;!-- image --&gt;
## 1. Algemeen
1. Voor zover in de vergunning inclusief de voorschriften niet anders is bepaald worden de handelingen verricht overeenkomstig de in hoofdstuk 1.111 genoemde documenten.
2. De ondernemer zorgt voor een met instemming van de in voorschrift 11.1. genoemde deskundige vastgestelde procedure voor intern transport.
## II. Organisatie
1. De ondernemer zorgt ervoor dat de handelingen met ioniserende straling plaatsvinden binnen de kaders en voorschriften van deze vergunning door of onder toezicht van een coördinerend deskundige die ten minste het diploma ioniserende straling niveau 3 of een gelijkwaardig diploma heeft behaald.
2. De ondernemer zorgt ervoor dat deze coördinerend deskundige schriftelijk gemandateerd is voor deze verantwoordelijkheid en dat hij zo vaak als nodig, en ten minste eenmaal per kalenderjaar, verantwoording aan hem aflegt door middel van een rapportage.
3. De ondernemer zorgt ervoor dat iedere handeling met ioniserende straling uitsluitend binnen de aanwijzingen van de coördinerend deskundige geschiedt door of onder direct toezicht van een toezichthoudend deskundige. De toezichthoudend deskundigen hebben voor de verschillende toepassingen ten minste het volgende niveau van stralingsdeskundigheid of een gelijkwaardig niveau:
| open bronnen/besmettingscontrole/reinigen ingekapselde bronnen:                                                 | niveau 3   |
|-----------------------------------------------------------------------------------------------------------------|------------|
| ingekapselde bronnen en toestellen met een matig risico:                                                        | niveau 4A  |
| 10 of meer ingekapselde bronnen en/of toestellen met een gering risico:                                         | niveau 4A  |
| toepassing van minder dan 10 ingekapselde bronnen en/of toestellen met een gering risico:                       | niveau 5A  |
| handelingen met open radioactieve stof (Tc-99m) in de operatiekamer ten behoeve van de sentinel node procedure: | niveau 5B  |
&lt;!-- image --&gt;
## 4. Voorschriften
&lt;!-- image --&gt;
4. De ondernemer zorgt ervoor dat degenen die handelingen uitvoeren met de bronnen ten minste het volgende niveau van stralingsdeskundigheid of een gelijkwaardig niveau hebben:
| handelingen met open radioactieve stoffen in het laboratorium: handelingen met toestellen en ingekapselde bronnen: handelingen met open radioactieve stof (Tc-99m) in de operatiekamer ten behoeve van de sentinel node procedure:   | voldoende instructie   |
|--------------------------------------------------------------------------------------------------------------------------------------------------------------------------------------------------------------------------------------|------------------------|
| overige handelingen met open radioactieve stoffen met patienten (anders dan sentinel node):                                                                                                                                          | niveau 4B              |
| verantwoordelijkheid voor lektest en/of besmettingscontrole:                                                                                                                                                                         | niveau 3               |
## [II. Voorschriften met betrekking tot bronnen
## A. Open bronnen
## Algemeen
1. Een binnenkomende zending met een open bron wordt door of onder toezicht van ter zake deskundig personeel op een door de toezichthoudend deskundige aangewezen plaats uitgepakt en gecontroleerd. Indien de verpakking beschadigd is of wanneer tijdens het transport een incident heeft plaatsgevonden wordt de toezichthoudend deskundige geïnformeerd die nadere instructies geeft. Wanneer de zending met een open bron buiten werktijd wordt afgeleverd wordt de bron direct opgeslagen in een bergplaats en wordt de toezichthoudend deskundige hierover geïnformeerd.
2. Retouremballage (verpakkingsmateriaal) van een zending met een open bron wordt, alvorens zij de locatie verlaat, zowel in- als uitwendig ontdaan van radioactieve besmetting. Aanduidingen of waarschuwingstekens van radioactiviteit hierop worden daarna verwijderd of onleesbaar gemaakt.
3. De ruimte waarin handelingen met open bronnen plaatsvinden is niet of althans niet zonder nadere waarschuwing toegankelijk voor algemeen publiek of voor werknemers die niet direct bij de handelingen betrokken zijn. Voor een gecontroleerde zone waarin met open bronnen wordt gewerkt, geldt daarbij dat de ruimte is voorzien van toegangsbeveiliging die ervoor zorgt dat alleen geautoriseerde personen de ruimte kunnen betreden.
4. In of bij de ruimte waarin handelingen met open bronnen plaatsvinden, zijn persoonlijke beschermingsmiddelen, zoals werkkleding, laboratoriumjassen en handschoenen, aanwezig zodat voorkomen kan worden dat werknemers besmet raken met radioactieve stoffen. Ter controle van mogelijk aanwezige
&lt;!-- image --&gt;
radioactieve besmetting is apparatuur voor meting van radioactieve besmetting aanwezig.
5. De ruimten waarin handelingen met open bronnen plaatsvinden, worden regelmatig, volgens een vastgelegde procedure, gecontroleerd op radioactieve besmetting. Wanneer sprake is van radioactieve besmetting wordt deze door of onder toezicht van de toezichthoudend deskundige opgeruimd.
6. De schoonmaak van een ruimte waarin handelingen met open bronnen plaatsvinden, wordt uitgevoerd door een werknemer die daarvoor voldoende instructie heeft ontvangen, onder toezicht van de toezichthoudend deskundige, en nadat de ruimte is gecontroleerd op radioactieve besmetting.
7. Materialen die in de ruimte zijn geweest waarin handelingen met open bronnen plaatsvinden, verlaten deze ruimte slechts nadat zij gecontroleerd zijn op radioactieve besmetting. Wanneer sprake is van radioactieve besmetting wordt deze door of onder toezicht van de toezichthoudend deskundige opgeruimd.
8. In een radionucliden-laboratorium is geschikte stralingsmeetapparatuur aanwezig die is afgestemd op de gebruikte nucliden.
## Handelingen binnen het radionucliden-laboratorium
9. Een radionucliden-laboratorium voldoet aan de eisen die op grond van de Arbeidsomstandighedenwet aan laboratoria worden gesteld en zoals is aangegeven in hoofdstuk 1 van de bijlage radionucliden-laboratorium.
10. De totale hoeveelheid radioactiviteit waarmee in het radionucliden laboratorium en de daarbij behorende nevenruimten gelijktijdig per handeling wordt gewerkt, bedraagt niet meer dan de hoeveelheid die voor de gegeven omstandigheden wordt bepaald volgens de methode, die is beschreven in hoofdstuk 2 van de bijlage radionucliden-laboratorium. Bij het berekenen van de hoeveelheden wordt gebruik gemaakt van de parameterwaarden voor die omstandigheden, zoals aangegeven in deze bijlage.
11. Wanneer met de open bronnen geen handelingen worden uitgevoerd worden deze opgeslagen in een bergplaats. Als dagelijkse voorraad kan een hoeveelheid van maximaal 0,5 Relflh in de werkruimte worden opgeslagen.
&lt;!-- image --&gt;
## Handelingen buiten het radionucliden-laboratorium
12. Handelingen met open bronnen, anders dan toediening aan patiënten, in ruimten die vallen buiten het laboratoriumbeheer, vinden uitsluitend plaats na toestemming van de toezichthoudend deskundige en binnen de hoeveelheden waarvoor dit is toegestaan volgens hoofdstuk 2 van de bijlage radionucliden laboratorium.
13. Toediening van radioactieve stoffen aan patiënten vindt uitsluitend plaats in een daarvoor goedgekeurde ruimte.
14. Patiëntenonderzoekruimten, meetruimten en nevenruimten worden aangemerkt als bewaakte zone. Therapieruimten worden aangemerkt als gecontroleerde zone. Van deze indeling kan worden afgeweken, mits onderbouwd op basis van een risicoanalyse.
15. De strontium-82/rubidium-82 generator en de rubidium-81/krypton-81m generator(en) zijn voor toepassing en opslag aanwezig in een patiëntenmeetkamer.
16. In de periode dat excreta radioactief besmet zijn, vindt bewaren daarvan voor onderzoek uitsluitend plaats op medische indicatie. De toezichthoudend deskundige zorgt ervoor dat radioactieve materialen en radioactieve besmettingen in de betrokken afdelingen worden opgeruimd.
17. De bij de sentinel node procedure gebruikte materialen en andere hulpmiddelen worden deugdelijk verpakt en worden voorzien van een duidelijk zichtbaar waarschuwingsteken voor radioactiviteit. Deze mogen de operatiekamer slechts verlaten met toestemming van de toezichthoudend deskundige of zijn gemachtigde.
18. Wanneer therapeutische behandelingen plaatsvinden, wordt gehandeld conform de Aanbevelingen 'Het werken met therapeutische doses radionucliden -2005'.
## B. Ingekapselde bronnen
## Algemeen
1. Een binnenkomende zending met een ingekapselde bron wordt op een door de toezichthoudend deskundige aangewezen plaats uitgepakt en gecontroleerd. Indien de verpakking beschadigd is of wanneer tijdens het transport een incident heeft plaatsgevonden wordt de toezichthoudend deskundige geïnformeerd die nadere instructies geeft. Wanneer de zending
&lt;!-- image --&gt;
met een ingekapselde bron buiten werktijd wordt afgeleverd wordt de bron direct opgeslagen in een bergplaats en wordt de toezichthoudend deskundige hierover geïnformeerd.
2. Retouremballage (verpakkingsmateriaal) van een zending met een ingekapselde bron wordt, alvorens zij de locatie verlaat, zowel inals uitwendig ontdaan van radioactieve besmetting. Aanduidingen of waarschuwingstekens van radioactiviteit hierop worden daarna verwijderd of onleesbaar gemaakt.
3. De constructie van een ingekapselde bron voldoet aan de eisen daaraan gesteld in de International Standard ISO 2919:1999 of recenter.
4. Indien, in tegenstelling tot hetgeen hierboven is voorgeschreven, de ingekapselde bron niet hoeft te voldoen aan de voorschriften in de International Standard ISO 2919:1999 of recenter of daaraan niet kan voldoen, dan is de constructie van de ingekapselde bron zodanig dat verspreiding van radioactiviteit wordt voorkomen.
5. De ingekapselde bron gaat vergezeld van een broncertificaat waarop de specifieke gegevens van de ingekapselde bron zijn weergegeven. Van bronnen die véér 1995 zijn geproduceerd moeten de gegevens worden vastgelegd voor zover ze beschikbaar zijn of te achterhalen zijn.
6. De omstandigheden waaronder het feitelijk gebruik van de ingekapselde bron plaatsvindt, mogen niet zwaarder zijn dan waarvoor deze is ontworpen.
7. Het beheer van de ingekapselde bron is zodanig dat steeds bekend is wat de gegevens van iedere bron zijn. De ingekapselde bron is daartoe, indien praktisch mogelijk, voorzien van een serienummer.
8. De ingekapselde bron is niet lek.
## Handelingen
9. Er zijn maatregelen genomen om te voorkomen dat de ingekapselde bron onbevoegd of onbedoeld in de stralingspositie kan worden gebracht.
10. In de nabijheid van de ingekapselde bron zijn geen brandbare, brandbevorderende of explosieve stoffen aanwezig, tenzij hun aanwezigheid voor de bedrijfsvoering noodzakelijk is.
11. Een ingekapselde bron, toegepast in een vaste meetopstelling, wordt in de bergplaats opgeborgen indien:
&lt;!-- image --&gt;
- -dit uit het oogpunt van stralingshygiëne noodzakelijk is;
- -de meetopstelling definitief buiten gebruik is gesteld.
Overige ingekapselde bronnen worden na gebruik opgeborgen in de bergplaats.
## C. Toestellen
1. De handelingen met toestellen en de ruimte waarin de handelingen met toestellen plaatsvinden moeten in stralingshygiënisch opzicht op elkaar zijn afgestemd. De effectieve dosis voor personen buiten de ruimte ten gevolge van handelingen met toestellen mag niet meer bedragen dan 1 millisievert per jaar.
2. De bediening van toestellen mag alleen geschieden op een plaats waar de effectieve dosis voor personen niet meer kan bedragen dan 1 millisievert per jaar.
3. Er moeten maatregelen zijn genomen om te voorkomen dat personen onbevoegd een ruimte kunnen betreden waar een toestel in werking is.
4. In iedere ruimte waar handelingen met toestellen worden uitgevoerd moeten voorzieningen, zoals loodschorten en loodafscherming, aanwezig zijn om de blootstelling van de werknemers te beperken.
5. Indien met bouwkundige voorzieningen de benodigde dosisbeperkingen niet kunnen worden verkregen, moeten deze door middel van organisatorische maatregelen worden gerealiseerd.
6. Een toestel moet worden opgeslagen in een voorziening die deugdelijk is afgesloten en mag uitsluitend worden geopend door de ondernemer en personen die daartoe van hem de be</t>
  </si>
  <si>
    <t>## 1. Intrekking
De op 17 december 2004 aan Uniscan BV., gevestigd te Rotterdam verleende vergunning met nummer 2004/84197, Al/lO/BES, laatstelijk gewijzigd op 1 september 2005 met nummer 2005/63633 voor het verrichten van handelingen met radioactieve stoffen, wordt ambtshalve ingetrokken.
## II. Documenten
Het op 31 maart 2016 ontvangen ambtsbericht van Inspectie SZW maakt deel uit van de intrekkingsbeschikking.
## III. Openbaarmaking en publicatie
Deze intrekkingsbeschikking wordt ingevolge artikel 8 van de Wet openbaarheid van bestuur actief openbaar gemaakt door publicatie van deze beschikking op de internetsite www.anvs.nl.
Van het intrekken van bovengenoemde vergunning wordt tevens mededeling gedaan in de Staatscourant.
## IV. Inwerkingtreding
Dit besluit treedt conform artikel 20.5, eerste lid, Wet milieubeheer terstond in werking.
&lt;!-- image --&gt;
- &amp;gt; Retouradres Postbus 16001 2500 BA Den Haag
Datum
26 april 2016
Betreft
Intrekking vergunning Kernenergiewet
INTREKKING VAN EEN KERNENERGIEWETVERGUNNING VERLEEND AAN UNISCAN B.V. VOOR HET VERRICHTEN VAN HANDELINGEN MET RADIOACTIEVE STOFFEN
Intrekking door:
## DE MINISTER VAN INFRASTRUCTUUR EN MILIEU.
## 1. Het besluit
## ANVS
Stra Ii ngsbeschermi ng Aanvragen en r'lelden Bezuidenhoutseweg 67 Postbus 16001 2500 BA Den Haag www.anvs.nI
- T 070-3487366
- E Postbus.Aanvragenenmelden @anvsnI
Onze referentie 2016/0403-04
Bijlage(n)
## 2.1. De aanvraag
Op 31 maart 2016 heb ik een brief met kenmerk A1207/82/02 ontvangen van de Inspectie SZW met betrekking op de op 17 december 2004 aan Uniscan B.V., gevestigd te Rotterdam verleende vergunning met nummer 2004/84197, Al/TO/BES, laatstelijk gewijzigd op 1 september 2005 met nummer 2005/63633.
In de brief wordt gemeld dat bij een inspectie is gebleken dat de firma Uniscan B.V. niet meer bestaat. De activiteiten van Uniscan B.V. zijn in 2008 overgenomen door Teco Maritime Benelux te Spijkenisse. Hiervan is geen melding gedaan bij de overheid. Dit bedrijf heeft de betreffende bron in 2009 door de RTD af laten voeren. Ook toen heeft het betrokken bedrijf verzuimd hiervan melding te doen bij de overheid en de vergunning in te laten trekken.
Bij de aanvraag zijn de volgende documenten toegevoegd:
- -Mailcorrespondentie tussen Applus-RTD en Inspectie SZW.
- -Overdrachtbewijs Cobalt-60 bron met referentienummer: BSH 106/04/RB/rb.
- -Statusdocument Applus-RTD d.d.16 juni 2005 met opslagnummer 4039.
- -Brief van Applus-RTD gericht aan Teco Maritime Benelux d.d. 26 februari 2009 met referentienummer CSH1815.09/BH/bh.
- -Statusdocument Applus-RTD d.d. 18 oktober 2010 met opslagnummer 6669.
## 2.2. Gevolgde procedure
De vergunning betreft handelingen met radioactieve stoffen op steeds wisselende plaatsen in geheel Nederland ten behoeve van meting van het CO 2 -niveau van gasflessen aan boord van zeeschepen.
Het betreft één(1) ingekapselde bron cobalt-60 met een activiteit van maximaal 18,5 megabecquerel (MBq).
De vergunde onderhavige radioactieve stoffen zijn definitief afgevoerd en van de vergunning zal geen gebruik meer worden gemaakt.
Het ontdoen is geschied overeenkomstig het gestelde in artikel 37, vijfde, zevende en achtste lid, van het Besluit stralingsbescherming.
## 2.3. Besluit
Op grond van bovenstaande heb ik besloten tot intrekking van de vergunning over te gaan.
&lt;!-- image --&gt;
## 2. De aanvraag en de beoordeling
Den Haag,
De Minister van Infrastructuur en Milieu, namens deze:
ir. M.J. Korse -Noordhoek MTD wnd. sectorhoofd directie Autoriteit Nucleaire Veiligheid en Stralingsbescherming
&lt;!-- image --&gt;
Belanghebbenden kunnen binnen 6 weken na de dag van verzending van dit besluit een bezwaarschrift indienen bij de directie Autoriteit Nucleaire Veiligheid en Stralingsbescherming, ter attentie van Hoofddirectie Bestuurlijke en Juridische Zaken van het Ministerie van Infrastructuur en Milieu, afdeling Algemeen Bestuurlijk-Juridische Zaken, Postbus 20901, 2500 EX Den Haag. Dit besluit is verzonden op de in de aanhef van dit besluit genoemde datum.
Het bezwaarschrift moet van een handtekening, datum, naam en adres van de indiener zijn voorzien. De indiener dient duidelijk aan te geven waarom hij tegen dit besluit bezwaar aantekent.
Dit besluit treedt conform artikel 20.5, eerste lid, Wet milieubeheer terstond in werking.
Voor nadere informatie over dit besluit kunt u terecht bij het Inspraakpunt Kernenergiewetvergunningen, telefoon 070 348 73 66, op werkdagen van 09.00 -12.00 uur en van 14.00 -17.00 uur. Ook is het mogelijk om uw vraag per e-mail te stellen aan Postbus.Aanvragenenmelden@anvs.nl onder vermelding van het kenmerk van dit besluit.
&lt;!-- image --&gt;
## 3. Ondertekening</t>
  </si>
  <si>
    <t>Datum
26 juni 2019
Betreft
Kernenergiewet vergunning
Besluit:
KERNENERGIEWETVERGUNNING VERLEEND AAN H.H. GOVAERT EN M. GOVAERT-ROERDINK, HANDELEND ONDER DE NAAM DIERENKLINIEK NIEUW HOUTEN VOF VOOR HET VERRICHTEN VAN HANDELINGEN MET IONISERENDE STRALING UITZENDENDE TOESTELLEN
Verleend door:
DE AUTORITEIT NUCLEAIRE VEILIGHEID EN STRALINGSBESCHERMING
&lt;!-- image --&gt;
## Autoriteit Nucleaire Veiligheid en Stralingsbescherming
Autoriteit Nucleaire Veiligheid en Stralingsbescherming
Koningskade 4 Den Haag Postbus 16001 2500 BA Den Haag
www.enynj
Ons kenmerk
ANVS-PP-2019/0050117-05
## Inhoudsopgave
| 1         | Het besluit                                       |   3 |
|-----------|---------------------------------------------------|-----|
| 1.1       | Vergunning                                        |   3 |
| 1.2       | Voorschriften                                     |   3 |
| 1.3       | Documenten                                        |   4 |
| 1.4       | Openbaarmaking en publicatie                      |   4 |
| 1.5       | Het in werking treden van de vergunning           |   4 |
| 2         | De aanvraag, het toetsingskader en de beoordeling |   5 |
| 2.1       | De aanvraag                                       |   5 |
| 2.2       | De gevolgde procedure                             |   5 |
| 2.3       | Het toetsingskader                                |   5 |
| 2.4       | Bevindingen en overwegingen                       |   6 |
| 2.5       | Conclusie                                         |   7 |
| 3         | Ondertekening                                     |   8 |
| Bijlage A | Verklarende begrippenlijst                        |   9 |
&lt;!-- image --&gt;
Autoriteit Nucleaire Veiligheid en Stralingsbescherming
Ons kenmerk ANVS-PP-2019/0050117-05
## Het besluit 1
## 1.1 Vergunning
Aan H.H. Govaert en M. Govaert-Roerdink, handelend onder de naam Dierenkliniek Nieuw Houten VOF, gevestigd aan de Lange Schaft 11 te Houten wordt, krachtens artikel 34 van de Kernenergiewet en artikel 3.4, vierde lid, artikel 3.9 en artikel 3.10, tweede lid van het Besluit basisveiligheidsnormen stralingsbescherming (Bbs) voor onbepaalde tijd conform de aanvraag vergunning verleend voor:
## A. TOESTELLEN
Het verrichten van handelingen ten behoeve van veterinaire diagnostiek binnen de locatie van Dierenkliniek Nieuw Houten, gelegen aan de Lange Schaft 11 te Houten, met ioniserende straling uitzendende toestellen binnen de volgende omvang:
1. Eéntoestel met een verticaal neerwaarts gerichte bundel en een vaste filmfocus afstand, met een hoogspanning van maximaal 100 kV kilovolt (kV).
Het verrichten van handelingen ten behoeve van tandheelkundige diagnostiek, uitsluitend voor zover het tandheelkundige toepassingen betreft waarbij blootstelling van dieren plaatsvindt, binnen de locatie van Dierenkliniek Nieuw Houten, gelegen aan de Lange Schaft 11 te Houten, met ioniserende straling uitzendende toestellen binnen de volgende omvang:
2. Eéntoestel, met een hoogspanning van maximaal 70 kV.
## 1.2 Voorschriften
Het Bbs en onderliggende ministeriële regelingen en de ANVS-verordening basisveiligheidsnormen stralingsbescherming (Vbs) bevatten rechtstreeks geldende bepalingen. De in deze vergunning opgenomen voorschriften betreffen aspecten die niet (volledig) zijn geregeld in de genoemde regelgeving. Naast de in deze vergunning opgenomen voorschriften dient de vergunninghouder te voldoen aan de van toepassing zijnde bepalingen uit het Bbs en onderliggende ministeriële regelingen en de Vbs.
Aan deze vergunning worden de volgende voorschriften verbonden:
## 1. Algemeen
Voor zover in de vergunning inclusief de voorschriften niet anders is bepaald worden de handelingen verricht overeenkomstig de in paragraaf 1.3 genoemde documenten.
## II. Organisatie
In het geval dat de stralingsbeschermingsdeskundige niet in dienst is van de vergunninghouder, maar wordt ingehuurd, zijn de taken, verantwoordelijkheden, bevoegdheden en de omvang van de tijdsbesteding vastgelegd in een contract.
&lt;!-- image --&gt;
Autoriteit Nucleaire Veiligheid en Stralingsbescherming
Ons kenmerk ANVS-PP-2019/0050117-05
## III. Milieubelasting
De door de vergunde handelingen veroorzaakte bijdrage aan de effectieve dosis voor personen buiten de locatie is zo laag als redelijkerwijs mogelijk is. De multifunctionele individuele dosis overschrijdt in geen geval de waarde van 10 microsievert per jaar.
## IV. Controle, registratie, meldingen en rapportages
## A. Rapportage
De rapportage bedoeld in artikel 5.27 van de Regeling basisveiligheidsnormen stralingsbescherming bevat, naast de in dit artikel bedoelde gegevens, tevens:
- -een overzicht van alle toestellen die aan het einde van het verslagjaar aanwezig zijn, gespecificeerd naar maximale hoogspanning en toepassing;
- -een overzicht van relevante wijzigingen van de situatie, binnen het kader van de vergunning;
- -een overzicht van controlewerkzaamheden die door of namens de stralingsbeschermingsdeskundige zijn uitgevoerd en de resultaten daarvan;
- -een actuele opgave van de totale stralingsbelasting voor het milieu ten gevolge van alle bronnen binnen de locatie tezamen. De stralingsniveaus buiten de locatie worden in kaart gebracht met behulp van een plattegrond van de locatie.
## V. Stralingsincident, ongeval of radiologische noodsituatie
Een stralingsincident, ongeval of radiologische noodsituatie wordt terstond gemeld bij het Meld- en informatiecentrum (088-4890500), dat 24 uur per dag bereikbaar is. Meldingen kunnen ook via de website worden gedaan:
http ://www.autoriteitnvs.nI/aanvragen-en-melden/melden-van-incident.
## 1.3 Documenten
Figuur 1 en figuur 2, beide behorende bij de op 10 juni 2019 ontvangen aanvraag, maken deel uit van de vergunning.
## 1.4 Openbaarmaking en publicatie
De beschikking bevat milieu-informatie. Daarom wordt deze beschikking met toepassing van artikel 8 van de Wet openbaarheid van bestuur actief openbaar gemaakt door publicatie van deze beschikking op de internetsite www.anvs.nI.
Van het verlenen van deze beschikking wordt tevens mededeling gedaan in de Staatscourant.
## 1.5 Het in werking treden van de vergunning
Deze beschikking treedt in werking overeenkomstig het bepaalde in artikel 20.3 van de Wet milieubeheer, met ingang van de dag na de dag waarop de termijn voor het indienen van een bezwaarschrift afloopt. Indien gedurende deze termijn bij de voorzieningenrechter van de Afdeling bestuursrechtspraak van de Raad van State een verzoek om voorlopige voorziening is gedaan, treedt dit besluit niet in werking voordat op dat verzoek is beslist.
&lt;!-- image --&gt;
Autoriteit Nucleaire Veiligheid en Stralingsbescherming
Ons kenmerk
ANVS-PP-2019/0050117-05
&lt;!-- image --&gt;
## 2 De aanvraag, het toetsingskader en de beoordeling
## 2.1 De aanvraag
De aanvraag zonder specifiek kenmerk heb ik op 10 juni 2019 ontvangen en heeft betrekking een aanvraag voor handelingen met ioniserende straling uitzendende toestellen.
In het bijzonder betreft het de volgende toepassingen:
- -Veterinaire diagnostiek gebruik makend van een toestel met een neerwaarts gerichte bundel met vaste focus-detector afstand.
- -Tandheelkundige diagnostiek voor zover het tandheelkundige toepassingen betreft waarbij blootstelling van dieren plaatsvindt.
Bij de aanvraag zijn de volgende documenten toegevoegd:
- -Bijlage A: Machtigingsformulier.
- -Bijlage B: Uittreksel Kamer van Koophandel.
- -Bijlage C: Aanwijzing en deskundigheid toezichthoudend medewerker stralingsbescherming.
- -Bijlage D: Overeenkomst en deskundigheid stralingsbeschermingsdeskundige in de rol van coördinerend deskundige.
- -Bijlage : Werkinstructies.
- -Bijlage F: Veiligheidsinstructies.
- -Bijlage G: Rapportage risico-inventarisatie en evaluatie gebruik röntgentoestel met vaste bundelrichting.
- -Bijlage H: Rapportage risico-inventarisatie en evaluatie gebruik dentaal röntgentoestel.
De aanvraag heb ik getoetst aan artikel 3.6, derde lid van het Bbs en paragraaf 3.2 van de Vbs en in behandeling genomen.
## 22 De gevolgde procedure
Dit besluit is ingevolge artikel 34 van de Kernenergiewet en artikel 11.1 van het Bbs niet tot stand gekomen overeenkomstig de openbare voorbereidingsprocedure van afdeling 3.4 van de Algemene wet bestuursrecht. De handelingen met toestellen zijn op grond van artikel 11.1 van het Bbs vrijgesteld van de bepalingen van de afdeling 3.4 van de Algemene wet bestuursrecht.
## 2.3 Het toetsingskader
Aan het wettelijk kader van de stralingsbescherming, zoals vastgelegd in de Kernenergiewet en de onderliggende besluiten, liggen onder meer de drie principes van het stralingsbeschermingsbeleid ten grondslag, te weten: rechtvaardiging, ALARA en dosislimieten. Indien aan deze uitgangspunten niet wordt voldaan of indien sprake is van een weigeringsgrond zoals genoemd in artikel 3.7 van het Bbs, wordt de vergunning niet verleend.
Autoriteit Nucleaire Veiligheid en Stralingsbescherming
Ons kenmerk ANVS-PP-2019/0050 117-05
&lt;!-- image --&gt;
Autoriteit Nucleaire Veiligheid en Stralingsbescherming
Ons kenmerk ANVS-PP-2019/0050117-05
Rechtvaardiging houdt in dat een handeling die blootstelling aan ioniserende straling met zich meebrengt, slechts is toegestaan indien de economische, sociale en andere voordelen van de betrokken handeling opwegen tegen de gezondheidsschade die hierdoor kan worden toegebracht. Dit principe is vastgelegd in paragraaf 2.2 van het Bbs.
Toepassing van ALARA (as low as reasonably achievable) is de optimalisatie, gericht op beperking van de blootstelling aan oniserende straling. In de wetgeving is het ALARA beginsel vastgelegd in artikel 31 van de Kernenergiewet en paragraaf 2.3 van het Bbs.
Dosislimieten vervullen een vangnetfunctie, indien het toepassen van rechtvaardiging en ALARA niet voldoende is om een bepaald beschermingsniveau te bereiken. De limietwaarden zijn vastgelegd in artikelen 9.1, 9.2, 7.3, 7.4, 7.34 en 7.35 van het Bbs.
De in artikel 3.7 van het Bbs genoemde voorwaarde betreffende deskundigheid op het gebied van stralingsbescherming maakt, voor onderhavige vergunning, ook deel uit van het toetsingskader.
## 2.4 Bevindingen en overwegingen
Met inachtneming van paragraaf 2.3 heb ik de aanvraag getoetst aan artikel 3.7 van het Bbs. Geen van de daarin genoemde bepalingen staat vergunningverlening in de weg.
De in de aanvraag bedoelde handelingen zijn opgenomen in bijlage 2.1, onderdeel A, van de Regeling basisveiligheidsnormen stralingsbescherming (hierna: Rbs). Het gaat om categorie II.B.1, diagnostiek bij dieren. Derhalve is sprake van gerechtvaardigde handelingen.
Ook in de situatie die is beschreven in de aanvraag zijn deze handelingen gerechtvaardigd. Het betreft handelingen die nodig zijn in het kader van diagnostiek bij gezelschapsdieren.
Artikel 3.4, vierde lid van het Bbs bepaalt dat indien binnen een locatie, onder verantwoordelijkheid van een ondernemer, meerdere handelingen plaatsvinden die tot verschillende in artikel 3.8 of 3.10 van het Bbs genoemde categorieën van handelingen behoren, een vergunning voor het geheel van die handeling is vereist, waarbij de zwaarste bron bepalend is voor de op de aanvraag van toepassing zijnde procedure. Dit betekent dat het totaal van de handelingen en genomen maatregelen in samenhang moet worden beoordeeld. Bij deze integrale beoordeling is gekeken naar de risico's voor mens en milieu ten gevolge van alle handelingen op deze locatie tezamen.
Uit de aanvraag is gebleken dat de aanvrager in voldoende mate stralingshygiënische maatregelen treft. De risico-inventarisatie en -evaluatie (RI&amp;amp;E) die bij de aanvraag is aangeleverd laat zien dat de blootstelling van de werknemers geoptimaliseerd is. Uit de aanvraag, met name uit de milieu-analyse, blijkt dat de Autoriteit Nucleaire Veiligheid en Stralingsbescherming
&lt;!-- image --&gt;
Ons kenmerk
ANVS-PP-2019/0050117-05
blootstelling van personen buiten de locaties kleiner is dan het secundair niveau (SN). De stralingshygiënische maatregelen en de aan de vergunning verbonden voorschriften bieden voldoende waarborgen, dat mensen, dieren, planten en goederen ten gevolge van de toepassing van radioactieve stoffen en/of ioniserende straling, zo weinig schade of hinder daarvan zullen ondervinden als redelijkerwijs mogelijk is. Uit bovengenoemde RI&amp;amp;E en de milieu-analyse blijkt ook dat de dosislimieten voor leden van de bevolking en werknemers niet overschreden zullen worden.
Tenslotte blijkt uit de aanvraag ook dat de aanvrager beschikt over voldoende deskundigheid, er is een contract afgesloten voor ondersteuning door een geregistreerde stralingsbeschermingsdeskundige, en daarnaast is er, vanuit de organisatie, een toezichthoudend medewerker stralingsbescherming aangewezen.
## 2.5 Conclusie
Op grond van het bovenstaande heb ik besloten om tot verlening van de vergunning over te gaan.
## 3
## Ondertekening
DE AUTORITEIT NUCLEAIRE VEILIGHEID EN STRALINGSBESCHERMING, namens deze,
ir. M.]. Korse-Noordhoek MTD, afdelingshoofd
Belanghebbenden kunnen binnen 6 weken na de dag van verzending van dit besluit een bezwaarschrift indienen bij de Autoriteit Nucleaire Veiligheid en Stralingsbescherming, o.v.v. bezwaar, Postbus 16001, 2500 BA, Den Haag. Dit besluit is verzonden op de in de aanhef van dit besluit genoemde datum.
Het bezwaarschrift moet van een handtekening, datum, naam en adres van de indiener zijn voorzien. De indiener dient duidelijk aan te geven waarom hij tegen dit besluit bezwaar aantekent.
Dit besluit treedt in werking met ingang van de dag na de dag waarop de termijn afloopt voor het indienen van een bezwaarschrift. Indien gedurende die termijn bij de voorzieningenrechter van de Afdeling bestuursrechtspraak van de Raad van State een verzoek om voorlopige voorziening is gedaan, treedt dit besluit niet in werking voordat op dat verzoek is beslist.
## Voorlopige voorziening
Indien een bezwaarschrift is ingediend, kunnen belanghebbenden aan de voorzieningenrechter van de Afdeling bestuursrechtspraak van de Raad van State, Postbus 20019, 2500EA te 's-Gravenhage verzoeken om een voorlopige voorziening te treffen, indien -gelet op de betrokken belangen -onverwijlde spoed dit vereist. Bij het verzoek dient een afschrift van het bezwaarschrift te worden overgelegd. Als burger kunt u uw verzoek tot voorlopige voorziening ook via het digitale loket van de Raad van State indienen (https://digitaalloket.raadvanstate.nl/). Hiervoor dient u te beschikken over DigiD. Voor de behandeling van een verzoek om voorlopige voorziening is griffierecht verschuldigd. Inlichtingen over de procedure en de hoogte van het griffierecht kunnen worden verkregen bij de Raad van State, telefoon 070 426 4426.
Voor nadere informatie over dit besluit kunt u tijdens kantooruren terecht bij het Informatiepunt Kernenergiewetvergunningen, telefoon 088-4890500. Ook is het mogelijk om uw vraag te stellen via httis://www.autoriteitnvs.nl/contact onder vermelding van het kenmerk van dit besluit.
&lt;!-- image --&gt;
Autoriteit Nucleaire Veiligheid en Stralingsbescherming
Ons kenmerk ANVS-PP-2019/0050117-05
&lt;!-- image --&gt;
## Bijlage A Verklarende begrippenlijst
In deze vergunning gelden de onderstaande definities. Voor de overige termen en definities wordt naar de Kew, het Bbs en de onderliggende ministeriële regelingen en de Vbs verwezen.
- -terreingrens:
de begrenzing van de locatie(s), zoals aangeduid op figuur 1 en figuur 2, beide behorende bij de op 10 juni 2019 ontvangen aanvraag.
Autoriteit Nucleaire Veiligheid en Stralingsbescherming
Ons kenmerk
ANVS-PP-2019/0050117-05</t>
  </si>
  <si>
    <t>Datum  	4 oktober 2019 Betreft  	Kernenergiewet vergunning
Besluit:
KERNENERGIEWETVERGUNNING VERLEEND AAN IMPLANTOLOGIEPRAKTI3K AUSSEMS B.V. VOOR HET VERRICHTEN VAN HANDELINGEN MET TOESTELLEN
Verleend door:
DE AUTORITEIT NUCLEAIRE VEILIGHEID EN STRALINGSBESCHERMING
&lt;!-- image --&gt;
Autoriteit Nucleaire Veiligheid en Stralingsbescherming
Koningskade 4 Den Haag Postbus 16001 2500 BA Den Haag www.anvs.n1
Ons kenmerk ANVS-PP-2019/0050444-09
## Inhoudsopgave
| 1                                    | Het besluit                                       |   3 |
|--------------------------------------|---------------------------------------------------|-----|
| 1.1                                  | Vergunning                                        |   3 |
| 1.2                                  | Voorschriften                                     |   3 |
| 1.3                                  | Documenten                                        |   6 |
| 1.4                                  | Openbaarmaking en publicatie                      |   6 |
| 1.5                                  | Het in werking treden van de vergunning           |   6 |
| 2                                    | De aanvraag, het toetsingskader en de beoordeling |   7 |
| 2.1                                  | De aanvraag                                       |   7 |
| 2.2                                  | De gevolgde procedure                             |   8 |
| 2.3                                  | Het toetsingskader                                |   8 |
| 2.4                                  | Bevindingen en overwegingen                       |   8 |
| 2.5                                  | Conclusie                                         |   9 |
| 3                                    | Ondertekening                                     |  10 |
| Bijlage A Verklarende begrippenlijst | Bijlage A Verklarende begrippenlijst              |  11 |
&lt;!-- image --&gt;
Autoriteit Nucleaire Veiligheid en Stralingsbescherming Autoriteit Nucleaire
Ons kenmerk ANVS-PP-2019/0050444-09
## 1  	Het besluit
## 1.1  	Vergunning
Aan Implantologiepraktijk Aussems B.V. gevestigd te Maastricht wordt, krachtens artikel 34 van de Kernenergiewet en de artikelen 3.4, vierde lid, 3.5 en 3.8, tweede lid en artikel 3.10, tweede lid van het Besluit basisveiligheidsnormen stralingsbescherming (Bbs) voor onbepaalde tijd conform de aanvraag vergunning verleend voor:
## A. TOESTELLEN
Het verrichten van handelingen ten behoeve van tandheelkundige diagnostiek binnen de locatie van Implantologiepraktijk Aussems B.V., gelegen aan Sint Servaasbolwerk 2 te Maastricht, met ioniserende straling uitzendende toestellen binnen de volgende omvang:
1.  Een (1) toestel gebruik makend van computertomografietechniek (CT) met een hoogspanning van maximaal 90 kilovolt (kV).
2. Zes (6) toestellen met een hoogspanning van maximaal 65 kV.
## 1.2  	Intrekking
Gelet op artikel 3.4, vierde lid van het Bbs, wordt de op 04 oktober 2018, aan E.M.M.P.J. Schreurs en Implantologiepraktijk Aussems B.V., handelend onder de naam Maatschap Tandartspraktijk Bolwerk Tandartsen, verleende registratie met nummer ANVS-PP-2018/0000838-04 ingetrokken. Van de registratie zal geen gebruik meer worden gemaakt.
## 1.3  	Voorschriften
Het Bbs en onderliggende ministeriele regelingen en de ANVS-verordening basisveiligheidsnormen stralingsbescherming (Vbs) bevatten rechtstreeks geldende bepalingen. De in deze vergunning opgenomen voorschriften betreffen aspecten die niet (volledig) zijn geregeld in de genoemde regelgeving. Naast de in deze vergunning opgenomen voorschriften dient de vergunninghouder te voldoen aan de van toepassing zijnde bepalingen uit het Bbs en onderliggende ministeriele regelingen en de Vbs.
Aan deze vergunning worden de volgende voorschriften verbonden:
## I. Algemeen
1. Voor zover in de vergunning inclusief de voorschriften niet anders is bepaald worden de handelingen verricht overeenkomstig en op de locatie zoals beschreven in de in paragraaf 1.3 genoemde documenten.
&lt;!-- image --&gt;
Autoriteit Nucleaire Veiligheid en Stralingsbescherming Autoriteit Nucleaire
Ons kenmerk ANVS-PP-2019/0050444-09
## II.  Organisatie
1. In het geval dat de stralingsbeschermingsdeskundige niet in dienst is van de vergunninghouder, maar wordt ingehuurd, zijn de taken, verantwoordelijkheden, bevoegdheden en de omvang van de tijdsbesteding vastgelegd in een contract.
## III.  Patientbescherming A. Algemeen
1. De ondernemer draagt er zorg voor dat voor alle aanwezige medischradiologische apparatuur een adequaat kwaliteitsborgingsprogramma aanwezig is en wordt toegepast. Voor de invulling van het kwaliteitsborgingsprogramma wordt, waar aanwezig, gebruik gemaakt van door de betrokken beroepsgroepen opgestelde normen.
2. Voorafgaand aan de medisch-radiologische handeling moet de medischradiologische apparatuur door de klinisch fysicus, als bedoeld in artikel 8.8 van het Bbs, worden vrijgegeven voor gebruik.
3. De ondernemer draagt zorg voor een deugdelijk en schriftelijk vastgelegd stralingsbeschermingsbeleid waarin onder meer zodanige maatregelen en procedures zijn opgenomen dat iedere medisch-radiologische handeling om medische redenen is gerechtvaardigd en de stralingsbescherming van de patient is geoptimaliseerd.
4. De ondernemer draagt zorg voor een deugdelijk en schriftelijk vastgelegd beleid waarin de deskundigheidseisen ten aanzien van de stralingshygiene zijn opgenomen van medisch en paramedisch personeel bij het toepassen van ioniserende strafing bij patienten. De ondernemer draagt aantoonbaar zorg voor bij- en nascholing.
5. De ondernemer draagt zorg voor een deugdelijk en schriftelijk vastgelegd beleid dat een snelle en effectieve verwerking van betrokken medische documenten waarborgt, zodanig dat de resultaten van reeds uitgevoerde onderzoeken en/of behandelingen zo snel mogelijk beschikbaar zijn.
6. De beschikbare formatie van de in artikel 8.14 van het Besluit basisveiligheidsnormen stralingsbescherming bedoelde klinisch fysici voldoet aan de normen van de beroepsgroep. De taken, verantwoordelijkheden en bevoegdheden, alsmede de grootte van de aanstelling zijn vastgelegd in een contract.
7. In een register wordt aantekening gehouden van de gegevens over de indicatie van de r6ntgenopnames en over de aantallen computertomografie opnames die met de rontgenapparatuur wordt gemaakt. Dit is opvraagbaar voor inspectiedoeleinden.
&lt;!-- image --&gt;
Ons kenmerk ANVS-PP-2019/0050444-09
## IV. Milieubelasting
1. De door de vergunde handelingen veroorzaakte bijdrage aan de multifunctionele individuele dosis buiten de locatie is zo laag als redelijkerwijs mogelijk is. De actuele individuele dosis overschrijdt in geen geval de waarde van 8,51 microsievert per jaar.
2. Wanneer het feitelijk gebruik van het gebied buiten de locatie gedurende een aaneengesloten periode van ten minste vier maanden structureel wijzigt, waardoor een andere correctiefactor uit de bijlage 10 behorende bij de Vbs moet worden gehanteerd, en door het nieuwe gebruik de actuele individuele dosis van 8,51 microsievert per jaar wordt overschreden, meldt de ondernemer dit terstond aan de Autoriteit Nucleaire Veiligheid en Stralingsbeschermingafdeling afdeling Stralingsbescherming en Crisismanagement, team Medische en Industriele Toepassingen.
Tevens draagt de ondernemer zorg voor aanvullende maatregelen met als resultaat een actuele individuele dosis lager dan 8,51 microsievert per jaar voor het nieuwe feitelijke gebruik.
3. Wanneer blijkt uit wijzigingen van bestemmingsplannen, die betrekking hebben op dat betreffende gebied, dan wel wanneer blijkt uit verleende omgevingsvergunningen op grond van de Wet algemene bepalingen omgevingsrecht die betrekking hebben op dat betreffende gebied, dat wijzigingen in het feitelijk gebruik te verwachten zijn of mogelijk worden, en de ondernemer heeft kennisgenomen van deze wijzigingen of had hiervan kennis kunnen nemen, meldt de ondernemer dit terstond aan de Autoriteit Nucleaire Veiligheid en Stralingsbescherming, afdeling Stralingsbescherming en Crisismanagement, team Medische en Industriele Toepassingen. Tevens draagt de ondernemer zorg voor aanvullende maatregelen met als resultaat een actuele individuele dosis lager dan 8,51 microsievert per jaar voor het nieuwe feitelijke gebruik.
4. In het in punt 2 genoemde geval wordt binnen twee maanden na het moment van melding aan de Autoriteit Nucleaire Veiligheid en Stralingsbescherming, afdeling Stralingsbescherming en Crisismanagement, team Medische en Industriele Toepassingen een plan tot reductie van de actuele individuele dosis overlegd. Het plan is binnen een jaar na het moment van melding gerealiseerd.
5. In het in punt 3 genoemde geval wordt binnen twee maanden na het moment van melding aan de Autoriteit Nucleaire Veiligheid en Stralingsbescherming, afdeling Stralingsbescherming en Crisismanagement, team Medische en Industriele Toepassingen een plan tot reductie van de actuele individuele dosis overlegd. Het plan wordt gerealiseerd binnen een door deze inspectie vast te stellen periode, welke afhankelijk is van de realisatie van het nieuwe feitelijke gebruik.
&lt;!-- image --&gt;
Ons kenmerk ANVS-PP-2019/0050444-09
## V. Rapportage
1. De rapportage bedoeld in artikel 5.27 van de Regeling basisveiligheidsnormen stralingsbescherming bevat, naast de in dit artikel bedoelde gegevens, tevens:
2. -een overzicht van de behandelend artsen die medische verantwoordelijkheid dragen voor medisch-radiologische handelingen en de wijze waarop wordt voldaan aan artikel 8.4 van het Besluit basisveiligheidsnormen stralingsbescherming.
3. -een overzicht van relevante wijzigingen van de situatie, binnen het kader van de vergunning;
4. -een overzicht van controlewerkzaamheden die door of namens de stralingsbeschermingsdeskundige zijn uitgevoerd en de resultaten daarvan;
5. -een actuele opgave van de totale stralingsbelasting voor het milieu ten gevolge van alle bronnen binnen de locatie tezamen. De stralingsniveaus buiten de locatie worden in kaart gebracht met behulp van een plattegrond van de locatie.
## VI. Stralingsincident
1. Een stralingsincident wordt terstond gemeld bij het Meld- en informatiecentrum (088-4890500) of via de website: http://www.autoriteitnvs.nl/aanvragen-enmelden/melden-van-incident.
- 1.4  	Documenten
De plattegronden van Implantologiepraktijk Aussems B.V. zoals aangeduid in bijlage 16, behorende bij de vergunningaanvraag d.d. 11 juli 2019, maken deel uit van de vergunning.
- 1.5  	Openbaarmaking en publicatie
De beschikking bevat milieu-informatie. Daarom wordt deze beschikking met toepassing van artikel 8 van de Wet openbaarheid van bestuur actief openbaar gemaakt door publicatie van deze beschikking op de internetsite www.anvs.nl.
Van het verlenen van deze beschikking wordt tevens mededeling gedaan in de Staatscourant.
- 1.6  	Het in werking treden van de vergunning Deze beschikking treedt in werking overeenkomstig het bepaalde in artikel 20.3 van
de Wet milieubeheer, met ingang van de dag na de dag waarop de termijn voor het indienen van een bezwaarschrift afloopt. Indien gedurende deze termijn bij de voorzieningenrechter van de Afdeling bestuursrechtspraak van de Raad van State een verzoek om voorlopige voorziening is gedaan, treedt dit besluit niet in werking voordat op dat verzoek is beslist.
&lt;!-- image --&gt;
Autoriteit Nucleaire Veiligheid en Stralingsbescherming
Ons kenmerk ANVS-PP-2019/0050444-09
&lt;!-- image --&gt;
Ons kenmerk ANVS-PP-2019/0050444-09
## 2  	De aanvraag, het toetsingskader en de beoordeling
## 2.1  	De aanvraag
De aanvraag zonder kenmerk heb ik op 11 juli 2017 ontvangen en heeft betrekking op handelingen met toestellen ten behoeve van tandheelkundige diagnostiek, inclusief Conebeam CT, binnen de locatie van Implantologiepraktijk Aussems B.V., gelegen aan Sint Servaasbolwerk 2, to Maastricht.
Bij de aanvraag zijn de volgende documenten toegevoegd:
- -Machtigingsformulier rechtshandelingen Kernenergiewet
- -Uittreksel BIG-register CBCT;
- -Kopie diploma SBD;
- -Uitdraai register SBD;
- -Overeenkomst klinisch fysicus;
- -Verklaring van beschikbaarheid KF;
- -Stralinghygienische risicoanalyse;
- -Plattegrond praktijk;
- -Kadastrale kaart;
- -Personele voorlichting rontgenstraling;
- -Werkinstructie Intra-oraal toestel;
- -Stralingsbeschermingsorganisatie;
- -Werkinstructie OPG:CBCT;
- -Uittreksel KvK;
- -Toedeling verantwoordelijkheden, bevoegdheden en taken TMS;
- -Aanwijzing TMS;
- -Aanwijzing TMS;
- -Kopie diploma stralingsdeskundigheid TMS;
- -Uittreksel BIG-register TMS;
- -Kopie diploma stralingsdeskundigheid 5AM CBCT;
- -Kopie diploma stralingsdeskundigheid CBCT.
Op 28 juli 2019 is verzocht om aanvullende informatie. Op 4 september 2019 heb ik de volgende aanvullende gegevens ontvangen:
- -Toelichting aanvullende informatie;
- -Stralingsbeschermingsorganisatie;
- -Aanwijzing toezichthoudend stralingsdeskundige\_getekend;
- -Aanwijzing stralingsbeschermingsdeskundige\_getekend;
- -Uittreksel KvK Implantologie Aussems Holding;
- -Uittreksel KvK Stichting AK Implantologiepraktijk Aussems;
- -Stralinghygie nische risicoanalyse.
Op 19 september 2019 is nogmaals verzocht om aanvullende informatie. Op 20 september 2019 heb ik de volgende aanvullende gegevens ontvangen:
- -Toelichting aanvullende informatie;
- -Stralinghygie nische risicoanalyse.
&lt;!-- image --&gt;
Autoriteit Nucleaire Veiligheid en Stralingsbescherming Autoriteit Nucleaire
Ons kenmerk ANVS-PP-2019/0050444-09
De aanvraag en de aanvullende informatie heb ik getoetst aan artikel 3.6, derde lid van het Bbs en paragraaf 3.2 van de Vbs en in behandeling genomen.
## 2.2  	De gevolgde procedure
Dit besluit is ingevolge artikel 34 van de Kernenergiewet en artikel 11.1 van het Bbs niet tot stand gekomen overeenkomstig de openbare voorbereidingsprocedure van afdeling 3.4 van de Algemene wet bestuursrecht. De handelingen met toestellen zijn op grond van artikel 11.1 van het Bbs vrijgesteld van de bepalingen van de afdeling 3.4 van de Algemene wet bestuursrecht.
## 2.3  	Het toetsingskader
Aan het wettelijk kader van de stralingsbescherming, zoals vastgelegd in de Kernenergiewet en de onderliggende besluiten, liggen onder meer de drie principes van het stralingsbeschermingsbeleid ten grondslag, te weten: rechtvaardiging, ALARA en dosislimieten. Indien aan deze uitgangspunten niet wordt voldaan of indien sprake is van een weigeringsgrond zoals genoemd in artikel 3.7 van het Bbs, wordt de vergunning niet verleend.
Rechtvaardiging houdt in dat een handeling die blootstelling aan ioniserende straling met zich meebrengt, slechts is toegestaan indien de economische, sociale en andere voordelen van de betrokken handeling opwegen tegen de gezondheidsschade die hierdoor kan worden toegebracht. Dit principe is vastgelegd in paragraaf 2.2 van het Bbs.
Toepassing van ALARA (as low as reasonably achievable) is de optimalisatie, gericht op beperking van de blootstelling aan ioniserende straling. In de wetgeving is het ALARA beginsel vastgelegd in artikel 31 van de Kernenergiewet en paragraaf 2.3 van het Bbs.
Dosislimieten vervullen een vangnetfunctie, indien het toepassen van rechtvaardiging en ALARA niet voldoende is om een bepaald beschermingsniveau te bereiken. De limietwaarden zijn vastgelegd in artikelen 9.1, 9.2, 7.3, 7.4, 7.34 en 7.35 van het Bbs.
De volgende in artikel 3.7 van het Bbs genoemde voorwaarde maakt, voor onderhavige vergunning, ook deel uit van het toetsingskader: voldoende deskundigheid op het gebied van stralingsbescherming.
## 2.4  	Bevindingen en overwegingen
Met inachtneming van paragraaf 2.3 heb ik de aanvraag getoetst aan artikel 3.7 van het Bbs. Geen van de daarin genoemde bepalingen staat vergunningverlening in de weg.
Artikel 3.4, vierde lid, van het Bbs bepaalt dat indien binnen een locatie, onder verantwoordelijkheid van een ondernemer, meerdere handelingen plaatsvinden die tot verschillende in artikel 3.8 of 3.10 van het Bbs genoemde categorieen van handelingen behoren, een vergunning voor het geheel van die handelingen is vereist, waarbij de zwaarste bron bepalend is voor de op de aanvraag van Ons kenmerk ANVS-PP-2019/0050444-09
&lt;!-- image --&gt;
toepassing zijnde procedure. Dit betekent dat het totaal van de handelingen en genomen stralingshygienische maatregelen in samenhang moet worden beoordeeld. Bij deze integrale beoordeling is gekeken naar de risico's voor mens en milieu ten gevolge van alle handelingen op deze locatie tezamen.
De in de aanvraag bedoefde handelingen zijn opgenomen in bijlage 2.1, onderdeel A, van de Regeling basisveiligheidsnormen stralingsbescherming (Rbs). Het gaat om categorie II.A.2: Onderzoek van personen op medisch indicatie. Derhalve is sprake van gerechtvaardigde handelingen.
Ook in de situatie die is beschreven in de aanvraag zijn deze handelingen gerechtvaardigd. Het betreft handelingen die nodig zijn in het kader van tandheelkundige diagnostiek en die volgens de laatste stand van de medische wetenschap worden uitgevoerd.
Uit de aanvraag is gebleken dat de aanvrager in voldoende mate stralingshygienische maatregelen treft. De risico-inventarisatie en -evaluatie (RI&amp;amp;E) die bij de aanvraag is aangeleverd laat zien dat de blootstelling van de werknemers geoptimaliseerd is. Uit de aanvraag, met name uit de milieu-analyse, blijkt dat de blootstelling van personen buiten de locaties kleiner is dan het secundair niveau (SN). De stralingshygienische maatregelen en de aan de vergunning verbonden voorschriften bieden voldoende waarborgen, dat mensen, dieren, planten en goederen ten gevolge van de toepassing van ioniserende strafing, zo weinig schade of hinder daarvan zullen ondervinden als redelijkerwijs mogelijk is. Uit bovengenoemde RI&amp;amp;E en de milieu-analyse blijkt ook dat de dosislimieten voor leden van de bevolking en werknemers niet overschreden zullen worden.
Tenslotte blijkt uit de aanvraag ook dat de aanvrager beschikt over voldoende deskundigheid, namelijk minstens een geregistreerde strafingsbeschermingsdeskundige, klinisch fysicus, medisch deskundige en een toezichthoudend medewerker stralingsbescherming.
## 2.5  	Conclusie
Op grond van het bovenstaande heb ik besloten om tot verlening van de vergunning over to gaan.
## 3  	Ondertekening
DE AUTORITEIT NUCLEAIRE VEILIGHEID EN STRALINGSBESCHERMING, namens deze,
ir. M.J. Korse-Noordhoek MTD, afdelingshoofd
Belanghebbenden kunnen binnen 6 weken na de dag van verzending van dit besluit een bezwaarschrift indienen bij de Autoriteit Nucleaire Veiligheid en Stralingsbescherming, o.v.v. bezwaar, Postbus 16001, 2500 BA, Den Haag. Dit besluit is verzonden op de in de aanhef van dit besluit genoemde datum.
Het bezwaarschrift moet van een handtekening, datum, naam en adres van de indiener zijn voorzien. De indiener dient duidelijk aan te geven waarom hij tegen dit besluit bezwaar aantekent.
Dit besluit treedt in werking met ingang van de dag na de dag waarop de termijn afloopt voor het indienen van een bezwaarschrift. Indien gedurende die termijn bij de voorzieningenrechter van de Afdeling bestuursrechtspraak van de Raad van State een verzoek om voorlopige voorziening is gedaan, treedt dit besluit niet in werking voordat op dat verzoek is beslist.
## Voorlopige voorziening
Indien een bezwaarschrift is ingediend, kunnen belanghebbenden aan de voorzieningenrechter van de Afdeling bestuursrechtspraak van de Raad van State, Postbus 20019, 2500EA te 's-Gravenhage verzoeken om een voorlopige voorziening te treffen, indien - gelet op de betrokken belangen - onverwijlde spoed dit vereist. Bij het verzoek dient een afschrift van het bezwaarschrift te worden overgelegd. Als burger kunt u uw verzoek tot voorlopige voorziening ook via het digitale loket van de Raad van State indienen (https://digitaalloket.raadvanstate.n1/). Hiervoor dient u te beschikken over DigiD. Voor de behandeling van een verzoek om voorlopige voorziening is griffierecht verschuldigd. Inlichtingen over de procedure en de hoogte van het griffierecht kunnen worden verkregen bij de Raad van State, telefoon 070 426 4426.
Voor nadere informatie over dit besluit kunt u tijdens kantooruren terecht bij het Informatiepunt Kernenergiewetvergunningen, telefoon 088-4890500. Ook is het mogelijk om uw vraag te stellen via https://www.autoriteitnvs.nl/contact onder vermelding van het kenmerk van dit besluit.
&lt;!-- image --&gt;
Autoriteit Nucleaire Veiligheid en Stralingsbescherming Autoriteit Nucleaire
Ons kenmerk ANVS-PP-2019/0050444-09
&lt;!-- image --&gt;
## Bijlage A Verklarende begrippenlijst
In deze vergunning gelden de onderstaande definities. Voor de overige termen en definities wordt naar de Kew, het Bbs en de onderliggende ministeriele regelingen en de Vbs verwezen.
- terreingrens:
de begrenzing van de locatie, zoals aangeduid op de plattegronden van Implantologiepraktijk Aussems B.V. in bijlage 16 van de aanvraag d.d. 11 juli 2019.
Autoriteit Nucleaire Veiligheid en Stralingsbescherming Autoriteit Nucleaire
Ons kenmerk ANVS-PP-2019/0050444-09</t>
  </si>
  <si>
    <t>DRE_25-4-2-2024000871_wiede_wold_afvalkathedraal_geredigeerd.txt::Rechtsobject</t>
  </si>
  <si>
    <t>subsidie [249:258]</t>
  </si>
  <si>
    <t>subsidie [583:591]</t>
  </si>
  <si>
    <t>&lt;!-- image --&gt;
Autoriteit Nucleaire Veiligheid en Stralingsbescherming
Koningskade 4 Den Haag Postbus 16001 2500 BA  Den Haag
[www.anvs.nl](http://www.anvs.nl/)
Ons kenmerk
ANVS-PP-2019/0054769-05
Datum
27 mei 2020
Betreft
Kernenergiewet vergunning
Besluit:
KERNENERGIEWETVERGUNNING VERLEEND AAN EVIDENSIA NEDERLAND B.V. VOOR HET VERRICHTEN VAN HANDELINGEN MET IONISERENDE STRALING UITZENDENDE TOESTELLEN
Verleend door:
DE AUTORITEIT NUCLEAIRE VEILIGHEID EN STRALINGSBESCHERMING
●
## Inhoudsopgave
| 1         | Het besluit                                       |   3 |
|-----------|---------------------------------------------------|-----|
| 1.1       | Vergunning                                        |   3 |
| 1.2       | Voorschriften                                     |   3 |
| 1.3       | Documenten                                        |   4 |
| 1.4       | Openbaarmaking en publicatie                      |   4 |
| 1.5       | Het in werking treden van de vergunning           |   4 |
| 2         | De aanvraag, het toetsingskader en de beoordeling |   5 |
| 2.1       | De aanvraag                                       |   5 |
| 2.2       | De gevolgde procedure                             |   5 |
| 2.3       | Het toetsingskader                                |   5 |
| 2.4       | Bevindingen en overwegingen                       |   6 |
| 2.5       | Conclusie                                         |   7 |
| 3         | Ondertekening                                     |   8 |
| Bijlage A | Verklarende begrippenlijst                        |   9 |
## 1 Het besluit
## 1.1 Vergunning
Aan Evidensia Nederland B.V. gevestigd te Vianen wordt, krachtens artikel 34 van de Kernenergiewet en artikel 3.4, vierde lid, van het Besluit basisveiligheidsnormen stralingsbescherming (Bbs) voor onbepaalde tijd conform de aanvraag vergunning verleend voor:
## A. TOESTELLEN
Het verrichten van handelingen ten behoeve van veterinaire diagnostiek binnen de locatie van Dierenkliniek Hoofdstraat, gelegen aan Hoofdstraat 121/123 te Driebergen-Rijsenburg, met ioniserende straling uitzendende toestellen binnen de volgende omvang:
1. Eén toestel met een verticaal neerwaarts gerichte bundel en een vaste focusfilm afstand, met een hoogspanning van maximaal 100 kilovolt (kV).
Het verrichten van handelingen ten behoeve van tandheelkundige diagnostiek, uitsluitend voor zover het tandheelkundige toepassingen betreft waarbij blootstelling van dieren plaatsvindt, binnen de locatie van Dierenkliniek Hoofdstraat, gelegen aan Hoofdstraat 121/123 te Driebergen-Rijsenburg, met ioniserende straling uitzendende toestellen binnen de volgende omvang:
2. Eén toestel met een hoogspanning van maximaal 70 kV.
## 1.2 Voorschriften
Het Bbs en onderliggende ministeriële regelingen en de ANVS-verordening basisveiligheidsnormen stralingsbescherming (Vbs) bevatten rechtstreeks geldende bepalingen. De in deze vergunning opgenomen voorschriften betreffen aspecten die niet (volledig) zijn geregeld in de genoemde regelgeving. Naast de in deze vergunning opgenomen voorschriften dient de vergunninghouder te voldoen aan de van toepassing zijnde bepalingen uit het Bbs en onderliggende ministeriële regelingen en de Vbs.
Aan deze vergunning worden de volgende voorschriften verbonden:
## I. Algemeen
Voor zover in de vergunning inclusief de voorschriften niet anders is bepaald worden de handelingen verricht overeenkomstig en op de locatie zoals beschreven in de in paragraaf 1.3 genoemde documenten.
## II. Organisatie
In het geval dat de stralingsbeschermingsdeskundige niet in dienst is van de vergunninghouder, maar wordt ingehuurd, zijn de taken, verantwoordelijkheden, bevoegdheden en de omvang van de tijdsbesteding vastgelegd in een contract.
ANVS-PP-2020/0054769-05
## III. Milieubelasting
De door de vergunde handelingen veroorzaakte bijdrage aan de effectieve dosis voor personen buiten de locatie is zo laag als redelijkerwijs mogelijk is. De multifunctionele individuele dosis overschrijdt in geen geval de waarde van 10 microsievert per jaar.
## IV. Controle, registratie, meldingen en rapportages Rapportage
De rapportage bedoeld in artikel 5.27 van de Regeling basisveiligheidsnormen stralingsbescherming bevat, naast de in dit artikel bedoelde gegevens, tevens:
- -een overzicht van alle toestellen die aan het einde van het verslagjaar aanwezig zijn, gespecificeerd naar maximale hoogspanning en toepassing;
- -een overzicht van relevante wijzigingen van de situatie, binnen het kader van de vergunning;
- -een overzicht van controlewerkzaamheden die door of namens de stralingsbeschermingsdeskundige zijn uitgevoerd en de resultaten daarvan;
- -een actuele opgave van de totale stralingsbelasting voor het milieu ten gevolge van alle bronnen binnen de locatie tezamen. De stralingsniveaus buiten de locatie worden in kaart gebracht met behulp van een plattegrond van de locatie.
## V. Stralingsincident, ongeval of radiologische noodsituatie
Een stralingsincident, ongeval of radiologische noodsituatie wordt terstond gemeld bij het Meld- en informatiecentrum (088-4890500), dat 24 uur per dag bereikbaar is. Meldingen kunnen ook via de website worden gedaan:
[http://www.autoriteitnvs.nl/aanvragen-en-melden/melden-van-incident.](http://www.autoriteitnvs.nl/aanvragen-en-melden/melden-van-incident.)
## 1.3 Documenten
De plattegronden in 'Ruimtemeting terreingrensberekening Dierenkliniek Hoofdstraat rev 000' van de op 2 april 2020 ontvangen aanvraag maken deel uit van de vergunning.
## 1.4 Openbaarmaking en publicatie
De beschikking bevat milieu-informatie. Daarom wordt deze beschikking met toepassing van artikel 8 van de Wet openbaarheid van bestuur actief openbaar gemaakt door publicatie van deze beschikking op de internetsite www.anvs.nl.
Van het verlenen van deze beschikking wordt tevens mededeling gedaan in de Staatscourant.
## 1.5 Het in werking treden van de vergunning
Deze beschikking treedt in werking overeenkomstig het bepaalde in artikel 20.3 van de Wet milieubeheer, met ingang van de dag na de dag waarop de termijn voor het indienen van een bezwaarschrift afloopt. Indien gedurende deze termijn bij de voorzieningenrechter van de Afdeling bestuursrechtspraak van de Raad van State een verzoek om voorlopige voorziening is gedaan, treedt dit besluit niet in werking voordat op dat verzoek is beslist.
## 2 De aanvraag, het toetsingskader en de beoordeling
## 2.1 De aanvraag
De aanvraag zonder kenmerk heb ik op 2 april 2020 ontvangen en heeft betrekking op een aanvraag voor het verrichten van handelingen ten behoeve van veterinaire diagnostiek met ioniserende straling uitzendende röntgentoestellen.
In het bijzonder betreft het de volgende toepassingen:
- -Veterinaire diagnostiek gebruik makend van een toestel met een neerwaarts gerichte bundel en een vaste focus-film afstand.
- -Tandheelkundige diagnostiek voor zover het tandheelkundige toepassingen betreft waarbij blootstelling van dieren plaatsvindt.
Bij de aanvraag zijn de volgende documenten toegevoegd:
- -Vergunningaanvraag KEW Dierenkliniek Hoofdstraat rev 000.
- -RIenE Dierenkliniek Hoofdstraat rev 000.
- -Beschikking registratie coördinerend stralingsdeskundige.
- -Ruimtemeting terreingrensberekening Dierenkliniek Hoofdstraat rev 000.
- -Machtiging rechtshandelingen Kernenergiewet Evidensia Nederland B.V.
- -Mandaat SBD.
- -Mandaat TMS
- -Diploma diergeneeskunde TMS.
- -Nascholing TMS.
- -Uittreksel handelsregister Evidensia Nederland B.V.
- -Verklaring stralingsveiligheid TMS
De aanvraag heb ik getoetst aan artikel 3.6, derde lid van het Bbs en paragraaf 3.2 van de Vbs en in behandeling genomen.
## 2.2 De gevolgde procedure
Dit besluit is ingevolge artikel 3.4, vierde lid, van het Bbs, in samenhang met artikel 11.4 van het Bbs, voorbereid overeenkomstig titel 4.1 van de Algemene wet bestuursrecht.
## 2.3 Het toetsingskader
Aan het wettelijk kader van de stralingsbescherming, zoals vastgelegd in de Kernenergiewet en de onderliggende besluiten, liggen onder meer de drie principes van het stralingsbeschermingsbeleid ten grondslag, te weten: rechtvaardiging, ALARA en dosislimieten. Indien aan deze uitgangspunten niet wordt voldaan of indien sprake is van een weigeringsgrond zoals genoemd in artikel 3.7 van het Bbs, wordt de vergunning niet verleend.
Rechtvaardiging houdt in dat een handeling die blootstelling aan ioniserende straling met zich meebrengt, slechts is toegestaan indien de economische, sociale en andere voordelen van de betrokken handeling opwegen tegen de gezondheidsschade die hierdoor kan worden toegebracht. Dit principe is vastgelegd in paragraaf 2.2 van het Bbs.
Toepassing van ALARA (as low as reasonably achievable) is de optimalisatie, gericht op beperking van de blootstelling aan ioniserende straling. In de wetgeving is het ALARA beginsel vastgelegd in artikel 31 van de Kernenergiewet en paragraaf 2.3 van het Bbs.
Dosislimieten vervullen een vangnetfunctie, indien het toepassen van rechtvaardiging en ALARA niet voldoende is om een bepaald beschermingsniveau te bereiken. De limietwaarden zijn vastgelegd in artikelen 9.1, 9.2, 7.3, 7.4, 7.34 en 7.35 van het Bbs.
De in artikel 3.7 van het Bbs genoemde voorwaarde betreffende deskundigheid op het gebied van stralingsbescherming maakt, voor onderhavige vergunning, ook deel uit van het toetsingskader.
## 2.4 Bevindingen en overwegingen
Met inachtneming van paragraaf 2.3 heb ik de aanvraag getoetst aan artikel 3.7 van het Bbs. Geen van de daarin genoemde bepalingen staat vergunningverlening in de weg.
De in de aanvraag bedoelde handelingen zijn opgenomen in bijlage 2.1, onderdeel A, van de Regeling basisveiligheidsnormen stralingsbescherming (Rbs). Het gaat om categorie II.B.1., Diagnostiek bij dieren. Derhalve is sprake van gerechtvaardigde handelingen.
Ook in de situatie die is beschreven in de aanvraag zijn deze handelingen gerechtvaardigd. Het betreft handelingen die nodig zijn in het kader van diagnostiek bij gezelschapsdieren.
Artikel 3.4, vierde lid, van het Bbs bepaalt dat indien binnen een locatie, onder verantwoordelijkheid van een ondernemer, meerdere handelingen plaatsvinden die tot verschillende in artikel 3.8 of 3.10 van het Bbs genoemde categorieën van handelingen behoren, een vergunning voor het geheel van die handelingen is vereist, waarbij de zwaarste bron bepalend is voor de op de aanvraag van toepassing zijnde procedure. Dit betekent dat het totaal van de handelingen en genomen stralingshygiënische maatregelen in samenhang moet worden beoordeeld. Bij deze integrale beoordeling is gekeken naar de risico's voor mens en milieu ten gevolge van alle handelingen op deze locatie tezamen.
De in deze vergunning opgenomen registratieplichtige handelingen kennen enige onderlinge samenhang. In deze vergunning is een beperkt aantal algemene voorschriften opgenomen.
ANVS-PP-2020/0054769-05
Daarbij is rekening gehouden met de graduele aanpak in het controlestelsel van het Bbs. Aan de specifieke handelingen worden geen voorschriften opgelegd.
Uit de aanvraag is gebleken dat de aanvrager in voldoende mate stralingshygiënische maatregelen treft. De risico-inventarisatie en -evaluatie (RI&amp;amp;E) die bij de aanvraag is aangeleverd laat zien dat de blootstelling van de werknemers geoptimaliseerd is. Uit de aanvraag, met name uit de milieu-analyse, blijkt dat de blootstelling van personen buiten de locatie kleiner is dan het secundair niveau (SN). De stralingshygiënische maatregelen en de aan de vergunning verbonden voorschriften bieden voldoende waarborgen, dat mensen, dieren, planten en goederen ten gevolge van de toepassing van ioniserende straling, zo weinig schade of hinder daarvan zullen ondervinden als redelijkerwijs mogelijk is. Uit bovengenoemde RI&amp;amp;E en de milieu-analyse blijkt ook dat de dosislimieten voor leden van de bevolking en werknemers niet overschreden zullen worden.
Volgens de aanvraag zijn de toestellen, vergund onder punt A.1, weliswaar geschikt voor gebruik bij een maximale buisspanning van 100 kV, maar wordt gebruikt bij een buisspanning van niet meer dan 80 kV. De stralingshygiënische maatregelen, met name de stralingsafscherming van de ruimten, zijn afgestemd op het daadwerkelijke gebruik van het toestel. Indien de vergunninghouder het toestel wenst te gebruiken bij een buisspanning die hoger is dan aangegeven in de aanvraag, is het de verantwoordelijkheid van de vergunninghouder om er zorg voor te dragen dat de dosislimieten voor het personeel, als ook de dosislimieten voor leden van de bevolking, niet worden overschreden. In algemene zin is het zo dat de vergunninghouder de handelingen dient uit te voeren overeenkomstig de aanvraag.
Tenslotte blijkt uit de aanvraag ook dat de aanvrager beschikt over voldoende deskundigheid, namelijk minstens een geregistreerde stralingsbeschermingsdeskundige en een toezichthoudend medewerker stralingsbescherming.
## 2.5 Conclusie
Op grond van het bovenstaande heb ik besloten om tot verlening van de vergunning over te gaan.
## 3 Ondertekening
DE AUTORITEIT NUCLEAIRE VEILIGHEID EN STRALINGSBESCHERMING, namens deze,
Dipl.-Ing. B.R. Keller, afdelingshoofd
Belanghebbenden kunnen binnen 6 weken na de dag van verzending van dit besluit een bezwaarschrift indienen bij de Autoriteit Nucleaire Veiligheid en Stralingsbescherming, o.v.v. bezwaar, Postbus 16001, 2500 BA, Den Haag. Dit besluit is verzonden op de in de aanhef van dit besluit genoemde datum.
Het bezwaarschrift moet van een handtekening, datum, naam en adres van de indiener zijn voorzien. De indiener dient duidelijk aan te geven waarom hij tegen dit besluit bezwaar aantekent.
Dit besluit treedt in werking met ingang van de dag na de dag waarop de termijn afloopt voor het indienen van een bezwaarschrift. Indien gedurende die termijn bij de voorzieningenrechter van de Afdeling bestuursrechtspraak van de Raad van State een verzoek om voorlopige voorziening is gedaan, treedt dit besluit niet in werking voordat op dat verzoek is beslist.
## Voorlopige voorziening
Indien een bezwaarschrift is ingediend, kunnen belanghebbenden aan de voorzieningenrechter van de Afdeling bestuursrechtspraak van de Raad van State, Postbus 20019, 2500EA te 's-Gravenhage verzoeken om een voorlopige voorziening te treffen, indien - gelet op de betrokken belangen - onverwijlde spoed dit vereist. Bij het verzoek dient een afschrift van het bezwaarschrift te worden overgelegd. Als burger kunt u uw verzoek tot voorlopige voorziening ook via het digitale loket van de Raad van State indienen (https://digitaalloket.raadvanstate.nl/). Hiervoor dient u te beschikken over DigiD. Voor de behandeling van een verzoek om voorlopige voorziening is griffierecht verschuldigd. Inlichtingen over de procedure en de hoogte van het griffierecht kunnen worden verkregen bij de Raad van State, telefoon 070 426 4426.
Voor nadere informatie over dit besluit kunt u tijdens kantooruren terecht bij het Informatiepunt Kernenergiewetvergunningen, telefoon 088-4890500. Ook is het mogelijk om uw vraag te stellen via https://www.autoriteitnvs.nl/contact onder vermelding van het kenmerk van dit besluit.
ANVS-PP-2020/0054769-05
## Bijlage A Verklarende begrippenlijst
In deze vergunning gelden de onderstaande definities. Voor de overige termen en definities wordt naar de Kew, het Bbs en de onderliggende ministeriële regelingen en de Vbs verwezen.
- -terreingrens:
de begrenzing van de locatie, zoals aangeduid op de plattegronden in 'Ruimtemeting terreingrensberekening Dierenkliniek Hoofdstraat rev 000 ' , onderdeel van de op 2 april 2020 ontvangen aanvraag.
Ons kenmerk
ANVS-PP-2020/0054769-05</t>
  </si>
  <si>
    <t>[...] tp://www.provincie.drenthe.nl/) Aan: het bestuur van de Stichting Wiede Wold Lindberghstraat 4 7903 BN HOOGEVEEN ## PePe Assen, 18 juni 2024 Ons kenmerk 25/4.2/2024000871 Behandeld door Onderwerp: Verlening subsidie project De Afvalkathedraal, onderdeel BOUWWERK ## Geacht bestuur, Op 31 mei 2024 ontvingen wij uw subsidieaanvraag. U vraagt een incidentele subsidie aan van€ 125.000,--. In deze brief leest u ons besluit. ## U ontvangt een subsidie van 48,39% van de subsidiabele kosten tot een maximum van€ 125.000,-- Dit is de subsidie die wij u verlenen. U ontvangt de subsidie voor de uitvoering van het project De Afvalkathedraal, onderdeel BOUWWERK. Met het deelproject BOUWWERK realiseert u De Afvalkathedraal, het fysieke onderkomen en 'kloppend har [...]</t>
  </si>
  <si>
    <t>DRE_26-4-6-2024000905_vos_mammoetgras_geredigeerd_geredigeerd.txt::Besluitvormend Orgaan</t>
  </si>
  <si>
    <t>Gedeputeerde Staten van Drenthe</t>
  </si>
  <si>
    <t>gedeputeerde staten van drenthe</t>
  </si>
  <si>
    <t>Gedeputeerde Staten van Drenthe [10390:10422]</t>
  </si>
  <si>
    <t>[...] u vragen? Als u vragen hebt, neem dan contact op met , telefoonnummer (0592) . &lt;!-- image --&gt; Wijwensen u veel succes toe met de uitvoering van uw bedrijfstransitie en de activiteiten. ## Hoogachtend Gedeputeerde Staten van Drenthe, &lt;!-- image --&gt; ## Bezwaar Bent u het niet eens met dit besluit, dan kunt u binnen zes weken na de dag van verzending ervan, hiertegen een bezwaarschrift indienen bij het college van Gedeputeerde Staten [...]</t>
  </si>
  <si>
    <t>DRE_26-4-6-2024000905_vos_mammoetgras_geredigeerd_geredigeerd.txt::Rechtshandeling</t>
  </si>
  <si>
    <t>verlenen [592:600]</t>
  </si>
  <si>
    <t>&lt;!-- image --&gt;
Datum
9 september 2022 Wijziging Kernenergiewet vergunning
Betreft
Besluit:
KERNENERGIEWETVERGUNNING VERLEEND AAN UT QUALITY B.V. VOOR HET VERRICHTEN VAN HANDELINGEN MET RADIOACTIEVE STOFFEN EN TOESTELLEN
Verleend door:
DE AUTORITEIT NUCLEAIRE VEILIGHEID EN STRALINGSBESCHERMING
## Autoriteit Nucleaire Veiligheid en Stralingsbescherming
Autoriteit Nucleaire Veiligheid en Stralingsbescherming
Koningskade 4 Den Haag Postbus 16001 2500 BA  Den Haag
www.anvs.nl
Ons kenmerk ANVS-PP-2022/0088409-05
●
## Inhoudsopgave
|   1 | Het besluit                                       |   3 |
|-----|---------------------------------------------------|-----|
| 1.1 | Vergunning                                        |   3 |
| 1.2 | Voorschriften                                     |   3 |
| 1.3 | Documenten                                        |   3 |
| 1.4 | Openbaarmaking en publicatie                      |   3 |
| 1.5 | Het in werking treden van de vergunning           |   3 |
|   2 | De aanvraag, het toetsingskader en de beoordeling |   4 |
| 2.1 | De aanvraag                                       |   4 |
| 2.2 | De gevolgde procedure                             |   4 |
| 2.3 | Het toetsingskader                                |   5 |
| 2.4 | Bevindingen en overwegingen                       |   6 |
| 2.5 | Conclusie                                         |   7 |
|   3 | Ondertekening                                     |   8 |
## 1 Het besluit
## 1.1 Vergunning
De op 26 juli 2013, aan UT Quality B.V. gevestigd te Dordrecht, verleende vergunning met nummer 2013/0170-15, laatstelijk gewijzigd op 23 juli 2021 met nummer ANVS-PP-2021/0084484-03, wordt op grond van artikel 34 van de Kernenergiewet en de artikelen 3.4, vierde lid, 3.5 en 3.8, eerste lid van het Besluit basisveiligheidsnormen stralingsbescherming (Bbs), gewijzigd conform de aanvraag.
Aan het vergunde in hoofdstuk 1, onder C. TOESTELLEN OP VASTE LOCATIES, wordt na onderdeel 3 het volgende nieuwe onderdeel toegevoegd:
4. één toestel met een hoogspanning van maximaal 200 kilovolt (kV).
## 1.2 Voorschriften
Het Bbs en onderliggende ministeriële regelingen en de ANVS-verordening basisveiligheidsnormen stralingsbescherming (Vbs) bevatten rechtstreeks geldende bepalingen. De in deze vergunning opgenomen voorschriften betreffen aspecten die niet (volledig) zijn geregeld in de genoemde regelgeving. Naast de in deze vergunning opgenomen voorschriften dient de vergunninghouder te voldoen aan de van toepassing zijnde bepalingen uit het Bbs en onderliggende ministeriële regelingen en de Vbs.
De wijziging van de vergunning geeft geen aanleiding tot aanvullende voorschriften.
## 1.3 Documenten
Aan de documenten die deel uitmaken van de vergunning worden geen nieuwe documenten toegevoegd.
## 1.4 Openbaarmaking en publicatie
De Autoriteit Nucleaire Veiligheid en Stralingsbescherming maakt dit besluit openbaar op https://puc.overheid.nl/anvs/. Van het verlenen van dit besluit wordt ook kennisgegeven in de Staatscourant.
## 1.5 Het in werking treden van de vergunning
Deze beschikking treedt in werking overeenkomstig het bepaalde in artikel 20.3 van de Wet milieubeheer, met ingang van de dag na de dag waarop de termijn voor het indienen van een bezwaarschrift afloopt. Indien gedurende deze termijn bij de voorzieningenrechter van de Afdeling bestuursrechtspraak van de Raad van State een verzoek om voorlopige voorziening is gedaan, treedt dit besluit niet in werking voordat op dat verzoek is beslist.
## 2 De aanvraag, het toetsingskader en de beoordeling
## 2.1 De aanvraag
De aanvraag heb ik op 21 februari 2022 ontvangen en heeft betrekking op een wijziging van de op 26 juli 2013, aan UT Quality B.V. gevestigd te Dordrecht, verleende vergunning met nummer 2013/0170-15, laatstelijk gewijzigd op 23 juli 2021, met nummer ANVS-PP-2021/0084484-03.
Het betreft de volgende gevraagde wijzigingen:
- -toevoegen van een toestel met een maximale hoogspanning van 200 kV.
Bij de aanvraag zijn de volgende documenten gevoegd:
- -verzoek om wijziging vergunning 2016 0466-17.
Op 31 mei 2022 is verzocht om aanvullende informatie. Op 15 augustus 2022 heb ik de volgende aanvullende gegevens ontvangen:
- -bijlage Terreingrens
- -diploma CI5A TMS;
- -diploma CI5A TMS;
- -diploma niveau 3 SBD;
- -diploma niveau 3 TMS;
- -handboek RT rev.2;
- -machtiging rechtshandelingen kernenergie;
- -machtiging vergunningen;
- -mandaat UTQ;
- -risicoanalyse V2.0
- -reactie verzoek aanvullende informatie.
De aanvraag en de aanvullende informatie heb ik getoetst aan artikel 3.6, derde lid van het Bbs en paragraaf 3.2 van de Vbs en in behandeling genomen.
De risico-inventarisatie en -evaluatie (RI&amp;amp;E), zoals bedoeld in artikel 7.6 van het Bbs bevat samen met de aanvraag (en aanvullende informatie) de elementen genoemd in bijlage A van de Regeling stralingsbescherming beroepsmatige blootstelling 2018, behorende bij artikel 2.1, eerste en tweede lid.
## 2.2 De gevolgde procedure
Dit besluit is ingevolge artikel 34 van de Kew en artikel 11.1 van het Bbs niet tot stand gekomen overeenkomstig de openbare voorbereidingsprocedure van afdeling 3.4 van de Algemene wet bestuursrecht. De handelingen met toestellen zijn op grond van artikel 11.1 van het Bbs vrijgesteld van de bepalingen van de afdeling 3.4 van de Algemene wet bestuursrecht.
## 2.3 Het toetsingskader
## Algemeen
Aan het wettelijk kader van de stralingsbescherming, zoals vastgelegd in de Kew en de onderliggende besluiten, liggen onder meer de drie principes van het stralingsbeschermingsbeleid ten grondslag, te weten: rechtvaardiging, optimalisatie en dosislimieten. Indien aan deze uitgangspunten niet wordt voldaan of indien sprake is van een weigeringsgrond zoals genoemd in artikel 3.7 van het Bbs wordt de vergunning niet verleend.
## Rechtvaardiging
Rechtvaardiging wil zeggen dat een handeling die blootstelling aan ioniserende straling met zich mee brengt, slechts is toegestaan indien de economische, sociale en andere voordelen van de betrokken handeling opwegen tegen de gezondheidsschade die hierdoor kan worden toegebracht. Het rechtvaardigingprincipe is in de wetgeving vastgelegd in paragraaf 2.2 van het Bbs.
In dat artikel is bepaald dat een handeling slechts is toegestaan, indien deze door de ANVS is gerechtvaardigd, dan wel behoort tot een categorie van handelingen die door de Minister van Infrastructuur en Waterstaat, de Minister van Sociale Zaken en Werkgelegenheid en de Minister voor Medische Zorg is gerechtvaardigd. In de Rbs is in bijlage 2.1 een positieve en negatieve lijst opgenomen van respectievelijk gerechtvaardigde en niet-gerechtvaardigde categorieën handelingen. Naast deze categorale rechtvaardiging is in het kader van de vergunningverlening nog een specifieke rechtvaardiging aan de orde voor wat betreft de aangevraagde activiteit.
## Optimalisatie
Onder optimalisatie wordt verstaan dat de bescherming van personen, die beroepsmatig of als lid van de bevolking in een geplande situatie aan straling worden blootgesteld, wordt geoptimaliseerd. Optimalisatie leidt ertoe dat de omvang van de individuele doses, de kans op het optreden van blootstelling en het aantal blootgestelde personen ten gevolge van een handeling zo beperkt als redelijkerwijs mogelijk worden gehouden. Daarbij wordt rekening gehouden met de huidige stand der techniek en met economische en sociale factoren en het omvat zowel milieuhygiënische als arbeidshygiënische aspecten.
Optimalisatie is vastgelegd in artikel 15c, derde lid, van de Kew en artikel 2.6 van het Bbs. In de praktijk van de stralingsbescherming wordt vaak de term ALARA (As Low As Reasonably Achievable) gebruikt in de plaats van optimalisatie.
Optimalisatie vindt plaats zowel in de voorbereidings- en planningsfase, voordat de activiteit is begonnen, als in de fase nadat de activiteit is toegestaan en tot uitvoering wordt gebracht. Optimalisatie heeft geen betrekking op de afweging tussen verschillende alternatieve activiteiten, maar ziet op de vraag in hoeverre de nadelige gevolgen van een bepaalde activiteit in redelijkheid moeten worden beperkt.
## Dosislimieten
Dosislimieten zijn de absolute grenswaarden die in acht genomen moeten worden om een minimaal beschermingsniveau voor individuele werknemers en leden van de bevolking te garanderen. De blootstelling als gevolg van een combinatie van alle relevante handelingen mag niet hoger zijn dan de gestelde dosislimieten. Doel is dat geen enkel individu wordt blootgesteld aan onaanvaardbare stralingsrisico's. Dit algemene beginsel van stralingsbescherming wordt gezien als vangnet na de toepassing van rechtvaardiging en optimalisatie.
Het principe van dosislimitering is vastgelegd in artikel 2.9 van het Bbs. De van toepassing zijnde dosislimieten zijn in de artikelen 7.3, 7.4, 7.34, 7.35, 7.36, 9.1 en 9.2 van het Bbs neergelegd.
## Deskundigheid
In verband met de bescherming van mensen, dieren, planten en goederen op grond van artikel 31, van de Kew, is een verantwoorde uitvoering van handelingen met stralingsbronnen van belang. Deskundigheid is vereist op grond van de artikelen 5.4 en 5.7 van het Bbs.
## 2.4 Bevindingen en overwegingen
Met inachtneming van paragraaf 2.3 heb ik de aanvraag getoetst aan artikel 3.7 van het Bbs. Geen van de daarin genoemde bepalingen staat vergunningverlening in de weg.
De rechtvaardiging van de handelingen is in het kader van de eerdere vergunningprocedures al beoordeeld en positief bevonden. Er is geen reden in het kader van onderhavige vergunningprocedure anders te oordelen over de rechtvaardiging. In de situatie die is beschreven in de aanvraag zijn de handelingen gerechtvaardigd.
Uit de aanvraag is gebleken dat de aanvrager in voldoende mate stralingshygiënische maatregelen treft. De risico-inventarisatie en -evaluatie (RI&amp;amp;E) die bij de aanvraag is aangeleverd laat zien dat de blootstelling van de werknemers geoptimaliseerd is. De RI&amp;amp;E is integraal met de vergunningaanvraag beoordeeld op basis van de bij de aanvraag aangeleverde informatie. De volledigheid van de RI&amp;amp;E, als zelfstandig document, ten aanzien van de punten benoemd in bijlage A van de Regeling stralingsbescherming beroepsmatige blootstelling 2018, is gelet op het toetsingskader voor vergunningverlening niet door de ANVS beoordeeld.
Uit de aanvraag, met name uit de milieu-analyse, blijkt dat de blootstelling van personen buiten de locaties kleiner is dan het secundair niveau (SN). De stralingshygiënische maatregelen en de aan de vergunning verbonden voorschriften bieden voldoende waarborgen, dat mensen, dieren, planten en goederen ten gevolge van de toepassing van radioactieve stoffen en/of ioniserende straling, zo weinig schade of hinder daarvan zullen ondervinden als redelijkerwijs mogelijk is. Uit bovengenoemde RI&amp;amp;E en de milieu-analyse blijkt ook dat de dosislimieten voor leden van de bevolking en werknemers niet overschreden zullen worden.
Ons kenmerk ANVS-PP-2022/0088409-05
## 2.5 Conclusie
Op grond van het bovenstaande heb ik besloten om tot wijziging van de vergunning over te gaan.
Autoriteit Nucleaire Veiligheid en Stralingsbescherming
Ons kenmerk ANVS-PP-2022/0088409-05
## 3 Ondertekening
DE AUTORITEIT NUCLEAIRE VEILIGHEID EN STRALINGSBESCHERMING, namens deze,
Dipl.-Ing. B.R. Keller, afdelingshoofd
Belanghebbenden kunnen binnen 6 weken na de dag van verzending van dit besluit een bezwaarschrift indienen bij de Autoriteit Nucleaire Veiligheid en Stralingsbescherming, o.v.v. bezwaar, Postbus 16001, 2500 BA, Den Haag. Dit besluit is verzonden op de in de aanhef van dit besluit genoemde datum.
Het bezwaarschrift moet van een handtekening, datum, naam en adres van de indiener zijn voorzien. De indiener dient duidelijk aan te geven waarom hij tegen dit besluit bezwaar aantekent.
Dit besluit treedt in werking met ingang van de dag na de dag waarop de termijn afloopt voor het indienen van een bezwaarschrift. Indien gedurende die termijn bij de voorzieningenrechter van de Afdeling bestuursrechtspraak van de Raad van State een verzoek om voorlopige voorziening is gedaan, treedt dit besluit niet in werking voordat op dat verzoek is beslist.
## Voorlopige voorziening
Indien een bezwaarschrift is ingediend, kunnen belanghebbenden aan de voorzieningenrechter van de Afdeling bestuursrechtspraak van de Raad van State, Postbus 20019, 2500EA te 's-Gravenhage verzoeken om een voorlopige voorziening te treffen, indien - gelet op de betrokken belangen - onverwijlde spoed dit vereist. Bij het verzoek dient een afschrift van het bezwaarschrift te worden overgelegd. Als burger kunt u uw verzoek tot voorlopige voorziening ook via het digitale loket van de Raad van State indienen (https://digitaalloket.raadvanstate.nl/). Hiervoor dient u te beschikken over DigiD. Voor de behandeling van een verzoek om voorlopige voorziening is griffierecht verschuldigd. Inlichtingen over de procedure en de hoogte van het griffierecht kunnen worden verkregen bij de Raad van State, telefoon 070 426 4426.
Voor nadere informatie over dit besluit kunt u tijdens kantooruren terecht bij het Informatiepunt Kernenergiewetvergunningen, telefoon 088-4890500. Ook is het mogelijk om uw vraag te stellen via https://www.autoriteitnvs.nl/contact onder vermelding van het kenmerk van dit besluit.
Ons kenmerk ANVS-PP-2022/0088409-05</t>
  </si>
  <si>
    <t>[...] en subsidie aan van € 100.000,-- voor de transitie in uw bedrijfsvoering naar de teelt van mammoetgras. ln deze brief leest u ons besluit. ## U ontvangt een subsidie van € 100.000,- Dit is de subsidie die wij u verlenen. U ontvangt de subsidie voor de activiteiten die voortvloeien uit de transitie van de bedrijfsvoering van melkveebedrijf naar een akkerbouwbedrijf gericht op de teelt van mammoetgras. ## U ontvangt een voors [...]</t>
  </si>
  <si>
    <t>DRE_26-4-6-2024000905_vos_mammoetgras_geredigeerd_geredigeerd.txt::Rechtsobject</t>
  </si>
  <si>
    <t>subsidie [572:582]</t>
  </si>
  <si>
    <t>subsidie [572:580]</t>
  </si>
  <si>
    <t>[...] anvraag. U vraagt een subsidie aan van € 100.000,-- voor de transitie in uw bedrijfsvoering naar de teelt van mammoetgras. ln deze brief leest u ons besluit. ## U ontvangt een subsidie van € 100.000,- Dit is de subsidie die wij u verlenen. U ontvangt de subsidie voor de activiteiten die voortvloeien uit de transitie van de bedrijfsvoering van melkveebedrijf naar een akkerbouwbedrijf gericht op de teelt van mammoetgras. ## U o [...]</t>
  </si>
  <si>
    <t>DRE_beschikking_veenpark_1_geredigeerd.txt::Ontvanger</t>
  </si>
  <si>
    <t>DRE_beschikking_veenpark_1_geredigeerd.txt</t>
  </si>
  <si>
    <t>Stichting Veenomenaal Veenpark</t>
  </si>
  <si>
    <t>stichting veenomenaal veenpark</t>
  </si>
  <si>
    <t>Stichting Veenomenaal Veenpark [5:35]</t>
  </si>
  <si>
    <t>Aan: Stichting Veenomenaal Veenpark t.a.v. het bestuur Berkenrode 4 7884 TR BARGER-COMPASCUUM &lt;!-- image --&gt; Assen, 17 november 2023 Ons kenmerk 202301501-01098203 Behandeld door Verplichtingennummer 82942 Onderwerp: Verlening subsidie [...]</t>
  </si>
  <si>
    <t>DRE_beschikking_veenpark_1_geredigeerd.txt::Besluitvormend Orgaan</t>
  </si>
  <si>
    <t>Gedeputeerde Staten van Drenthe [9180:9211]</t>
  </si>
  <si>
    <t>&lt;!-- image --&gt;
Datum
27 januari 2023 Wijziging Kernenergiewet vergunning
Betreft
Besluit:
KERNENERGIEWETVERGUNNING VERLEEND AAN STICHTING NEDERLANDSE WETENSCHAPPELIJK ONDERZOEK INSTITUTEN VOOR HET VERRICHTEN VAN HANDELINGEN MET RADIOACTIEVE STOFFEN EN TOESTELLEN
Verleend door:
DE AUTORITEIT NUCLEAIRE VEILIGHEID EN STRALINGSBESCHERMING
## Autoriteit Nucleaire Veiligheid en Stralingsbescherming
Autoriteit Nucleaire Veiligheid en Stralingsbescherming
Koningskade 4 Den Haag Postbus 16001 2500 BA  Den Haag
www.anvs.nl
Ons kenmerk
ANVS-PP-2022/0094965-04
●
## Inhoudsopgave
|   1 | Het besluit                                       |   3 |
|-----|---------------------------------------------------|-----|
| 1.1 | Vergunning                                        |   3 |
| 1.2 | Voorschriften                                     |   4 |
| 1.3 | Documenten                                        |   4 |
| 1.4 | Openbaarmaking en publicatie                      |   4 |
| 1.5 | Het in werking treden van de vergunning           |   4 |
|   2 | De aanvraag, het toetsingskader en de beoordeling |   5 |
| 2.1 | De aanvraag                                       |   5 |
| 2.2 | De gevolgde procedure                             |   5 |
| 2.3 | Het toetsingskader                                |   5 |
| 2.4 | Bevindingen en overwegingen                       |   7 |
| 2.5 | Conclusie                                         |   7 |
|   3 | Ondertekening                                     |   8 |
## 1 Het besluit
## 1.1 Vergunning
De op 5 december 2018, aan Stichting Nederlandse Wetenschappelijk Onderzoek Instituten gevestigd te Utrecht, verleende vergunning met nummer ANVS-TSB-2018/0047704-07, wordt op grond van artikel 34 van de Kernenergiewet (Kew) en de artikelen 3.5 en 3.8, eerste en tweede lid, van het Besluit basisveiligheidsnormen stralingsbescherming (Bbs), gewijzigd conform de aanvraag.
Van het vergunde in hoofdstuk 1, onder B. TOESTELLEN, Instituut AMOLF, wordt de aanhef als volgt gewijzigd:
## Instituut AMOLF
Het verrichten van handelingen ten behoeve van wetenschappelijk onderzoek en onderzoek- en ontwikkelingswerk binnen het instituut voor Atoom- en Molecuulfysica (AMOLF), gelegen aan Science park 104 te Amsterdam, met ioniserende straling uitzendende toestellen binnen de volgende omvang:
Van het vergunde in hoofdstuk 1, onder B. TOESTELLEN, Instituut Nikhef, wordt de aanhef als volgt gewijzigd:
## Instituut Nikhef
Het verrichten van handelingen ten behoeve van wetenschappelijk onderzoek en onderzoek- en ontwikkelingswerk binnen het Nationaal Instituut voor subatomaire fysica (Nikhef), gelegen aan Science park 105 te Amsterdam, met ioniserende straling uitzendende toestellen binnen de volgende omvang:
Ons kenmerk ANVS-PP-2022/0094965-04
## 1.2 Voorschriften
Het Bbs en onderliggende ministeriële regelingen en de ANVS-verordening basisveiligheidsnormen stralingsbescherming (Vbs) bevatten rechtstreeks geldende bepalingen. De in deze vergunning opgenomen voorschriften betreffen aspecten die niet (volledig) zijn geregeld in de genoemde regelgeving. Naast de in deze vergunning opgenomen voorschriften dient de vergunninghouder te voldoen aan de van toepassing zijnde bepalingen uit het Bbs en onderliggende ministeriële regelingen en de Vbs.
De wijziging van de vergunning geeft geen aanleiding tot aanvullende voorschriften.
## 1.3 Documenten
Aan de documenten die deel uitmaken van de vergunning worden geen nieuwe documenten toegevoegd.
## 1.4 Openbaarmaking en publicatie
De Autoriteit Nucleaire Veiligheid en Stralingsbescherming maakt dit besluit openbaar op https://puc.overheid.nl/anvs/. Van het verlenen van dit besluit wordt ook kennisgegeven in de Staatscourant.
## 1.5 Het in werking treden van de vergunning
Deze beschikking treedt in werking overeenkomstig het bepaalde in artikel 20.3 van de Wet milieubeheer, met ingang van de dag na de dag waarop de termijn voor het indienen van een bezwaarschrift afloopt. Indien gedurende deze termijn bij de voorzieningenrechter van de Afdeling bestuursrechtspraak van de Raad van State een verzoek om voorlopige voorziening is gedaan, treedt dit besluit niet in werking voordat op dat verzoek is beslist.
Ons kenmerk ANVS-PP-2022/0094965-04
## 2 De aanvraag, het toetsingskader en de beoordeling
## 2.1 De aanvraag
De aanvraag met kenmerk 23609.81/21.254264 heb ik op 20 december 2022 ontvangen en heeft betrekking op een aanvraag voor het uitbreiden van de handelingen.
In het bijzonder betreft het de volgende toepassingen:
- -Het testen van toestellen na onderzoek- en ontwikkelingswerk.
Bij de aanvraag zijn de volgende documenten gevoegd:
- -22 251264 WIJZIGING VERGUNNING NWO SCIENCEPARK;
- -bijlage A\_22 251260 RIE NWO;
- -bijlage B\_Werkinstructie.
De aanvraag heb ik getoetst aan artikel 3.6, derde lid van het Bbs en paragraaf 3.2 van de Vbs en in behandeling genomen.
De risico-inventarisatie en -evaluatie (RI&amp;amp;E), zoals bedoeld in artikel 7.6 van het Bbs bevat samen met de aanvraag de elementen genoemd in bijlage A van de Regeling stralingsbescherming beroepsmatige blootstelling 2018, behorende bij artikel 2.1, eerste en tweede lid.
## 2.2 De gevolgde procedure
Dit besluit is ingevolge artikel 34 van de Kew en artikel 11.1 van het Bbs niet tot stand gekomen overeenkomstig de openbare voorbereidingsprocedure van afdeling 3.4 van de Algemene wet bestuursrecht. De handelingen met toestellen zijn op grond van artikel 11.1 van het Bbs vrijgesteld van de bepalingen van de afdeling 3.4 van de Algemene wet bestuursrecht.
## 2.3 Het toetsingskader
## Algemeen
Aan het wettelijk kader van de stralingsbescherming, zoals vastgelegd in de Kew en de onderliggende besluiten, liggen onder meer de drie principes van het stralingsbeschermingsbeleid ten grondslag, te weten: rechtvaardiging, optimalisatie en dosislimieten. Indien aan deze uitgangspunten niet wordt voldaan of indien sprake is van een weigeringsgrond zoals genoemd in artikel 3.7 van het Bbs wordt de vergunning niet verleend.
## Rechtvaardiging
Rechtvaardiging wil zeggen dat een handeling die blootstelling aan ioniserende straling met zich mee brengt, slechts is toegestaan indien de economische, sociale en andere voordelen van de betrokken handeling opwegen tegen de gezondheidsschade die hierdoor kan worden toegebracht. Het rechtvaardigingprincipe is in de wetgeving vastgelegd in paragraaf 2.2 van het Bbs.
Ons kenmerk ANVS-PP-2022/0094965-04
In dat artikel is bepaald dat een handeling slechts is toegestaan, indien deze door de ANVS is gerechtvaardigd, dan wel behoort tot een categorie van handelingen die door de Minister van Infrastructuur en Waterstaat, de Minister van Sociale Zaken en Werkgelegenheid en de Minister voor Medische Zorg is gerechtvaardigd. In de Regeling basisveiligheidsnormen stralingsbescherming (hierna: Rbs) is in bijlage 2.1 een positieve en negatieve lijst opgenomen van respectievelijk gerechtvaardigde en niet-gerechtvaardigde categorieën handelingen. Naast deze categorale rechtvaardiging is in het kader van de vergunningverlening nog een specifieke rechtvaardiging aan de orde voor wat betreft de aangevraagde activiteit.
## Optimalisatie
Onder optimalisatie wordt verstaan dat de bescherming van personen, die beroepsmatig of als lid van de bevolking in een geplande situatie aan straling worden blootgesteld, wordt geoptimaliseerd. Optimalisatie leidt ertoe dat de omvang van de individuele doses, de kans op het optreden van blootstelling en het aantal blootgestelde personen ten gevolge van een handeling zo beperkt als redelijkerwijs mogelijk worden gehouden. Daarbij wordt rekening gehouden met de huidige stand der techniek en met economische en sociale factoren en het omvat zowel milieuhygiënische als arbeidshygiënische aspecten.
Optimalisatie is vastgelegd in artikel 15c, derde lid, van de Kew en artikel 2.6 van het Bbs. In de praktijk van de stralingsbescherming wordt vaak de term ALARA (As Low As Reasonably Achievable) gebruikt in de plaats van optimalisatie.
Optimalisatie vindt plaats zowel in de voorbereidings- en planningsfase, voordat de activiteit is begonnen, als in de fase nadat de activiteit is toegestaan en tot uitvoering wordt gebracht. Optimalisatie heeft geen betrekking op de afweging tussen verschillende alternatieve activiteiten, maar ziet op de vraag in hoeverre de nadelige gevolgen van een bepaalde activiteit in redelijkheid moeten worden beperkt.
## Dosislimieten
Dosislimieten zijn de absolute grenswaarden die in acht genomen moeten worden om een minimaal beschermingsniveau voor individuele werknemers en leden van de bevolking te garanderen. De blootstelling als gevolg van een combinatie van alle relevante handelingen mag niet hoger zijn dan de gestelde dosislimieten. Doel is dat geen enkel individu wordt blootgesteld aan onaanvaardbare stralingsrisico's. Dit algemene beginsel van stralingsbescherming wordt gezien als vangnet na de toepassing van rechtvaardiging en optimalisatie. .
Het principe van dosislimitering is vastgelegd in artikel 2.9 van het Bbs. De van toepassing zijnde dosislimieten zijn in de artikelen 7.3, 7.4, 7.34, 7.35, 7.36, 9.1 en 9.2 van het Bbs neergelegd.
## Deskundigheid
In verband met de bescherming van mensen, dieren, planten en goederen op grond van artikel 31, van de Kew, is een verantwoorde uitvoering van handelingen met stralingsbronnen van belang. Deskundigheid is vereist op grond van de artikelen 5.4 en 5.7 van het Bbs.
## 2.4 Bevindingen en overwegingen
Met inachtneming van paragraaf 2.3 heb ik de aanvraag getoetst aan artikel 3.7 van het Bbs. Geen van de daarin genoemde bepalingen staat vergunningverlening in de weg.
De in de aanvraag bedoelde handelingen zijn opgenomen in bijlage 2.1, onderdeel A, van de Rbs. Het gaat om categorie I.D.7, (wetenschappelijk) onderzoek en experimenten. Derhalve is sprake van gerechtvaardigde handelingen. Deze generieke rechtvaardigingscategorie uit bijlage 2.1, onderdeel A van de Rbs is reeds vergund.
De wijziging betreft het uitvoeren van handelingen bij de onderzoeksinstituten AMOLF en Nikhef ten behoeve van onderzoeks- en ontwikkelingswerk aan toestellen (met name elektronenmicroscopen). Het specifieke onderzoek dat deze instituten verrichten vereist een toepassing van toestellen die vaak niet standaard wordt aangeleverd door de fabrikant. Onderzoek- en ontwikkelingswerk aan de toestellen kan resulteren in het aanbrengen van modificaties, waardoor het toestel geschikt kan worden voor wetenschappelijk onderzoek en experimenten bij AMOLF en Nikhef. De beschreven handelingen zijn inherent verbonden met de uit te voeren onderzoeken en experimenten.
Uit de aanvraag is gebleken dat de aanvrager in voldoende mate stralingshygiënische maatregelen treft. De risico-inventarisatie en -evaluatie (RI&amp;amp;E) die bij de aanvraag is aangeleverd laat zien dat de blootstelling van de werknemers geoptimaliseerd is. De RI&amp;amp;E is integraal met de vergunningaanvraag beoordeeld op basis van de bij de aanvraag aangeleverde informatie. De volledigheid van de RI&amp;amp;E, als zelfstandig document, ten aanzien van de punten benoemd in bijlage A van de Regeling stralingsbescherming beroepsmatige blootstelling 2018, is gelet op het toetsingskader voor vergunningverlening niet door de ANVS beoordeeld.
Uit de aanvraag, met name uit de milieu-analyse, blijkt dat de blootstelling van personen buiten de locaties kleiner is dan het secundair niveau (SN). De stralingshygiënische maatregelen en de aan de vergunning verbonden voorschriften bieden voldoende waarborgen, dat mensen, dieren, planten en goederen ten gevolge van de toepassing van radioactieve stoffen en/of ioniserende straling, zo weinig schade of hinder daarvan zullen ondervinden als redelijkerwijs mogelijk is. Uit bovengenoemde RI&amp;amp;E en de milieu-analyse blijkt ook dat de dosislimieten voor leden van de bevolking en werknemers niet overschreden zullen worden.
## 2.5 Conclusie
Op grond van het bovenstaande heb ik besloten om tot wijziging van de vergunning over te gaan.
## 3 Ondertekening
DE AUTORITEIT NUCLEAIRE VEILIGHEID EN STRALINGSBESCHERMING, namens deze,
Dipl.-Ing. B.R. Keller, afdelingshoofd
Belanghebbenden kunnen binnen 6 weken na de dag van verzending van dit besluit een bezwaarschrift indienen bij de Autoriteit Nucleaire Veiligheid en Stralingsbescherming, o.v.v. bezwaar, Postbus 16001, 2500 BA, Den Haag. Dit besluit is verzonden op de in de aanhef van dit besluit genoemde datum.
Het bezwaarschrift moet van een handtekening, datum, naam en adres van de indiener zijn voorzien. De indiener dient duidelijk aan te geven waarom hij tegen dit besluit bezwaar aantekent.
Dit besluit treedt in werking met ingang van de dag na de dag waarop de termijn afloopt voor het indienen van een bezwaarschrift. Indien gedurende die termijn bij de voorzieningenrechter van de Afdeling bestuursrechtspraak van de Raad van State een verzoek om voorlopige voorziening is gedaan, treedt dit besluit niet in werking voordat op dat verzoek is beslist.
## Voorlopige voorziening
Indien een bezwaarschrift is ingediend, kunnen belanghebbenden aan de voorzieningenrechter van de Afdeling bestuursrechtspraak van de Raad van State, Postbus 20019, 2500EA te 's-Gravenhage verzoeken om een voorlopige voorziening te treffen, indien - gelet op de betrokken belangen - onverwijlde spoed dit vereist. Bij het verzoek dient een afschrift van het bezwaarschrift te worden overgelegd. Als burger kunt u uw verzoek tot voorlopige voorziening ook via het digitale loket van de Raad van State indienen (https://loket.raadvanstate.nl/digitaal-loket/). Hiervoor dient u te beschikken over DigiD. Voor de behandeling van een verzoek om voorlopige voorziening is griffierecht verschuldigd. Inlichtingen over de procedure en de hoogte van het griffierecht kunnen worden verkregen bij de Raad van State, telefoon 070 426 4426.
Voor nadere informatie over dit besluit kunt u tijdens kantooruren terecht bij het Informatiepunt Kernenergiewetvergunningen, telefoon 088-4890500. Ook is het mogelijk om uw vraag te stellen via https://www.autoriteitnvs.nl/contact onder vermelding van het kenmerk van dit besluit.
Ons kenmerk ANVS-PP-2022/0094965-04</t>
  </si>
  <si>
    <t>[...] definitief besluit te nemen over de Cultuurnota 2025-2028 en het reserveren van subsidiegelden voor instellingen. ## Heeft u vragen? &lt;!-- image --&gt; Als u vragen heeft neem dan contact op met Hoogachtend, Gedeputeerde Staten van Drenthe, namens dezen, Themamanager a.i. Inkoop &amp;amp; Subsidies ## Bezwaar Bent u het niet eens met dit besluit, dan kunt u binnen zes weken na de dag van verzending ervan hiertegen een bezwaarschrift indienen bij het [...]</t>
  </si>
  <si>
    <t>DRE_beschikking_veenpark_1_geredigeerd.txt::Rechtshandeling</t>
  </si>
  <si>
    <t>verlenen [700:708]</t>
  </si>
  <si>
    <t>[...] t uw subsidietoekenning omdat wij het deel van uw subsidie dat uit rijksgelden bestaat, afzonderlijk moeten verantwoorden aan het ministerie. ## U ontvangt een subsidie van € 79.255,00 Dit is de subsidie die wij u verlenen. U ontvangt de subsidie voor de uitvoering van uw activiteitenplan 2024. ## U ontvangt een voorschot van € 79.255,00 Het subsidiebedrag maken wij in januari 2024 over naar uw . Wij melden er het kenmerk van deze b [...]</t>
  </si>
  <si>
    <t>DRE_beschikking_veenpark_1_geredigeerd.txt::Rechtsobject</t>
  </si>
  <si>
    <t>subsidie [681:690]</t>
  </si>
  <si>
    <t>subsidie [681:689]</t>
  </si>
  <si>
    <t>[...] ons twee brieven met uw subsidietoekenning omdat wij het deel van uw subsidie dat uit rijksgelden bestaat, afzonderlijk moeten verantwoorden aan het ministerie. ## U ontvangt een subsidie van € 79.255,00 Dit is de subsidie die wij u verlenen. U ontvangt de subsidie voor de uitvoering van uw activiteitenplan 2024. ## U ontvangt een voorschot van € 79.255,00 Het subsidiebedrag maken wij in januari 2024 over naar uw . Wij melden er het [...]</t>
  </si>
  <si>
    <t>DRE_beschikking_veenpark_2_geredigeerd.txt::Ontvanger</t>
  </si>
  <si>
    <t>DRE_beschikking_veenpark_2_geredigeerd.txt</t>
  </si>
  <si>
    <t>Aan: Stichting Veenomenaal Veenpark t.a.v. het bestuur Berkenrode 4 7884 TR BARGER-COMPASCUUM &lt;!-- image --&gt; Assen, 17 november 2023 Ons kenmerk 202301501-01098205 Behandeld door Verplichtingennummer 82948 Onderwerp: Verlening subsidie [...]</t>
  </si>
  <si>
    <t>DRE_beschikking_veenpark_2_geredigeerd.txt::Besluitvormend Orgaan</t>
  </si>
  <si>
    <t>Gedeputeerde Staten van Drenthe [8430:8461]</t>
  </si>
  <si>
    <t>[...] 024 op de agenda te zetten en hieraan zoveel mogelijk invulling te geven bij al uw activiteiten. &lt;!-- image --&gt; &lt;!-- image --&gt; ## Heeft u vragen? Als u vragen heeft neem dan contact op met Hoogachtend, Gedeputeerde Staten van Drenthe, namens dezen, Themamanager a.i. Inkoop &amp;amp; Subsidies ## Bezwaar Bent u het niet eens met dit besluit, dan kunt u binnen zes weken na de dag van verzending ervan hiertegen een bezwaarschrift indienen bij het [...]</t>
  </si>
  <si>
    <t>## Autoriteit Nucleaire Veiligheid en Stralingsbescherming
Autoriteit Nucleaire Veiligheid en Stralingsbescherming
Koningskade 4 Den Haag Postbus 16001 2500 BA  Den Haag
[www.anvs.nl](http://www.anvs.nl/)
Ons kenmerk
ANVS-PP-20180047694-10
Datum
30 januari 2019
Betreft
Wijziging Kernenergiewet vergunning
Besluit:
KERNENERGIEWETVERGUNNING VERLEEND AAN STICHTING HET NEDERLANDS KANKER INSTITUUT-ANTONI VAN LEEUWENHOEK ZIEKENHUIS VOOR HET VERRICHTEN VAN HANDELINGEN MET RADIOACTIEVE STOFFEN, SPLIJTSTOFFEN EN IONISERENDE STRALING UITZENDENDE TOESTELLEN
Verleend door:
DE AUTORITEIT NUCLEAIRE VEILIGHEID EN STRALINGSBESCHERMING
●
## Inhoudsopgave
|   1 | Het besluit                                       |   3 |
|-----|---------------------------------------------------|-----|
| 1.1 | Vergunning                                        |   3 |
| 1.2 | Voorschriften                                     |   4 |
| 1.3 | Documenten                                        |   5 |
| 1.4 | Openbaarmaking en publicatie                      |   6 |
| 1.5 | Het in werking treden van de vergunning           |   6 |
|   2 | De aanvraag, het toetsingskader en de beoordeling |   7 |
| 2.1 | De aanvraag                                       |   7 |
| 2.2 | De gevolgde procedure                             |   8 |
| 2.3 | Het toetsingskader                                |   8 |
| 2.4 | Bevindingen en overwegingen                       |   8 |
| 2.5 | Conclusie                                         |  10 |
|   3 | Ondertekening                                     |  11 |
## Ons kenmerk
ANVS-PP-2018/0047694-10
## 1 Het besluit
## 1.1 Vergunning
De op 20 oktober 2011, aan Stichting Het Nederlands Kanker InstituutAntoni van Leeuwenhoek Ziekenhuis (hierna: NKI) gevestigd te Amsterdam, verleende vergunning met nummer 2011/1331-6, laatstelijk gewijzigd op 7 september 2018, met nummer 2018/0305-06,  wordt op grond van artikel 15 onder a, artikel 29 en 34 van de Kernenergiewet en de artikelen 3.5 en 3.8, eerste, derde en vierde lid van het Besluit basisveiligheidsnormen stralingsbescherming (Bbs) conform de aanvraag samengevoegd met de op 28 september 2016 verleende vergunning met nummer 2016/0513-12, laatstelijk gewijzigd op 7 september 2018, met nummer 2018/0305-06 en gewijzigd conform de aanvraag.
Hoofdstuk 1, onderdeel I wordt als volgt gewijzigd:
Onder vernummering van A.RADIOACTIEVE STOFFEN EN SPLIJTSTOFFEN worden na volgnummer 14 twee onderdelen ingevoegd:
15. Het voorhanden hebben en toepassen van ingekapselde bronnen voor wetenschappelijk onderzoek, onderwijs en de voorbereiding en toepassing van medische therapie:
2. -192 ingekapselde bronnen kobalt-60 met een activiteit  van 2,2 terabecquerel (TBq) per bron en een gezamenlijke activiteit van maximaal 244 TBq in een bestralingsapparaat, merk Elekta Instruments, type Leksell Gamma Knife Icon, in ruimte D0.033.
16. Het voorhanden hebben en toepassen van ingekapselde bronnen ten behoeve van een bronwissel, voor de duur van de vervanging van de bronnen, met een maximum van 3 weken, van een bestralingsapparaat, merk Elekta Instruments, type Leksell Gamma Knife Icon, in ruimte D0.033:
4. -192 ingekapselde bronnen kobalt-60 met een activiteit  van maximaal 2,2 TBq per bron en een gezamenlijke activiteit van maximaal 244 TBq.
Onder vernummering van B. TOESTELLEN worden na volgnummer 4 voor locatie Amsterdam twee onderdelen ingevoegd:
Ten behoeve van wetenschappelijk onderzoek, onderwijs en de bevordering van de uitvoering van medische therapie:
- 4a.  10 toestellen met een hoogspanning van maximaal 150 kV behorende bij de lineaire versnellers.
- 4b.  1 toestel met een hoogspanning van maximaal 120 kV behorende bij het Leksell Gamma Knife Icon in ruimte D0.033.
Het vergunde in hoofdstuk 1, onder B. TOESTELLEN, locatie Hoofddorp, volgnummer 6, wordt gewijzigd en luidt thans als volgt:
Ten behoeve van wetenschappelijk onderzoek, onderwijs en de bevordering van de uitvoering van medische therapie:
6. 3 toestellen met een hoogspanning van maximaal 150 kV behorende bij de lineaire versnellers.
## 1.2 Voorschriften
Het Bbs en onderliggende ministeriële regelingen en de ANVS-verordening basisveiligheidsnormen stralingsbescherming (Vbs) bevatten rechtstreeks geldende bepalingen. De in deze vergunning opgenomen voorschriften betreffen aspecten die niet (volledig) zijn geregeld in de genoemde regelgeving. Naast de in deze vergunning opgenomen voorschriften dient de vergunninghouder te voldoen aan de van toepassing zijnde bepalingen uit het Bbs en onderliggende ministeriële regelingen en de Vbs.
In verband met de toevoeging van de Gamma Knife aan de vergunning, wordt aan de vergunning het volgende aanvullende voorschrift verbonden:
Na 'II. Organisatie', voorschrift 6. wordt het volgende voorschrift ingevoegd:
7. De installatie, validatie en bronwissel van de Gamma Knife worden uitgevoerd door hiertoe specifiek opgeleid personeel van de fabrikant van de bronnen, conform een op schrift gestelde procedure, onder direct toezicht van de in voorschrift II.5 bedoelde toezichthoudend medewerker stralingsbescherming of zijn plaatsvervanger.
De volgende voorschriften in hoofdstuk 4, onder paragraaf VII. Milieubelasting, locatie Amsterdam, worden gewijzigd en luiden thans als volgt:
1. De door de vergunde handelingen veroorzaakte bijdrage aan de MID buiten de locatie is zo laag als redelijkerwijs mogelijk is. De AID overschrijdt in geen geval de waarde van 10 microsievert per jaar.
2. Wanneer het feitelijk gebruik van het gebied buiten de locatie gedurende een aaneengesloten periode van ten minste vier maanden structureel wijzigt, waardoor een andere correctiefactor uit de bijlage 10 behorende bij Verordening basisveiligheidsnormen stralingsbescherming moet worden gehanteerd, en door het nieuwe gebruik de AID van 10 microsievert per jaar wordt overschreden, meldt de ondernemer dit terstond aan de Autoriteit  Nucleaire Veiligheid en Stralingsbeschermingafdeling afdeling Stralingsbescherming en Crisismanagement, team Medische en Industriële Toepassingen. Tevens draagt de ondernemer zorg voor aanvullende maatregelen met als resultaat een AID lager dan 10 microsievert per jaar voor het nieuwe feitelijke gebruik.
3. Wanneer blijkt uit wijzigingen van bestemmingsplannen, die betrekking hebben op dat betreffende gebied, dan wel wanneer blijkt uit verleende omgevingsvergunningen op grond van de Wet algemene bepalingen omgevingsrecht die betrekking hebben op dat betreffende gebied, dat wijzigingen in het feitelijk gebruik te verwachten zijn of mogelijk worden, en de ondernemer heeft kennisgenomen van deze wijzigingen of had hiervan kennis kunnen nemen, meldt de ondernemer dit terstond aan de Autoriteit Nucleaire Veiligheid en Stralingsbescherming, afdeling Stralingsbescherming en Crisismanagement, team Medische en Industriële Toepassingen. Tevens draagt de ondernemer zorg voor aanvullende maatregelen met als resultaat een AID lager dan 10 microsievert per jaar voor het nieuwe feitelijke gebruik.
In verband met de toevoeging van de Gamma Knife aan de vergunning, wordt aan de vergunning het volgende aanvullende voorschrift verbonden:
Na 'VIII. Controle, registratie, meldingen en rapportages', onderdeel B, voorschrift 5. wordt het volgende voorschrift ingevoegd:
6. Wanneer de ingekapselde bronnen, behorende bij de Gamma Knife, definitief niet meer worden gebruikt, wordt voordat deze worden opgeslagen in de bergplaats of worden overgedragen, volgens een schriftelijk vastgelegde procedure zeker gesteld dat de bronnen niet lek zijn.
## 1.3 Documenten
Aan de paragraaf 'documenten die deel uitmaken van de vergunning' worden de volgende documenten, die onderdeel uitmaakten van de vergunning voor de Gamma Knife (2016/0513-12),  toegevoegd:
- -de op 4, 5 en 22 juli 2016 ontvangen aanvullende informatie en de daarbij behorende bijlagen, te weten:
- o Vergunningaanvraag NKI-AvL Gamma Knife inclusief conebeam CT, documentdatum 1 juli 2016.
- o Bijlage 1: Basisdocument Stralingszorg.
- o Bijlage 2: Risico-identificatie, -analyse en -evaluatie.
- o Bijlage 3: Financiële zekerheid (afschrift).
- o Bijlage 4: Broncertificaat.
- o Bijlage 5: Transportcertificaat.
- o Bijlage 6: Aanwijzing van verantwoordelijke deskundigen.
- o Bijlage 7: Terreingrens van AvL.
- o Aangepaste versie van bijlage 8: Kwaliteit en Veiligheid Gamma Knife.
- o Voorbeeldprotocol: Tilburg QC Gamma Knife overdracht.
- o Voorbeeldprotocol: Tilburg behandelplan.
- o Voorbeeldprotocol: Tilburg masker protocol.
- o Elekta Gamma Knife bronwissel plan.
- o Offerte financiële zekerheid.
- o E-mail van mw. M. Sonneborn met onderwerp: RE: Verzoek aanvullende informatie 2016/0513.
Bij strijdigheden prevaleert het meest recente document.
## 1.4 Openbaarmaking en publicatie
De beschikking bevat milieu-informatie. Daarom wordt deze beschikking met toepassing van artikel 8 van de Wet openbaarheid van bestuur actief openbaar gemaakt door publicatie van deze beschikking op de internetsite www.anvs.nl.
Van het verlenen van deze beschikking wordt tevens mededeling gedaan in de Staatscourant.
## 1.5 Het in werking treden van de vergunning
Deze beschikking treedt in werking overeenkomstig het bepaalde in artikel 20.3 van de Wet milieubeheer, met ingang van de dag na de dag waarop de termijn voor het indienen van een bezwaarschrift afloopt. Indien gedurende deze termijn bij de voorzieningenrechter van de Afdeling bestuursrechtspraak van de Raad van State een verzoek om voorlopige voorziening is gedaan, treedt dit besluit niet in werking voordat op dat verzoek is beslist.
ANVS-PP-2018/0047694-10
## 2 De aanvraag, het toetsingskader en de beoordeling
## 2.1 De aanvraag
De aanvraag met kenmerk MvdM/IOM/18.446 heb ik op 2 oktober 2018 ontvangen en heeft betrekking op:
- -Samenvoeging van de vergunning 2016/0513-12,  laatstelijk gewijzigd met nummer 2018/0305-06, met de vergunning 2011/1331-06, laatstelijk gewijzigd met nummer 2018/0305-06.
- -Een wijziging van de op 20 oktober 2011, aan NKI gevestigd te Amsterdam, verleende vergunning met nummer 2011/1331-6, laatstelijk gewijzigd op 7 september 2018, met nummer 2018/0305-06.
Het betreft de volgende gevraagde wijzigingen:
- -Verhoging van de toegestane lozing in lucht van 1 Reinh naar 5 Reinh (deze vraag is ingetrokken met het verzoek op 24 december 2018).
- -Verhoging van de vergunde terreingrensdosis ten gevolge van externe straling van een Actuele Individuele Dosis (AID) van 5 naar 10 µSv per jaar.
- -Verhoging van het aantal vergunde röntgentoestellen voor locatie Amsterdam met 10 toestellen (ten behoeve van de bevordering van de uitvoering van medische therapie).
- -Toevoeging van de toepassing van de toestellen ter bevordering van de medische therapie voor de locatie Hoofddorp.
- -Opnemen van de vergunning voor handelingen met de Gamma Knife in de complexvergunning.
Bij de aanvraag zijn de volgende documenten toegevoegd:
- -18.446 Autoriteit Nucleaire Veiligheid en Stralingsbescherming - Verzoek tot wijziging van de complexvergunning ivm diverse wijzigingen.
- -Rapport onderbouwing wijziging complexvergunning 2018.
- -Basisdocument Stralingsbescherming 2018.
Op 4 december 2018 is verzocht om aanvullende informatie. Op 24 december 2018 heb ik de volgende aanvullende informatie ontvangen:
- -2018-12-20 Aanpassing wijziging complexvergunning.
In deze brief geeft u aan af te zien van het verzoek de toegestane lozing te verhogen van 1 Reinh naar 5 Reinh.
Op 16 januari 2019 is verzocht om aanvullende informatie. Op 17 januari 2019 heb ik de volgende aanvullende informatie ontvangen:
- -Mail met onderwerp: 'RE: Verzoek aanvullende informatie dossier ANVS-PP2018/0047694' en bijlage 'ANVS-PP-20180047694-08 verzoek aanvullende informatie (bijlage) (AVL wijziging)'.
De aanvraag en de aanvullende informatie heb ik getoetst aan artikel 3.6, derde lid van het Bbs en paragraaf 3.2 van de Vbs en in behandeling genomen.
## 2.2 De gevolgde procedure
Dit besluit is ingevolge de artikelen 29a en 34 van de Kernenergiewet en artikel 11.1 van het Bbs niet tot stand gekomen overeenkomstig de openbare voorbereidingsprocedure van afdeling 3.4 van de Algemene wet bestuursrecht.
De eerste reden hiervoor is, dat er al eerder een overeenkomstige vergunning voor handelingen met radioactieve stoffen met betrekking tot dezelfde plaats aan de aanvrager is verleend. Het is niet te verwachten dat door gebruikmaking van de gevraagde vergunning nadeliger gevolgen voor mensen, dieren, planten en goederen kunnen worden veroorzaakt dan bij de eerder verleende vergunning in aanmerking zijn genomen.
De tweede reden hiervoor is, dat de handelingen met toestellen op grond van artikel 11.1 onder d. van het Bbs vrijgesteld zijn van de bepalingen van de afdeling 3.4 van de Algemene wet bestuursrecht.
## 2.3 Het toetsingskader
Aan het wettelijk kader van de stralingsbescherming, zoals vastgelegd in de Kernenergiewet en de onderliggende besluiten, liggen onder meer de drie principes van het stralingsbeschermingsbeleid ten grondslag, te weten: rechtvaardiging, ALARA en dosislimieten. Indien aan deze uitgangspunten niet wordt voldaan of indien sprake is van een weigeringsgrond zoals genoemd in artikel 3.7 van het Bbs, wordt de vergunning niet verleend.
Rechtvaardiging houdt in dat een handeling die blootstelling aan ioniserende straling met zich meebrengt, slechts is toegestaan indien de economische, sociale en andere voordelen van de betrokken handeling opwegen tegen de gezondheidsschade die hierdoor kan worden toegebracht. Dit principe is vastgelegd in paragraaf 2.2 van het Bbs.
Toepassing van ALARA (as low as reasonably achievable) is de optimalisatie, gericht op beperking van de blootstelling aan ioniserende straling. In de wetgeving is het ALARA beginsel vastgelegd in artikel 31 van de Kernenergiewet en paragraaf 2.3 van het Bbs.
Dosislimieten vervullen een vangnetfunctie, indien het toepassen van rechtvaardiging en ALARA niet voldoende is om een bepaald beschermingsniveau te bereiken. De limietwaarden zijn vastgelegd in artikelen 9.1, 9.2, 7.3, 7.4, 7.34 en 7.35 van het Bbs.
## 2.4 Bevindingen en overwegingen
Met inachtneming van paragraaf 2.3 heb ik de aanvraag getoetst aan artikel 3.7 van het Bbs. Geen van de daarin genoemde bepalingen staat vergunningverlening in de weg.
ANVS-PP-2018/0047694-10
## Rechtvaardiging
De in de aanvraag bedoelde handelingen zijn opgenomen in bijlage 2.1, onderdeel A, van de Regeling basisveiligheidsnormen stralingsbescherming. De rechtvaardiging van de handelingen is, in het kader van de eerdere vergunningprocedures al beoordeeld en positief bevonden. Er is geen reden in het kader van onderhavige vergunningprocedure anders te oordelen over de rechtvaardiging. Derhalve is sprake van gerechtvaardigde handelingen.
## Optimalisatie en dosislimieten
Uit de aanvraag is gebleken dat de aanvrager in voldoende mate stralingshygiënische maatregelen treft. De gevraagde uitbreiding van het aantal toestellen in de vergunning hangt samen met de overgang van het Besluit stralingsbescherming (Bs) naar het Besluit basisveiligheidsnormen stralingsbescherming. De toestellen die onder het Bs meldingplichtig waren dienen nu in de vergunning te worden opgenomen. Omdat deze handelingen al waren beoordeeld en er een interne toestemming was afgegeven, zal naar verwachting de totale belasting van het milieu en van de werknemers die hiermee samenhangt niet veranderen. De ondernemer voorziet wel een groei in het handelingen op de afdelingen Radiologie en Nucleaire Geneeskunde, die zal leiden tot een verhoging van de Actuele Individuele Dosis (AID) voor externe straling tot boven de 5 µSv per jaar. Daarom heeft de ondernemer verzocht om de vergunde maximale AID te verhogen tot het secundair niveau. Hiermee bieden de stralingshygiënische maatregelen en de aan de vergunning verbonden voorschriften bieden nog steeds voldoende waarborgen, dat mensen, dieren, planten en goederen ten gevolge van de toepassing van radioactieve stoffen en/of ioniserende straling, zo weinig schade of hinder daarvan zullen ondervinden als redelijkerwijs mogelijk is. Uit de bovenstaande overwegingen blijkt dat de dosislimieten voor leden van de bevolking en werknemers niet overschreden zullen worden.
## Samenvoeging vergunningen locatie Amsterdam
Voor de locatie Amsterdam heeft NKI 2 aparte vergunningen. Indien binnen een locatie, onder de verantwoordelijkheid van een ondernemer, meerdere handelingen plaatsvinden die tot verschillende vergunningplichtige categorieën behoren, is op grond van 3.4 vierde lid van het Bbs een vergunning voor het geheel vereist. Daarom wordt de op 29 juni 2016 aan NKI verleende vergunning met nummer 2016/0360-13 samengevoegd met de op 28 september 2016, aan NKI verleende vergunning met nummer 2016/0513-12. Hiermee wordt de totale milieubelasting van de locatie Amsterdam integraal in kaart gebracht.
In verband met de samenvoeging van de vergunning met nummer 2016/0513-12 heb ik de vergunningvoorschriften gewijzigd en aangevuld. Daarnaast zijn in het kader van de samenvoeging de eerder niet vermelde handelingen 'onderwijs' en 'wetenschappelijk onderzoek' toegevoegd bij de handelingen met de Gamma Knife en het bijbehorende röntgentoestel om de beschrijving in de vergunning beter in lijn te brengen met de praktijk.
## Procedure
Op basis van de aanvraag van 2 oktober 2018 zou worden gehandeld overeenkomstig de openbare voorbereidingsprocedure van afdeling 3.4 van de Algemene wet bestuursrecht (Awb). Door het intrekken van de vraag om de limiet voor de lozing naar lucht te verruimen geldt ontheffing voor deze procedure, zoals is aangegeven in hoofdstuk 2.2.
## 2.5 Conclusie
Op grond van het bovenstaande heb ik besloten om tot wijziging van de vergunning over te gaan.
Autoriteit Nucleaire Veiligheid en Stralingsbescherming
Ons kenmerk
ANVS-PP-2018/0047694-10
## 3 Ondertekening
DE AUTORITEIT NUCLEAIRE VEILIGHEID EN STRALINGSBESCHERMING, namens deze,
ir . M.J. Korse-Noordhoek MTD, afdelingshoofd
Belanghebbenden kunnen binnen 6 weken na de dag van verzending van dit besluit een bezwaarschrift indienen bij de Autoriteit  Nucleaire Veiligheid en Stralingsbescherming, o.v.v. bezwaar, Postbus 16001, 2500 BA, Den Haag. Dit besluit is verzonden op de in de aanhef van dit besluit genoemde datum.
Het bezwaarschrift moet van een handtekening, datum, naam en adres van de indiener zijn voorzien. De indiener dient duidelijk aan te geven waarom hij tegen dit besluit bezwaar aantekent.
Dit besluit treedt in werking met ingang van de dag na de dag waarop de termijn afloopt voor het indienen van een bezwaarschrift. Indien gedurende die termijn bij de voorzieningenrechter van de Afdeling bestuursrechtspraak van de Raad van State een verzoek om voorlopige voorziening is gedaan, treedt dit besluit niet in werking voordat op dat verzoek is beslist.
## Voorlopige voorziening
Indien een bezwaarschrift is ingediend, kunnen belanghebbenden aan de voorzieningenrechter van de Afdeling bestuursrechtspraak van de Raad van State, Postbus 20019, 2500EA te 's-Gravenhage verzoeken om een voorlopige voorziening te treffen, indien - gelet op de betrokken belangen - onverwijlde spoed dit vereist. Bij het verzoek dient een afschrift van het bezwaarschrift te worden overgelegd. Als burger kunt u uw verzoek tot voorlopige voorziening ook via het digitale loket van de Raad van State indienen (https://digitaalloket.raadvanstate.nl/).  Hiervoor dient u te beschikken over DigiD.  Voor de behandeling van een verzoek om voorlopige voorziening is griffierecht verschuldigd. Inlichtingen over de procedure en de hoogte van het griffierecht kunnen worden verkregen bij de Raad van State, telefoon 070 426 4426.
Voor nadere informatie over dit besluit kunt u terecht bij het Informatiepunt Kernenergiewetvergunningen, telefoon 070-348 7366, op werkdagen van 09.00 12.00 uur en van 14.00 - 17.00 uur. Ook is het mogelijk om uw vraag te stellen via https://www.autoriteitnvs.nl/contact  onder vermelding van het kenmerk van dit besluit.
ANVS-PP-2018/0047694-10</t>
  </si>
  <si>
    <t>DRE_beschikking_veenpark_2_geredigeerd.txt::Rechtshandeling</t>
  </si>
  <si>
    <t>verlenen [524:532]</t>
  </si>
  <si>
    <t>[...] acht bestuur, Op 23 september 2023 ontvingen wij uw subsidieaanvraag voor de professionalisering van het Veenpark gedurende boekjaar 2024. ## U ontvangt een subsidie van € 75.000,00 Dit is de subsidie die wij u verlenen. Omdat dit bedrag een vaststaand bedrag is wat voor u is gereserveerd vanuit rijksgelden, is dit niet geïndexeerd. ## U ontvangt een voorschot van € 75.000,00 Het bedrag maken wij in januari 2024 over naar uw . Wi [...]</t>
  </si>
  <si>
    <t>DRE_beschikking_veenpark_2_geredigeerd.txt::Rechtsobject</t>
  </si>
  <si>
    <t>subsidie [505:514]</t>
  </si>
  <si>
    <t>subsidie [505:513]</t>
  </si>
  <si>
    <t>[...] UK-gelden) ## Geacht bestuur, Op 23 september 2023 ontvingen wij uw subsidieaanvraag voor de professionalisering van het Veenpark gedurende boekjaar 2024. ## U ontvangt een subsidie van € 75.000,00 Dit is de subsidie die wij u verlenen. Omdat dit bedrag een vaststaand bedrag is wat voor u is gereserveerd vanuit rijksgelden, is dit niet geïndexeerd. ## U ontvangt een voorschot van € 75.000,00 Het bedrag maken wij in januari 2024 [...]</t>
  </si>
  <si>
    <t>DRE_gelakte_beschikking_verleningsbrief_drents_museam_2026.txt::Ontvanger</t>
  </si>
  <si>
    <t>DRE_gelakte_beschikking_verleningsbrief_drents_museam_2026.txt</t>
  </si>
  <si>
    <t>Stichting Drents Museum</t>
  </si>
  <si>
    <t>stichting drents museum</t>
  </si>
  <si>
    <t>Stichting Drents Museum [36:59]</t>
  </si>
  <si>
    <t>www.provincie.drenthe.nl Aan: Stichting Drents Museum t.a.v. Postbus 134 9400 AC ASSEN Assen, 17 december 2025 Ons kenmerk: 202501081-01180178 Behandeld door (0592) 36 Verplichtingennummer V015093 Onderwerp: Verlening begrotingssubsidie boekjaar 2026 [...]</t>
  </si>
  <si>
    <t>DRE_gelakte_beschikking_verleningsbrief_drents_museam_2026.txt::Besluitvormend Orgaan</t>
  </si>
  <si>
    <t>Gedeputeerde Staten van Drenthe [7726:7757]</t>
  </si>
  <si>
    <t>&lt;!-- image --&gt;
Autoriteit Nucleaire Veiligheid en Stralingsbescherming
Koningskade 4 Den Haag Postbus 16001 2500 BA  Den Haag
[www.anvs.nl](http://www.anvs.nl/)
Ons kenmerk
ANVS-PP-2024/0101344-04
Datum
28 november 2016 Kernenergiewet vergunning
Betreft
Besluit:
KERNENERGIEWETVERGUNNING VERLEEND AAN R.A. NEDERHOF, H. VAN LOM EN G.H.H. BLANKENVOORDE HANDELEND IN MAATSCHAPVERBAND ONDER DE NAAM DIERGENEESKUNDIG CENTRUM DALFSEN VOOR HET VERRICHTEN VAN HANDELINGEN MET TOESTELLEN
Verleend door:
DE AUTORITEIT NUCLEAIRE VEILIGHEID EN STRALINGSBESCHERMING
●
## Inhoudsopgave
| 1         | Het besluit                                       |   3 |
|-----------|---------------------------------------------------|-----|
| 1.1       | Vergunning                                        |   3 |
| 1.2       | Intrekking                                        |   3 |
| 1.3       | Voorschriften                                     |   3 |
| 1.4       | Documenten                                        |   4 |
| 1.5       | Openbaarmaking en publicatie                      |   5 |
| 1.6       | Het in werking treden van de vergunning           |   5 |
| 2         | De aanvraag, het toetsingskader en de beoordeling |   6 |
| 2.1       | De aanvraag                                       |   6 |
| 2.2       | De gevolgde procedure                             |   6 |
| 2.3       | Het toetsingskader                                |   6 |
| 2.4       | Bevindingen en overwegingen                       |   8 |
| 2.5       | Conclusie                                         |   9 |
| 3         | Ondertekening                                     |  10 |
| Bijlage A | Verklarende begrippenlijst                        |  11 |
## 1 Het besluit
## 1.1 Vergunning
Aan R.A. Nederhof, H. van Lom en G.H.H. Blankenvoorde, handelend in maatschapsverband onder de naam Diergeneeskundig Centrum gevestigd te Dalfsen wordt, krachtens artikel 34 van de Kernenergiewet (Kew) en artikel 3.4, vierde lid van het Besluit basisveiligheidsnormen stralingsbescherming (Bbs) voor onbepaalde tijd conform de aanvraag vergunning verleend voor:
## A. TOESTELLEN
Het verrichten van handelingen ten behoeve van veterinaire diagnostiek binnen de locatie van Diergeneeskundig Centrum Dalfsen, gelegen aan Van Ittersumstraat 1 te Dalfsen, met ioniserende straling uitzendende toestellen binnen de volgende omvang:
1. één toestel met een verticaal neerwaarts gerichte bundel en een vaste focus detector afstand, met een hoogspanning van maximaal 125 kilovolt (kV).
Het verrichten van handelingen ten behoeve van tandheelkundige diagnostiek, uitsluitend voor zover het tandheelkundige toepassingen betreft waarbij blootstelling van dieren plaatsvindt, binnen de locatie van Diergeneeskundig Centrum Dalfsen, gelegen aan Van Ittersumstraat 1 te Dalfsen met ioniserende straling uitzendende toestellen binnen de volgende omvang:
2. één toestel met een hoogspanning van maximaal 70 kV.
## 1.2 Intrekking
Gelet op artikel 3.4, vierde lid van het Bbs, wordt de op 6 april 2021 aan H. van Lom en R.A. Nederlof, handelend onder de naam Diergeneeskundig Centrum Dalfsen, verleende registratie met kenmerk ANVS-PP-2021/0060502-04 ingetrokken. Van de registratie zal geen gebruik meer worden gemaakt.
## 1.3 Voorschriften
Het Bbs en onderliggende ministeriële regelingen en de ANVS-verordening basisveiligheidsnormen stralingsbescherming (Vbs) bevatten rechtstreeks geldende bepalingen. De in deze vergunning opgenomen voorschriften betreffen aspecten die niet (volledig) zijn geregeld in de genoemde regelgeving. Naast de in deze vergunning opgenomen voorschriften dient de vergunninghouder te voldoen aan de van toepassing zijnde bepalingen uit het Bbs en onderliggende ministeriële regelingen en de Vbs.
Aan deze vergunning worden de volgende voorschriften verbonden:
## I. Algemeen
1. Voor zover in de vergunning inclusief de voorschriften niet anders is bepaald worden de handelingen verricht overeenkomstig en op de locatie zoals beschreven in de in paragraaf 1.4 genoemde documenten.
## II. Organisatie
1. In het geval dat de stralingsbeschermingsdeskundige niet in dienst is van de vergunninghouder, maar wordt ingehuurd, zijn de taken, verantwoordelijkheden, bevoegdheden en de omvang van de tijdsbesteding vastgelegd in een contract.
## III. Milieubelasting
1. De door de vergunde handelingen veroorzaakte bijdrage aan de effectieve dosis voor personen buiten de locatie is zo laag als redelijkerwijs mogelijk is. De multifunctionele individuele dosis overschrijdt in geen geval de waarde van 10 microsievert per jaar.
## IV. Controle, registratie, meldingen en rapportages
## A. Rapportage
1. De rapportage bedoeld in artikel 5.27 van de Rbs bevat, naast de in dit artikel bedoelde gegevens, tevens:
2. -een overzicht van alle toestellen die aan het einde van het verslagjaar aanwezig zijn, gespecificeerd naar maximale hoogspanning en toepassing;
3. -een overzicht van relevante wijzigingen van de situatie, binnen het kader van de vergunning;
4. -een overzicht van controlewerkzaamheden die door of namens de stralingsbeschermingsdeskundige zijn uitgevoerd en de resultaten daarvan;
5. -een actuele opgave van de totale stralingsbelasting voor het milieu ten gevolge van alle bronnen binnen de locatie tezamen. De stralingsniveaus buiten de locatie worden in kaart gebracht met behulp van een plattegrond van de locatie.
## V. Stralingsincident, ongeval of radiologische noodsituatie
1. Een stralingsincident dient onmiddellijk te worden gemeld aan de ANVS. Dit kan telefonisch via nummer 088-4890500. De melding dient in ieder geval te worden gedaan via het ANVS-loket volgens de aanwijzingen op de website van de ANVS.
## 1.4 Documenten
De plattegrond van locatie van Diergeneeskundig Centrum Dalfsen zoals aangeduid op pagina 7 in bijlage ' Vergunningaanvraag veterinaire toestellen - DGC Dalfsen-def' behorende bij de vergunningaanvraag d.d. 8 januari 2024, maakt deel uit van de vergunning.
## 1.5 Openbaarmaking en publicatie
De Autoriteit Nucleaire Veiligheid en Stralingsbescherming maakt dit besluit openbaar op https://puc.overheid.nl/anvs/. Van het verlenen van dit besluit wordt ook kennisgegeven in de Staatscourant.
## 1.6 Het in werking treden van de vergunning
Deze beschikking treedt in werking overeenkomstig het bepaalde in artikel 20.3 van de Wet milieubeheer, met ingang van de dag na de dag waarop de termijn voor het indienen van een bezwaarschrift afloopt. Indien gedurende deze termijn bij de voorzieningenrechter van de Afdeling bestuursrechtspraak van de Raad van State een verzoek om voorlopige voorziening is gedaan, treedt dit besluit niet in werking voordat op dat verzoek is beslist.
Ons kenmerk
ANVS-PP-2024/0101344-04
## 2 De aanvraag, het toetsingskader en de beoordeling
## 2.1 De aanvraag
De aanvraag heb ik op 8 januari 2024 ontvangen en heeft betrekking op een aanvraag voor het verrichten van handelingen ten behoeve van de veterinaire diagnostiek met ioniserende straling uitzendende toestellen.
In het bijzonder betreft het de volgende toepassingen:
- -veterinaire diagnostiek gebruik makend van een toestel met een neerwaarts gerichte bundel met vaste focus-detector afstand;
- -tandheelkundige diagnostiek voor zover het tandheelkundige toepassingen betreft waarbij blootstelling van dieren plaatsvindt.
Bij de aanvraag zijn de volgende documenten gevoegd:
- -vergunningaanvraag veterinaire toestellen - DGC Dalfsen-def;
- -certificaat Radioprotectie EN - HVL;
- -20231219 SW Risicoanalyse rontgentoestel met verticale bundelrichting-DGC Dalfsen;
- -20231220 VS PRO FORMA Risicoanalyse dentaal rontgentoestel - DGC Dalfsen.
De aanvraag heb ik getoetst aan artikel 3.6, derde lid van het Bbs en paragraaf 3.2 van de Vbs en in behandeling genomen.
De risico-inventarisatie en -evaluatie (RI&amp;amp;E), zoals bedoeld in artikel 7.6 van het Bbs bevat samen met de aanvraag en aanvullende informatie de elementen genoemd in bijlage A van de Regeling stralingsbescherming beroepsmatige blootstelling 2018, behorende bij artikel 2.1, eerste en tweede lid.
## 2.2 De gevolgde procedure
Dit besluit is ingevolge artikel 3.4, vierde lid, van het Bbs, in samenhang met artikel 11.4 van het Bbs, voorbereid overeenkomstig titel 4.1 van de Algemene wet bestuursrecht (Awb).
## 2.3 Het toetsingskader
## Algemeen
Aan het wettelijk kader van de stralingsbescherming, zoals vastgelegd in de Kew en de onderliggende besluiten, liggen onder meer de drie principes van het stralingsbeschermingsbeleid ten grondslag, te weten: rechtvaardiging, optimalisatie en dosislimieten. Indien aan deze uitgangspunten niet wordt voldaan of indien sprake is van een weigeringsgrond zoals genoemd in artikel 3.7 van het Bbs wordt de vergunning niet verleend.
De volgende in artikel 3.7 van het Bbs genoemde voorwaarde maakt, voor onderhavige vergunning, ook deel uit van het toetsingskader: deskundigheid op het gebied van stralingsbescherming.
## Rechtvaardiging
Rechtvaardiging wil zeggen dat een handeling die blootstelling aan ioniserende straling met zich mee brengt, slechts is toegestaan indien de economische, sociale en andere voordelen van de betrokken handeling opwegen tegen de gezondheidsschade die hierdoor kan worden toegebracht. Het rechtvaardigingprincipe is in de wetgeving vastgelegd in paragraaf 2.2 van het Bbs.
In dat artikel is bepaald dat een handeling slechts is toegestaan, indien deze door de ANVS is gerechtvaardigd, dan wel behoort tot een categorie van handelingen die door de Minister van Infrastructuur en Waterstaat, de Minister van Sociale Zaken en Werkgelegenheid en de Minister voor Medische Zorg is gerechtvaardigd. In Rbs is in bijlage 2.1 een positieve en negatieve lijst opgenomen van respectievelijk gerechtvaardigde en niet-gerechtvaardigde categorieën handelingen. Naast deze categorale rechtvaardiging is in het kader van de vergunningverlening nog een specifieke rechtvaardiging aan de orde voor wat betreft de aangevraagde activiteit.
## Optimalisatie
Onder optimalisatie wordt verstaan dat de bescherming van personen, die beroepsmatig of als lid van de bevolking in een geplande situatie aan straling worden blootgesteld, wordt geoptimaliseerd. Optimalisatie leidt ertoe dat de omvang van de individuele doses, de kans op het optreden van blootstelling en het aantal blootgestelde personen ten gevolge van een handeling zo beperkt als redelijkerwijs mogelijk worden gehouden. Daarbij wordt rekening gehouden met de huidige stand der techniek en met economische en sociale factoren en het omvat zowel milieuhygiënische als arbeidshygiënische aspecten.
Optimalisatie is vastgelegd in artikel 15c, derde lid, van de Kew en artikel 2.6 van het Bbs. In de praktijk van de stralingsbescherming wordt vaak de term ALARA (As Low As Reasonably Achievable) gebruikt in de plaats van optimalisatie.
Optimalisatie vindt plaats zowel in de voorbereidings- en planningsfase, voordat de activiteit is begonnen, als in de fase nadat de activiteit is toegestaan en tot uitvoering wordt gebracht. Optimalisatie heeft geen betrekking op de afweging tussen verschillende alternatieve activiteiten, maar ziet op de vraag in hoeverre de nadelige gevolgen van een bepaalde activiteit in redelijkheid moeten worden beperkt.
## Dosislimieten
Dosislimieten zijn de absolute grenswaarden die in acht genomen moeten worden om een minimaal beschermingsniveau voor individuele werknemers en leden van de bevolking te garanderen. De blootstelling als gevolg van een combinatie van alle relevante handelingen mag niet hoger zijn dan de gestelde dosislimieten. Doel is dat geen enkel individu wordt blootgesteld aan onaanvaardbare stralingsrisico's. Dit algemene beginsel van stralingsbescherming wordt gezien als vangnet na de toepassing van rechtvaardiging en optimalisatie.
Het principe van dosislimitering is vastgelegd in artikel 2.9 van het Bbs. De van toepassing zijnde dosislimieten zijn in de artikelen 7.3, 7.4, 7.34, 7.35, 7.36, 9.1 en 9.2 van het Bbs neergelegd.
## Deskundigheid
In verband met de bescherming van mensen, dieren, planten en goederen op grond van artikel 31, van de Kew, is een verantwoorde uitvoering van handelingen met stralingsbronnen van belang. Deskundigheid is vereist op grond van de artikelen 5.4 en 5.7 van het Bbs.
## 2.4 Bevindingen en overwegingen
Met inachtneming van paragraaf 2.3 heb ik de aanvraag getoetst aan artikel 3.7 van het Bbs. Geen van de daarin genoemde bepalingen staat vergunningverlening in de weg.
De in de aanvraag bedoelde handelingen zijn opgenomen in bijlage 2.1, onderdeel A, van de Rbs. Het gaat om categorie II.B.1, diagnostiek bij dieren. Derhalve is sprake van gerechtvaardigde handelingen.
Ook in de situatie die is beschreven in de aanvraag zijn deze handelingen gerechtvaardigd. Het betreft handelingen die nodig zijn in het kader van diagnostiek bij gezelschapsdieren.
Artikel 3.4, vierde lid, van het Bbs bepaalt dat indien binnen een locatie, onder verantwoordelijkheid van een ondernemer, meerdere handelingen plaatsvinden die tot verschillende in artikel 3.8 of 3.10 van het Bbs genoemde categorieën van handelingen behoren, een vergunning voor het geheel van die handelingen is vereist, waarbij de zwaarste bron bepalend is voor de op de aanvraag van toepassing zijnde procedure. Dit betekent dat het totaal van de handelingen en genomen stralingshygiënische maatregelen in samenhang moet worden beoordeeld. Bij deze integrale beoordeling is gekeken naar de risico's voor mens en milieu ten gevolge van alle handelingen op deze locatie tezamen. De in deze vergunning opgenomen registratieplichtige handelingen kennen enige onderlinge samenhang. In deze vergunning is een beperkt aantal algemene voorschriften opgenomen. Daarbij is rekening gehouden met de graduele aanpak in het controlestelsel van het Bbs. Aan de specifieke handelingen worden geen voorschriften opgelegd.
De stralingshygiënische maatregelen, met name de stralingsafscherming van de ruimten, zijn afgestemd op het daadwerkelijke gebruik van het toestel. Indien de vergunninghouder het toestel wenst te gebruiken bij een buisspanning die hoger is dan aangegeven in de aanvraag, is het de verantwoordelijkheid van de vergunninghouder om er zorg voor te dragen dat de dosislimieten voor het personeel, als ook de dosislimieten voor leden van de bevolking, niet worden overschreden. In algemene zin is het zo dat de vergunninghouder de handelingen dient uit te voeren overeenkomstig de aanvraag. Uit de aanvraag is gebleken dat de aanvrager in voldoende mate stralingshygiënische maatregelen treft.
ANVS-PP-2024/0101344-04
De RI&amp;amp;E die bij de aanvraag is aangeleverd laat zien dat de blootstelling van de werknemers geoptimaliseerd is. De RI&amp;amp;E is integraal met de vergunningaanvraag beoordeeld op basis van de bij de aanvraag aangeleverde informatie. De volledigheid van de RI&amp;amp;E, als zelfstandig document, ten aanzien van de punten benoemd in bijlage A van de Regeling stralingsbescherming beroepsmatige blootstelling 2018, is gelet op het toetsingskader voor vergunningverlening niet door de ANVS beoordeeld.
Uit de aanvraag, met name uit de milieu-analyse, blijkt dat de blootstelling van personen buiten de locaties kleiner is dan het secundair niveau (SN). De stralingshygiënische maatregelen en de aan de vergunning verbonden voorschriften bieden voldoende waarborgen, dat mensen, dieren, planten en goederen ten gevolge van de toepassing van radioactieve stoffen en/of ioniserende straling, zo weinig schade of hinder daarvan zullen ondervinden als redelijkerwijs mogelijk is. Uit bovengenoemde RI&amp;amp;E en de milieu-analyse blijkt ook dat de dosislimieten voor leden van de bevolking en werknemers niet overschreden zullen worden.
Tenslotte blijkt uit de aanvraag ook dat de aanvrager beschikt over voldoende deskundigheid, namelijk minstens een geregistreerde stralingsbeschermingsdeskundige en een toezichthoudend medewerker stralingsbescherming.
## 2.5 Conclusie
Op grond van het bovenstaande heb ik besloten om tot verlening van de vergunning over te gaan.
## 3 Ondertekening
DE AUTORITEIT NUCLEAIRE VEILIGHEID EN STRALINGSBESCHERMING, namens deze,
ir . Y . Franken, teamleider
Belanghebbenden kunnen binnen 6 weken na de dag van verzending van dit besluit een bezwaarschrift indienen bij de Autoriteit Nucleaire Veiligheid en Stralingsbescherming, o.v.v. bezwaar, Postbus 16001, 2500 BA, Den Haag. Dit besluit is verzonden op de in de aanhef van dit besluit genoemde datum.
Het bezwaarschrift moet van een handtekening, datum, naam en adres van de indiener zijn voorzien. De indiener dient duidelijk aan te geven waarom hij tegen dit besluit bezwaar aantekent.
Dit besluit treedt in werking met ingang van de dag na de dag waarop de termijn afloopt voor het indienen van een bezwaarschrift. Indien gedurende die termijn bij de voorzieningenrechter van de Afdeling bestuursrechtspraak van de Raad van State een verzoek om voorlopige voorziening is gedaan, treedt dit besluit niet in werking voordat op dat verzoek is beslist.
## Voorlopige voorziening
Indien een bezwaarschrift is ingediend, kunnen belanghebbenden aan de voorzieningenrechter van de Afdeling bestuursrechtspraak van de Raad van State, Postbus 20019, 2500EA te 's-Gravenhage verzoeken om een voorlopige voorziening te treffen, indien - gelet op de betrokken belangen - onverwijlde spoed dit vereist. Bij het verzoek dient een afschrift van het bezwaarschrift te worden overgelegd. Als burger kunt u uw verzoek tot voorlopige voorziening ook via het digitale loket van de Raad van State indienen (https://loket.raadvanstate.nl/digitaal-loket/). Hiervoor dient u te beschikken over DigiD. Voor de behandeling van een verzoek om voorlopige voorziening is griffierecht verschuldigd. Inlichtingen over de procedure en de hoogte van het griffierecht kunnen worden verkregen bij de Raad van State, telefoon 070 426 4426.
Voor nadere informatie over dit besluit kunt u tijdens kantooruren terecht bij het Informatiepunt Kernenergiewetvergunningen, telefoon 088-4890500. Ook is het mogelijk om uw vraag te stellen via https://www.autoriteitnvs.nl/contact onder vermelding van het kenmerk van dit besluit.
Ons kenmerk ANVS-PP-2024/0101344-04
## Bijlage A Verklarende begrippenlijst
In deze vergunning gelden de onderstaande definities. Voor de overige termen en definities wordt naar de Kew, het Bbs en de onderliggende ministeriële regelingen en de Vbs verwezen.
- -terreingrens:
de begrenzing van de locatie, zoals aangeduid op pagina 7 in bijlage 'v ergunningaanvraag veterinaire toestellen - DGC Dalfsen-def' behorende bij de vergunningaanvraag d.d. 8 januari 2024.
Ons kenmerk
ANVS-PP-2024/0101344-04</t>
  </si>
  <si>
    <t>[...] e AGVV. De subsidiebeschikking wordt ook gepubliceerd op de website van de Europese Commissie. Namen van personen worden niet genoemd. ## Heeft u vragen? Als u vragen heeft, neem dan contact op met Hoogachtend, Gedeputeerde Staten van Drenthe, namens dezen, &lt;!-- image --&gt; I. Koch Domeinmanager Bedrijfsvoering ## Bezwaar Bent u het niet eens met dit besluit, dan kunt u binnen zes weken na de dag van verzending ervan hiertegen een bezwaarschrift [...]</t>
  </si>
  <si>
    <t>DRE_gelakte_beschikking_verleningsbrief_drents_museam_2026.txt::Rechtshandeling</t>
  </si>
  <si>
    <t>verlenen [509:518]</t>
  </si>
  <si>
    <t>verlenen [509:517]</t>
  </si>
  <si>
    <t>[...] eum ## Geacht bestuur, Op 25 september 2025 ontvingen wij uw subsidieaanvraag. U vraagt een begrotingssubsidie aan van € 5.911.836,00 voor het boekjaar 2026. ## U ontvangt een subsidie van € 5.911.836,00 Wij verlenen u deze subsidie voor de uitvoering van het bij de aanvraag gevoegde activiteitenplan 2026. Wij hopen en verwachten dat met de in dit plan opgenomen tentoonstellingen en activiteiten de bezoekersaantallen weer zullen gaan [...]</t>
  </si>
  <si>
    <t>DRE_gelakte_beschikking_verleningsbrief_drents_museam_2026.txt::Rechtsobject</t>
  </si>
  <si>
    <t>subsidie [525:534]</t>
  </si>
  <si>
    <t>subsidie [525:533]</t>
  </si>
  <si>
    <t>[...] bestuur, Op 25 september 2025 ontvingen wij uw subsidieaanvraag. U vraagt een begrotingssubsidie aan van € 5.911.836,00 voor het boekjaar 2026. ## U ontvangt een subsidie van € 5.911.836,00 Wij verlenen u deze subsidie voor de uitvoering van het bij de aanvraag gevoegde activiteitenplan 2026. Wij hopen en verwachten dat met de in dit plan opgenomen tentoonstellingen en activiteiten de bezoekersaantallen weer zullen gaan toenemen. ## [...]</t>
  </si>
  <si>
    <t>DRE_subsidieverlening_stichting_tt_week_assen_geredigeerd.txt::Ontvanger</t>
  </si>
  <si>
    <t>DRE_subsidieverlening_stichting_tt_week_assen_geredigeerd.txt</t>
  </si>
  <si>
    <t>Stichting TT Week Assen</t>
  </si>
  <si>
    <t>stichting tt week assen</t>
  </si>
  <si>
    <t>Stichting TT Week Assen [5:28]</t>
  </si>
  <si>
    <t>Aan: Stichting TT Week Assen t.a.v Apollopad 72 9401 ZA ASSEN ## 9401 ZA 72 Assen, 13 juni 2023 Ons kenmerk 24/4.3/2023000813 Behandeld door (0592) Onderwerp: Verlening subsidie TT Week Assen 2023 Geachte Op 7 mei 2023 ontving [...]</t>
  </si>
  <si>
    <t>DRE_subsidieverlening_stichting_tt_week_assen_geredigeerd.txt::Besluitvormend Orgaan</t>
  </si>
  <si>
    <t>Gedeputeerde Staten van Drenthe [9075:9106]</t>
  </si>
  <si>
    <t>[...] n subsidieverlening anders kan uitvallen dan uw organisatie tot nu toe gewend is geweest. ## Nadere informatie Mocht u nog vragen hebben, dan kunt u contact opnemen met telefoonnummer (0592) . , Hoogachtend, Gedeputeerde Staten van Drenthe, , voorzitter , secretaris ## Bezwaar Bent u het niet eens met dit besluit, dan kunt u binnen zes weken na de dag van verzending ervan, hiertegen een bezwaarschrift indienen bij het college van Gedeputeerde Sta [...]</t>
  </si>
  <si>
    <t>DRE_subsidieverlening_stichting_tt_week_assen_geredigeerd.txt::Rechtshandeling</t>
  </si>
  <si>
    <t>&lt;!-- image --&gt;
Autoriteit Nucleaire Veiligheid en Stralingsbescherming
Koningskade 4 Den Haag Postbus 16001 2500 BA  Den Haag
[www.anvs.nl](http://www.anvs.nl/)
Ons kenmerk
ANVS-PP-2025/0115960-08
Datum
9 juli 2025
Betreft
Kernenergiewet vergunning
Besluit:
KERNENERGIEWETVERGUNNING VERLEEND AAN ERIK ZIMMERMANN, HANDELEND ONDER DE NAAM ERIK ZIMMERMANN EQUINE VETERINARIAN SUPPORT VOOR HET VERRICHTEN VAN HANDELINGEN MET TOESTELLEN
Verleend door:
DE AUTORITEIT NUCLEAIRE VEILIGHEID EN STRALINGSBESCHERMING
●
## Inhoudsopgave
| 1         | Het besluit                                       |   3 |
|-----------|---------------------------------------------------|-----|
| 1.1       | Vergunning                                        |   3 |
| 1.2       | Voorschriften                                     |   3 |
| 1.3       | Documenten                                        |   4 |
| 1.4       | Openbaarmaking en publicatie                      |   4 |
| 1.5       | Het in werking treden van de vergunning           |   5 |
| 2         | De aanvraag, het toetsingskader en de beoordeling |   6 |
| 2.1       | De aanvraag                                       |   6 |
| 2.2       | De gevolgde procedure                             |   7 |
| 2.3       | Het toetsingskader                                |   7 |
| 2.4       | Bevindingen en overwegingen                       |   8 |
| 2.5       | Conclusie                                         |  10 |
| 3         | Ondertekening                                     |  11 |
| Bijlage A | Verklarende begrippenlijst                        |  12 |
## Ons kenmerk
ANVS-PP-2025/0115960-08
## 1 Het besluit
## 1.1 Vergunning
Aan Erik Zimmermann, handelend onder de naam Erik Zimmermann Equine Veterinarian Support, statutair gevestigd te Eindhoven wordt, krachtens artikel 34 van de Kernenergiewet (Kew) en de artikelen 3.5 en 3.8, eerste lid van het Besluit basisveiligheidsnormen stralingsbescherming (Bbs) voor onbepaalde tijd conform de aanvraag vergunning verleend voor:
## A. TOESTELLEN, MOBIEL
Het verrichten van handelingen ten behoeve van veterinaire diagnostiek bij paarden op steeds wisselende plaatsen in geheel Nederland, met ioniserende straling uitzendende toestellen binnen de volgende omvang:
1. één toestel met een hoogspanning van maximaal 90 kilovolt (kV).
Opslag van het onder A.1. genoemde toestel vindt plaats in een afsluitbare koffer binnen de locatie gelegen aan de Kleine Bleekstraat 3 te Eindhoven.
## 1.2 Voorschriften
Het Bbs en onderliggende ministeriële regelingen en de ANVS-verordening basisveiligheidsnormen stralingsbescherming (Vbs) bevatten rechtstreeks geldende bepalingen. De in deze vergunning opgenomen voorschriften betreffen aspecten die niet (volledig) zijn geregeld in de genoemde regelgeving. Naast de in deze vergunning opgenomen voorschriften dient de vergunninghouder te voldoen aan de van toepassing zijnde bepalingen uit het Bbs en onderliggende ministeriële regelingen en de Vbs.
Aan deze vergunning worden de volgende voorschriften verbonden:
## I. Algemeen
1. Voor zover in de vergunning inclusief de voorschriften niet anders is bepaald worden de handelingen verricht overeenkomstig en op de locatie zoals beschreven in de in paragraaf 1.3 genoemde documenten.
## II. Organisatie
1. De ondernemer zorgt ervoor dat de handelingen op steeds wisselende plaatsen in geheel Nederland plaatsvinden door of onder direct toezicht van een toezichthoudend medewerker stralingsbescherming voor de betreffende toepassing.
2. In het geval dat de stralingsbeschermingsdeskundige niet in dienst is van de vergunninghouder, maar wordt ingehuurd, zijn de taken, verantwoordelijkheden, bevoegdheden en de omvang van de tijdsbesteding vastgelegd in een contract.
ANVS-PP-2025/0115960-08
## III. Milieubelasting
## Wisselende plaatsen
1. Buiten elke locatie is de door de vergunde handelingen veroorzaakte bijdrage aan de effectieve dosis voor personen als gevolg van handelingen op wisselende plaatsen in Nederland zo laag als redelijkerwijs mogelijk. De multifunctionele individuele dosis overschrijdt per werklocatie in geen geval de waarde van 10 microsievert per jaar.
## IV. Controle, registratie, meldingen en rapportages
## A. Toestellen
1. Wanneer een bron bij derden wordt toegepast of tijdelijk wordt opgeslagen, is dit bekendgemaakt aan de ondernemer van de locatie waar de handeling plaatsvindt.
## B. Rapportage
1. De rapportage bedoeld in artikel 5.27 van de Regeling basisveiligheidsnormen stralingsbescherming (Rbs) bevat, naast de in dit artikel bedoelde gegevens, tevens:
2. -een overzicht van alle toestellen die aan het einde van het verslagjaar aanwezig zijn, gespecificeerd naar maximale hoogspanning en toepassing;
3. -een overzicht van relevante wijzigingen van de situatie, binnen het kader van de vergunning;
4. -een overzicht van controlewerkzaamheden die door of namens de stralingsbeschermingsdeskundige zijn uitgevoerd en de resultaten daarvan;
5. -een overzicht van de blootgestelde werknemers;
6. -een overzicht van de geregistreerde en/of berekende effectieve doses van de blootgestelde werknemers;
7. -een actuele opgave van de totale stralingsbelasting voor het milieu ten gevolge van alle bronnen binnen de locatie tezamen. De stralingsniveaus buiten de locatie worden in kaart gebracht met behulp van een plattegrond van de locatie.
## V. Stralingsincident, ongeval of radiologische noodsituatie
1. Een stralingsincident dient onmiddellijk te worden gemeld aan de ANVS. Dit kan telefonisch via nummer 088-4890500. De melding dient in ieder geval te worden gedaan via het ANVS-loket volgens de aanwijzingen op de website van de ANVS.
## 1.3 Documenten
Er zijn geen documenten die onderdeel uitmaken van de vergunning.
## 1.4 Openbaarmaking en publicatie
De Autoriteit Nucleaire Veiligheid en Stralingsbescherming maakt dit besluit openbaar op https://puc.overheid.nl/anvs/. Van het verlenen van dit besluit wordt ook kennisgegeven in de Staatscourant.
## 1.5 Het in werking treden van de vergunning
Deze beschikking treedt in werking overeenkomstig het bepaalde in artikel 20.3 van de Wet milieubeheer, met ingang van de dag na de dag waarop de termijn voor het indienen van een bezwaarschrift afloopt. Indien gedurende deze termijn bij de voorzieningenrechter van de Afdeling bestuursrechtspraak van de Raad van State een verzoek om voorlopige voorziening is gedaan, treedt dit besluit niet in werking voordat op dat verzoek is beslist.
Autoriteit Nucleaire Veiligheid en Stralingsbescherming
Ons kenmerk
ANVS-PP-2025/0115960-08
ANVS-PP-2025/0115960-08
## 2 De aanvraag, het toetsingskader en de beoordeling
## 2.1 De aanvraag
De aanvraag zonder kenmerk heb ik op 8 mei 2025 ontvangen en heeft betrekking op een aanvraag voor veterinaire diagnostiek.
In het bijzonder betreft het de volgende toepassingen:
- -veterinaire diagnostiek en röntgenologische keuringen bij paarden op wisselende plaatsen in Nederland.
Bij de aanvraag zijn de volgende documenten gevoegd:
- -aanvraag vergunning mobiele röntgenbuis voor maken van röntgenfoto.
Op 16 mei 2025 is verzocht om aanvullende informatie. Op 10 juni 2025 heb ik de volgende aanvullende gegevens ontvangen:
- -E Zimmermann EVS vergunning aanvraag 2025.0;
- -bijlage A Erik Zimmermann EVS RIenE rapport 2025.0;
- -bijlage B mandaat SBD;
- -bijlage C overeenkomst SBD;
- -bijlage D machtiging KEW handelingen;
- -bijlage E beschikking SBD;
- -bijlage F mandaat TMS;
- -bijlage G verklaring deskundigheid TMS;
- -bijlage H werkinstructies paard.
Op 25 juni 2025 is nogmaals verzocht om aanvullende informatie. Op 30 juni 2025 heb ik de volgende aanvullende gegevens ontvangen:
- -E Zimmermann EVS beantwoorden aanvullende vragen 26062025;
- -E. Zimmermann  EVS vergunning aanvraag 2025.1;
- -Erik Zimmermann EVS RIenE rapport 2025.1.
## Toetsing
De aanvraag en de aanvullende informatie heb ik getoetst aan artikel 3.6, derde lid van het Bbs en paragraaf 3.2 van de Vbs en in behandeling genomen.
## Risico - inventarisatie en -evaluatie
De risico-inventarisatie en -evaluatie (RI&amp;amp;E), zoals bedoeld in artikel 7.6 van het Bbs bevat samen met de aanvraag de elementen genoemd in bijlage A van de Regeling stralingsbescherming beroepsmatige blootstelling 2018, behorende bij artikel 2.1, eerste en tweede lid.
## 2.2 De gevolgde procedure
Dit besluit is ingevolge artikel 34 van de Kew en artikel 11.1 van het Bbs niet tot stand gekomen overeenkomstig de openbare voorbereidingsprocedure van afdeling 3.4 van de Algemene wet bestuursrecht. De handelingen met toestellen zijn op grond van artikel 11.1 van het Bbs vrijgesteld van de bepalingen van de afdeling 3.4 van de Algemene wet bestuursrecht.
## 2.3 Het toetsingskader
## Algemeen
Aan het wettelijk kader van de stralingsbescherming, zoals vastgelegd in de Kew en de onderliggende besluiten, liggen onder meer de drie principes van het stralingsbeschermingsbeleid ten grondslag, te weten: rechtvaardiging, optimalisatie en dosislimieten. Indien aan deze uitgangspunten niet wordt voldaan of indien sprake is van een weigeringsgrond zoals genoemd in artikel 3.7 van het Bbs wordt de vergunning niet verleend.
De volgende in artikel 3.7 van het Bbs genoemde voorwaarde maakt, voor onderhavige vergunning, ook deel uit van het toetsingskader: deskundigheid op het gebied van stralingsbescherming.
## Rechtvaardiging
Rechtvaardiging wil zeggen dat een handeling die blootstelling aan ioniserende straling met zich meebrengt, slechts is toegestaan indien de economische, sociale en andere voordelen van de betrokken handeling opwegen tegen de gezondheidsschade die hierdoor kan worden toegebracht. Het rechtvaardigingprincipe is in de wetgeving vastgelegd in paragraaf 2.2 van het Bbs.
In dat artikel is bepaald dat een handeling slechts is toegestaan, indien deze door de ANVS is gerechtvaardigd, dan wel behoort tot een categorie van handelingen die door de Minister van Infrastructuur en Waterstaat, de Minister van Sociale Zaken en Werkgelegenheid en de Minister van Volksgezondheid, Welzijn en Sport is gerechtvaardigd. In de Regeling basisveiligheidsnormen stralingsbescherming (hierna: Rbs) is in bijlage 2.1 een positieve en negatieve lijst opgenomen van respectievelijk gerechtvaardigde en niet-gerechtvaardigde categorieën handelingen. Naast deze categorale rechtvaardiging is in het kader van de vergunningverlening nog een specifieke rechtvaardiging aan de orde voor wat betreft de aangevraagde activiteit.
## Optimalisatie
Onder optimalisatie wordt verstaan dat de bescherming van personen, die beroepsmatig of als lid van de bevolking in een geplande situatie aan straling worden blootgesteld, wordt geoptimaliseerd. Optimalisatie leidt ertoe dat de omvang van de individuele doses, de kans op het optreden van blootstelling en het aantal blootgestelde personen ten gevolge van een handeling zo beperkt als redelijkerwijs mogelijk worden gehouden. Daarbij wordt rekening gehouden met de huidige stand der techniek en met economische en sociale factoren en het omvat zowel milieuhygiënische als arbeidshygiënische aspecten.
Optimalisatie is vastgelegd in artikel 15c, derde lid, van de Kew en artikel 2.6 van het Bbs. In de praktijk van de stralingsbescherming wordt vaak de term ALARA (As Low As Reasonably Achievable) gebruikt in de plaats van optimalisatie.
Optimalisatie vindt plaats zowel in de voorbereidings- en planningsfase, voordat de activiteit is begonnen, als in de fase nadat de activiteit is toegestaan en tot uitvoering wordt gebracht. Optimalisatie heeft geen betrekking op de afweging tussen verschillende alternatieve activiteiten, maar ziet op de vraag in hoeverre de nadelige gevolgen van een bepaalde activiteit in redelijkheid moeten worden beperkt.
## Dosislimieten
Dosislimieten zijn de absolute grenswaarden die in acht genomen moeten worden om een minimaal beschermingsniveau voor individuele werknemers en leden van de bevolking te garanderen. De blootstelling als gevolg van een combinatie van alle relevante handelingen mag niet hoger zijn dan de gestelde dosislimieten. Doel is dat geen enkel individu wordt blootgesteld aan onaanvaardbare stralingsrisico's. Dit algemene beginsel van stralingsbescherming wordt gezien als vangnet na de toepassing van rechtvaardiging en optimalisatie.
Het principe van dosislimitering is vastgelegd in artikel 2.9 van het Bbs. De van toepassing zijnde dosislimieten zijn in de artikelen 7.3, 7.4, 7.34, 7.35, 7.36, 9.1 en 9.2 van het Bbs neergelegd.
## Deskundigheid
In verband met de bescherming van mensen, dieren, planten en goederen op grond van artikel 31, van de Kew, is een verantwoorde uitvoering van handelingen met stralingsbronnen van belang. Deskundigheid is vereist op grond van de artikelen 5.4 en 5.7 van het Bbs.
## 2.4 Bevindingen en overwegingen
## Algemeen
Met inachtneming van paragraaf 2.3 heb ik de aanvraag getoetst aan artikel 3.7 van het Bbs. Geen van de daarin genoemde bepalingen staat vergunningverlening in de weg.
## Rechtvaardiging
De in de aanvraag bedoelde handelingen zijn opgenomen in bijlage 2.1, onderdeel A, van de Rbs. Het gaat om categorie II.B.1. Diagnostiek bij dieren. Derhalve is sprake van gerechtvaardigde handelingen.
Ook in de situatie die is beschreven in de aanvraag zijn deze handelingen gerechtvaardigd. Het betreft handelingen die nodig zijn in het kader van veterinaire diagnostiek bij paarden en keuring bij paarden en die volgens de stand der techniek of (medische) wetenschap worden uitgevoerd.
## Optimalisatie
Uit de aanvraag is gebleken dat de aanvrager in voldoende mate stralingshygiënische maatregelen treft. De RI&amp;amp;E die bij de aanvraag is aangeleverd laat zien dat de blootstelling van de werknemers geoptimaliseerd is. De RI&amp;amp;E is integraal met de vergunningaanvraag beoordeeld op basis van de bij de aanvraag aangeleverde informatie. De volledigheid van de RI&amp;amp;E, als zelfstandig document, ten aanzien van de punten benoemd in bijlage A van de Regeling stralingsbescherming beroepsmatige blootstelling 2018, is gelet op het toetsingskader voor vergunningverlening niet door de ANVS beoordeeld.
## Dosislimieten
Uit de aanvraag, met name uit de milieu-analyse, blijkt dat de blootstelling van personen buiten de locaties kleiner is dan het secundair niveau (SN). De stralingshygiënische maatregelen en de aan de vergunning verbonden voorschriften bieden voldoende waarborgen, dat mensen, dieren, planten en goederen ten gevolge van de toepassing van radioactieve stoffen en/of ioniserende straling, zo weinig schade of hinder daarvan zullen ondervinden als redelijkerwijs mogelijk is. Uit bovengenoemde RI&amp;amp;E en de milieu-analyse blijkt ook dat de dosislimieten voor leden van de bevolking en werknemers niet overschreden zullen worden.
## Wisselende locaties
Overwegende dat de handelingen op wisselende locaties worden uitgevoerd is er voor deze handelingen geen vaste terreingrens gedefinieerd. De aanvrager heeft in de milieu-analyse een generieke omschrijving van de terreingrens gegeven. De ondernemer zorgt dat andere personen zich niet bevinden binnen een afstand van minimaal 2 meter vanaf het toestel bij aanwezigheid van afscherming. Wanneer de handelingen in de buitenlucht moeten worden uitgevoerd, wordt een tijdelijke afzetting op minimaal 5 meter afstand van het toestel geplaatst. Op basis van deze generieke omschrijving blijkt dat de blootstelling van personen buiten de locatie kleiner is dan het SN.
## Deskundigheid
Tenslotte blijkt uit de aanvraag ook dat de aanvrager beschikt over voldoende deskundigheid, namelijk minstens een geregistreerde stralingsbeschermingsdeskundige en een toezichthoudend medewerker stralingsbescherming.
## Direct toezicht op wisselende locaties
In paragraaf 1.2 Voorschriften onder II. Organisatie is beschreven dat direct toezicht is vereist door een toezichthoudend medewerker stralingsbescherming (TMS) voor de betreffende toepassing. Met direct toezicht wordt bedoeld dat een aangewezen TMS op locatie toezicht houdt op de uitgevoerde handelingen. Direct toezicht is vereist, omdat op onafgeschermde locaties wordt gestraald, waarbij er een risico is op blootstelling voor leden van de bevolking is, wanneer de maatregelen niet (juist) worden genomen. Daarnaast worden vrijwilligers ingezet bij het nemen van de opnamen. De juiste instructie door de TMS aan deze vrijwilligers is essentieel om blootstelling voor leden van de bevolking te beperken.
## 2.5 Conclusie
Op grond van het bovenstaande heb ik besloten om tot verlening van de vergunning over te gaan.
Autoriteit Nucleaire Veiligheid en Stralingsbescherming
Ons kenmerk
ANVS-PP-2025/0115960-08
## 3 Ondertekening
DE AUTORITEIT NUCLEAIRE VEILIGHEID EN STRALINGSBESCHERMING, namens deze,
Dipl.-Ing. B.R. Keller, directeur
Belanghebbenden kunnen binnen 6 weken na de dag van verzending van dit besluit een bezwaarschrift indienen bij de Autoriteit Nucleaire Veiligheid en Stralingsbescherming, o.v.v. bezwaar, Postbus 16001, 2500 BA, Den Haag. Dit besluit is verzonden op de in de aanhef van dit besluit genoemde datum.
Het bezwaarschrift moet van een handtekening, datum, naam en adres van de indiener zijn voorzien. De indiener dient duidelijk aan te geven waarom hij tegen dit besluit bezwaar aantekent.
Dit besluit treedt in werking met ingang van de dag na de dag waarop de termijn afloopt voor het indienen van een bezwaarschrift. Indien gedurende die termijn bij de voorzieningenrechter van de Afdeling bestuursrechtspraak van de Raad van State een verzoek om voorlopige voorziening is gedaan, treedt dit besluit niet in werking voordat op dat verzoek is beslist.
## Voorlopige voorziening
Indien een bezwaarschrift is ingediend, kunnen belanghebbenden aan de voorzieningenrechter van de Afdeling bestuursrechtspraak van de Raad van State, Postbus 20019, 2500EA te 's-Gravenhage verzoeken om een voorlopige voorziening te treffen, indien - gelet op de betrokken belangen - onverwijlde spoed dit vereist. Bij het verzoek dient een afschrift van het bezwaarschrift te worden overgelegd. Als burger kunt u uw verzoek tot voorlopige voorziening ook via het digitale loket van de Raad van State indienen (https://loket.raadvanstate.nl/digitaal-loket/). Hiervoor dient u te beschikken over DigiD. Voor de behandeling van een verzoek om voorlopige voorziening is griffierecht verschuldigd. Inlichtingen over de procedure en de hoogte van het griffierecht kunnen worden verkregen bij de Raad van State, telefoon 070 426 4426.
Voor nadere informatie over dit besluit kunt u tijdens kantooruren terecht bij het Informatiepunt Kernenergiewetvergunningen, telefoon 088-4890500. Ook is het mogelijk om uw vraag te stellen via https://www.autoriteitnvs.nl/contact onder vermelding van het kenmerk van dit besluit.
Ons kenmerk
ANVS-PP-2025/0115960-08
## Bijlage A Verklarende begrippenlijst
In deze vergunning gelden de onderstaande definities. Voor de overige termen en definities wordt naar de Kew, het Bbs en de onderliggende ministeriële regelingen en de Vbs verwezen.
- -terreingrens:
de begrenzing van de wisselende locaties is minimaal 2 meter tot het toestel in alle richtingen rondom het röntgentoestel bij aanwezigheid van afscherming en minimaal 5 meter wanneer er geen afscherming aanwezig is.
Ons kenmerk
ANVS-PP-2025/0115960-08</t>
  </si>
  <si>
    <t>verlenen [508:517]</t>
  </si>
  <si>
    <t>verlenen [508:516]</t>
  </si>
  <si>
    <t>[...] isatie van de TT Week Assen 2023 voor een subsidiebedrag van € 127.625,--. In deze brief informeren wij u over ons besluit op uw aanvraag. ## Besluit Wij hebben besloten u een subsidie van maximaal € 127.625,-- te verlenen voor de organisatie van de TT Week 2023. Wellicht ten overvloede wijzen wij u erop dat u te maken kunt krijgen met vereiste vergunningen of ontheffingen. Wij vragen u hiermee rekening te houden. Het verlenen van deze [...]</t>
  </si>
  <si>
    <t>DRE_subsidieverlening_stichting_tt_week_assen_geredigeerd.txt::Rechtsobject</t>
  </si>
  <si>
    <t>subsidie [470:479]</t>
  </si>
  <si>
    <t>subsidie [470:478]</t>
  </si>
  <si>
    <t>[...] wij uw subsidieaanvraag voor de organisatie van de TT Week Assen 2023 voor een subsidiebedrag van € 127.625,--. In deze brief informeren wij u over ons besluit op uw aanvraag. ## Besluit Wij hebben besloten u een subsidie van maximaal € 127.625,-- te verlenen voor de organisatie van de TT Week 2023. Wellicht ten overvloede wijzen wij u erop dat u te maken kunt krijgen met vereiste vergunningen of ontheffingen. Wij vragen u hiermee reke [...]</t>
  </si>
  <si>
    <t>DRE_verlening_aanvullende_subsidie_stichting_pen_em.txt::Ontvanger</t>
  </si>
  <si>
    <t>DRE_verlening_aanvullende_subsidie_stichting_pen_em.txt</t>
  </si>
  <si>
    <t>Stichting 'PEN EM'</t>
  </si>
  <si>
    <t>stichting 'pen em'</t>
  </si>
  <si>
    <t>Stichting 'PEN EM' [8:26]</t>
  </si>
  <si>
    <t>Aan: Stichting 'PEN EM' t.a.v Burg. J.G. Legroweg 45 b 9761 TA EELDE 9761 TA45Xb Assen, 17 september 2021 Ons kenmerk 202101245-00959665 Behandeld door Verplichtingennummer 79967 Onderwerp: Verlening aanvullende subsidie [...]</t>
  </si>
  <si>
    <t>DRE_verlening_aanvullende_subsidie_stichting_pen_em.txt::Besluitvormend Orgaan</t>
  </si>
  <si>
    <t>Gedeputeerde Staten van Drenthe [8098:8129]</t>
  </si>
  <si>
    <t>&lt;!-- image --&gt;
Datum 24 september 2024
Ons kenmerk 2024-025397
Bulkbesluit inzake de vergunningaanvragen voor de verwerking van gegevens van strafrechtelijke aard ten behoeve van derden van de verwerking 'Collectief Winkelverbod' door de in de bijlage genoemde winkeliers van het winkelgebied Muntplein- 2024-025397
## 1 Inleiding: aanleiding vergunningaanvraag
1. Op maandag 2 september 2024 heeft het Centrum voor Criminaliteitspreventie en Veiligheid (hierna: het CCV) - ingevolge artikel 33, vierde lid, aanhef en onder c, van de Uitvoeringswet Algemene verordening gegevensbescherming (UAVG) - bij de Autoriteit Persoonsgegevens (AP) een bulkvergunningaanvraag ingediend namens de in de bijlage van het besluit genoemde winkeliers in het winkelgebied Muntplein. Ter onderbouwing van de aanvraag, heeft het CCV een protocol en een gegevensbeschermingseffectbeoordeling (ook wel data protection impact assessment/DPIA genoemd) bijgevoegd. Deze aanvraag is bij de AP bekend onder het zaaknummer 2024-025397 en onder de zaaknaam 'Bulkvergunningaanvraag winkelgebied Muntplein'.
## Procesverloop
- -Op 2 september 2024 heeft de AP de bulkvergunningaanvraag voor 16 winkeliers inzake een Collectief Winkelverbod in winkelgebied Muntplein van het CCV ontvangen.
2. Op grond van artikel 33, vierde lid, aanhef en onder c, UAVG mogen persoonsgegevens van strafrechtelijke aard ten behoeve van derden worden verwerkt indien de AP een vergunning voor de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3. In het navolgende concludeert de AP dat er een bulkvergunning voor de verwerking van gegevens van strafrechtelijke aard ten behoeve van derden kan worden verleend aan de individuele winkeliers, genoemd in de bijlage, omdat voldoende is aangetoond dat de verwerking noodzakelijk is met het oog op een zwaarwegend belang van derden en bij de uitvoering is voorzien in zodanige waarborgen dat de persoonlijke levenssfeer van de betrokkene niet onevenredig wordt geschaad. Het vorenstaande is uitgewerkt in het aangeleverde protocol en de DPIA.
&lt;!-- image --&gt;
Datum
24 september 2024
## Ons kenmerk 2024-025397
## 2 Procedureverloop
4. De AP heeft het Protocol (collectief) winkelverbod, versie april 2020 (hierna: modelprotocol collectief winkelverbod) en d e Data Protection Impact Assessment - Registratie en gebruik winkelverboden, versie april 2020 (hierna: model-DPIA collectief winkelverbod) beoordeeld. De AP is op basis van de hiervoor genoemde documenten en de nadere toelichting die daarop is gegeven door het CCV, tot de conclusie gekomen dat de AP in genoemde documenten geen strijdigheden ziet met de AVG en de UAVG. De AP heeft dit bevestigd in haar brief van 18 mei 2020, waarbij is aangegeven dat aan de nog af te geven vergunningen in elk geval een aantal specifieke aanvullende voorschriften worden verbonden (zie onder overwegingen 12, 13, 14, 15 en 16 van dit besluit). Na afstemming met het CCV (landelijk) heeft de AP per brief van 14 april 2022 aangegeven dat de geldigheidstermijn van het modelprotocol, model-DPIA collectief winkelverbod en alle bulkvergunningen loopt tot 31 maart 2027.
5. De lokale ondernemers hebben schriftelijk verklaard dat zij het modelprotocol collectief winkelverbod (april 2020) en model-DPIA collectief winkelverbod (april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het winkelverbod is om de criminele derving, agressie en geweld tegen te gaan binnen de detailhandel.
7. In eerste instantie krijgt iemand na een strafbaar feit een collectieve waarschuwing voor een jaar. Gedurende dit jaar kunnen de winkels nog steeds worden bezocht. Wanneer betrokkene in deze periode nogmaals in de fout gaat, wordt gedurende één of twee jaar de toegang ontzegd tot alle deelnemende ondernemingen in het betreffende winkelgebied, dan wel (wanneer sprake is van een winkelgebied met één eigenaar) tot het winkelcentrum zelf. Andere winkelgebieden en winkels van niet-deelnemende ondernemingen blijven dus toegankelijk. Uiteraard kan ook nog steeds gebruik worden gemaakt van bezorgdiensten, zodat niemand de mogelijkheid wordt ontzegd om aan de eerste levensbehoeften te komen.
8. Een individueel winkelverbod is bedoeld om een overlastgever uit een specifieke winkel te weren. Deze verboden worden (alleen zichtbaar voor de betreffende winkel en de beheerder) wel in het systeem opgenomen. Hiermee wordt het mogelijk om, wanneer blijkt dat het iemand betreft die in meerdere winkels overlast veroorzaakt, het individueel verbod te wijzigen in een collectief verbod.
9. Een collectief winkelverbod (waar eventueel een waarschuwing aan voorafgaat) levert een belangrijke bijdrage aan het tegengaan van criminele derving, agressie en geweld binnen de detailhandel. Om een collectief winkelverbod te handhaven is samenwerking tussen winkelondernemers, waarbij personen die zich schuldig maken aan overlast en/of strafbare feiten in een systeem worden geregistreerd, noodzakelijk.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&lt;!-- image --&gt;
## Datum
24 september 2024
## Ons kenmerk 2024-025397
Artikel 1 UAVG bepaalt: ' In deze wet en de daarop berustende bepalingen wordt verstaan onder: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Artikel 31 UAVG bepaalt: 'Onverminderd artikel 10 van de verordening mogen persoonsgegevens van strafrechtelijke aard alleen worden verwerkt voor zover dit krachtens de artikelen 32 en 33 is toegestaan.'
Artikel 33, vierde lid, aanhef en onder c, UAVG bepaalt: 'Persoonsgegevens van strafrechtelijke aard mogen ten behoeve van derden worden verwerkt:
[…]
c. indien de Autoriteit persoonsgegevens met inachtneming van het vijfde lid een vergunning voor de verwerking heeft verleend .'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Artikel 6, eerste lid, aanhef en onder f, AVG bepaalt: ' De verwerking is alleen rechtmatig indien en voor zover aan ten minste een van de onderstaande voorwaarden is voldaan: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betrokkene niet zwaarder wegen, rekening houdend met de redelijke verwachtingen van de betrokkene op basis van zijn verhouding met de verwerkingsverantwoordelijke. […] In elk geval is een zorgvuldige beoordeling geboden om te bepalen of sprake is van een gerechtvaardigd belang, alsook om te bepalen of een betrokkene op het tijdstip en in het kader van de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De verwerking van persoonsgegevens die strikt noodzakelijk is voor fraudevoorkoming is ook een gerechtvaardigd belang van de verwerkingsverantwoordelijke in kwestie. […]'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&lt;!-- image --&gt;
Datum
24 september 2024
Ons kenmerk
2024-025397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verrichtte beoordeling.
12. Het conformeren aan het modelprotocol collectief winkelverbod en model-DPIA collectief winkelverbod (versie april 2020) leidt tot het op een AVG-conforme wijze bijhouden van enerzijds de opgelegde individuele winkelverboden (voor intern/eigen gebruik) en anderzijds het delen met derden van strafrechtelijke persoonsgegevens ten aanzien van opgelegde collectieve winkelverboden. In het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15. Daarnaast dienen voor het verkrijgen van een vergunning voor het voeren van en/of deelname aan de hiervoor genoemde registratie van personen aan wie een collectief winkelverbod is opgelegd, ook de aanvullende vergunningsvoorschriften (zie hieronder) in acht genomen te worden.
16. Zoals ook onder overweging 4 van dit besluit is aangegeven, zijn er aanvullende voorschriften verbonden aan deze vergunningen. De aanvullende voorschriften, zoals ook benoemd in de brief van de AP van 18 mei 2020 aan het CCV,  zijn, dat:
- a. de lokale ondernemers (gezamenlijke verwerkingsverantwoordelijken) jaarlijks - gecoördineerd door het CCV 1 - een evaluatie van het modelprotocol en model-DPIA 2 van het collectief winkelverbod dienen uit te voeren. De AP ontvangt op aanvraag een afschrift van deze evaluatie.
- b. in aansluiting op voorschrift b de verwerkingsverantwoordelijke bij deze jaarlijkse evaluatie in elk geval expliciet zal ingaan op:
9.  (de omvang van) de deelnemerslijst (ofwel: de lijst waarin de lokale ondernemers zijn opgesomd, die deelnemen aan het collectief winkelverbod in dat bepaalde winkelgebied). 3
10.  het aantal opgelegde individuele en collectieve winkelverboden en collectieve waarschuwingen.
11.  het aantal (wegens verlopen van de looptijd of om andere redenen) verwijderde individuele en collectieve verboden en collectieve waarschuwingen.
1  Hierdoor kan een uniforme werkwijze voor alle bij het CCV aangesloten winkeliersverenigingen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3  Deze deelnemerslijst wordt door het CCV via een website actueel gehouden, zodat kenbaar is welke winkeliers deelnemen aan het collectief verbod in een bepaald gebied.
&lt;!-- image --&gt;
## Datum
24 september 2024
## Ons kenmerk 2024-025397
-  de meldingen van eventuele bijzondere incidenten waarbij de aard en de omvang daarvan wordt beschreven, of van andere vermeldingswaardige bijzonderheden.
- c. de vergunning is  - behoudens ingrijpende wetswijzigingen of wijzigingen van de gegevensverwerking - geldig tot 31 maart 2027.
- d. de verwerkingsverantwoordelijke (lokale ondernemer) diens gegevens volledig conform het modelprotocol en model-DPIA zal verwerken. Dat wil zeggen dat de lokale ondernemer het modelprotocol en model-DPIA ongewijzigd overneemt en de gegevens van de opgelegde collectieve winkelverboden precies, zoals in het modelprotocol en model-DPIA omschreven wordt, gaat verwerken.
## 6 Conclusie
17. De AP is van oordeel dat de in de bijlage genoemde winkeliers - door zich te conformeren aan de reeds door de AP beoordeelde modelprotocol en model-DPIA (versie april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Den Haag, 24 september 2024
Autoriteit Persoonsgegevens, Overeenkomstig het door de Autoriteit Persoonsgegevens genomen besluit,
ir. N.G. de Jong
Directeur Systeemtoezicht, Beveiliging en Technologie
&lt;!-- image --&gt;
Datum
24 september 2024
Ons kenmerk
2024-025397
## Bijlage: 16 deelnemende winkeliers - winkelgebied Muntplein
| Zaaknummer     | Naam aanvrager, eigenaar van:   | Adresgegevens:                             |
|----------------|---------------------------------|--------------------------------------------|
| 2024-025397.1  | Albert Heijn                    | Muntplein 20, 3437AP Nieuwegein, Utrecht   |
| 2024-025397.2  | Bakkerij van der Grijn          | Muntplein 32, 3437AP Nieuwegein, Utrecht   |
| 2024-025397.3  | Bruna Muntplein                 | Muntplein 31, 3437AP Nieuwegein, Utrecht   |
| 2024-025397.4  | Cigo Nieuwegein                 | Waardijnburg 5, 3437AR Nieuwegein, Utrecht |
| 2024-025397.5  | De Jong Visspecialist           | Muntplein 3, 3437AN Nieuwegein, Utrecht    |
| 2024-025397.6  | Doen Kappers                    | Muntplein 12, 3437AM Nieuwegein, Utrecht   |
| 2024-025397.7  | Drogisterij Parfumerie Sebas    | Muntplein 8, 3437AN Nieuwegein, Utrecht    |
| 2024-025397.8  | Eetcafé de Vuurtoren            | Muntplein 13, 3437AN Nieuwegein, Utrecht   |
| 2024-025397.9  | Eyewish Opticiens               | Muntplein 18, 3437AN Nieuwegein, Utrecht   |
| 2024-025397.10 | Fietsliefhebber                 | Waardijnburg 3, 3437AR Nieuwegein, Utrecht |
| 2024-025397.11 | Groenteman                      | Muntplein 34, 3437AT Nieuwegein, Utrecht   |
| 2024-025397.12 | IJsmakerij Schep                | Muntplein 36, 3437AP Nieuwegein, Utrecht   |
&lt;!-- image --&gt;
Datum
24 september 2024
## Ons kenmerk
2024-025397
| 2024-025397.13   | J D Bloemen                 | Muntplein 24, 3437AP Nieuwegein, Utrecht   |
|------------------|-----------------------------|--------------------------------------------|
| 2024-025397.14   | Kees Oomen Kaasspeciaalzaak | Muntplein 7, 3437AM Nieuwegein, Utrecht    |
| 2024-025397.15   | Kruidvat                    | Muntplein 25, 3437AP Nieuwegein, Utrecht   |
| 2024-025397.16   | Una Mas Nieuwegein BV       | Muntplein 35, 3437AP Nieuwegein, Utrecht   |</t>
  </si>
  <si>
    <t>[...] dergelijke gevallen loopt u het risico dat u het ontvangen voorschot geheel of gedeeltelijk moet terugbetalen ## Nadere informatie Mocht u nog vragen hebben, dan kunt u contact opnemen met . Hoogachtend, Gedeputeerde Staten van Drenthe, namens dezen, ir. R. Bakker, Teammanager Subsidies en Inkoop &lt;!-- image --&gt; ## Bezwaar Bent u het niet eens met dit besluit, dan kunt u binnen zes weken na de dag van verzending ervan hiertegen een bezwaars [...]</t>
  </si>
  <si>
    <t>DRE_verlening_aanvullende_subsidie_stichting_pen_em.txt::Rechtshandeling</t>
  </si>
  <si>
    <t>verlenen [618:626]</t>
  </si>
  <si>
    <t>[...] tudie zero-emission luchtvaart N-HL. Inmiddels is gebleken dat het tweede deel van de haalbaarheidsstudie uitgevoerd kan worden. ## Besluit Wij hebben besloten u een aanvullende subsidie van maximaal € 5.000,00 te verlenen, ter uitvoering van het tweede deel van de haalbaarheidsstudie. Daarmee bedraagt de subsidie maximaal € 30.000,00. ## Voorschot Wij hebben besloten u een voorschot te verstrekken van € 5.000,00, zijnde 100% van de [...]</t>
  </si>
  <si>
    <t>DRE_verlening_aanvullende_subsidie_stichting_pen_em.txt::Rechtsobject</t>
  </si>
  <si>
    <t>subsidie [582:591]</t>
  </si>
  <si>
    <t>subsidie [582:590]</t>
  </si>
  <si>
    <t>[...] n € 25.000,00 voor de Haalbaarheidsstudie zero-emission luchtvaart N-HL. Inmiddels is gebleken dat het tweede deel van de haalbaarheidsstudie uitgevoerd kan worden. ## Besluit Wij hebben besloten u een aanvullende subsidie van maximaal € 5.000,00 te verlenen, ter uitvoering van het tweede deel van de haalbaarheidsstudie. Daarmee bedraagt de subsidie maximaal € 30.000,00. ## Voorschot Wij hebben besloten u een voorschot te verstrekken [...]</t>
  </si>
  <si>
    <t>DRE_verlening_boekjaarsubsidie_2021_en_2022_stichting_veenomenaal_veenpark.txt::Ontvanger</t>
  </si>
  <si>
    <t>DRE_verlening_boekjaarsubsidie_2021_en_2022_stichting_veenomenaal_veenpark.txt</t>
  </si>
  <si>
    <t>Aan: Stichting Veenomenaal Veenpark t.a.v. het bestuur Berkenrode 4 7884 TR BARGER-COMPASCUUM &lt;!-- image --&gt; Assen, 19 november 2021 Ons kenmerk 202103177-00970662 Behandeld door Verplichtingennummer 80217 Onderwerp: Verlening subsidie pro [...]</t>
  </si>
  <si>
    <t>DRE_verlening_boekjaarsubsidie_2021_en_2022_stichting_veenomenaal_veenpark.txt::Besluitvormend Orgaan</t>
  </si>
  <si>
    <t>Gedeputeerde Staten van Drenthe [7162:7193]</t>
  </si>
  <si>
    <t>[...] dat de aan uw onderneming verleende steun onrechtmatig is en onverenigbaar is verklaard met de interne markt. ## Nadere informatie Mocht u nog vragen hebben, dan kunt u contact opnemen met . Hoogachtend, Gedeputeerde Staten van Drenthe, namens dezen, ir. R. Bakker, Teammanager Subsidies en Inkoop &lt;!-- image --&gt; ## Bezwaar Bent u het niet eens met dit besluit, dan kunt u binnen zes weken na de dag van verzending ervan hiertegen een bezwa [...]</t>
  </si>
  <si>
    <t>DRE_verlening_boekjaarsubsidie_2021_en_2022_stichting_veenomenaal_veenpark.txt::Rechtshandeling</t>
  </si>
  <si>
    <t>verlenen [738:747]</t>
  </si>
  <si>
    <t>verlenen [738:746]</t>
  </si>
  <si>
    <t>&lt;!-- image --&gt;
Datum 12 november 2024
## Ons kenmerk
2024-026481
Bulkbesluit inzake de vergunningaanvragen voor de verwerking van gegevens van strafrechtelijke aard ten behoeve van derden van de verwerking 'Collectieve Horecaontzegging' door de in de bijlage genoemde horecaondernemers van het horecagebied Rembrandt District- 2024-026481
## 1 Inleiding: aanleiding vergunningaanvraag
1. Op 12 september 2024 heeft Koninklijke Horeca Nederland (hierna: KHN) - ingevolge artikel 33, vierde lid, aanhef en onder c, van de Uitvoeringswet Algemene verordening gegevensbescherming (UAVG) - bij de Autoriteit Persoonsgegevens (AP) een bulkvergunningaanvraag ingediend namens de in de bijlage van het besluit genoemde horecaondernemers in het horecagebied Rembrandt District. Ter onderbouwing van de aanvraag, heeft KHN een protocol en een gegevensbeschermingseffectbeoordeling (ook wel data protection impact assessment/DPIA genoemd) bijgevoegd.
Bij deze aanvraag zijn ook de bijlagen van het protocol meegestuurd. De bijlagen zijn bij de eindbeoordeling op 24 augustus 2020 van het modelprotocol niet beoordeeld. Om die reden heeft de AP de bijlagen nu ook niet meegenomen in de beoordeling. Goedkeuring van het thans voorliggende besluit betekent dus niet dat de bijlagen daarmee zijn goedgekeurd. Het is de verantwoordelijkheid van de verwerkingsverantwoordelijke - in nauwe samenspraak met KHN-landelijk - om ervoor zorg te dragen dat de bijlagen niet strijdig zijn met het protocol, maar nadere uitwerkingen van het protocol vormen. En dat deze bijlagen vanzelfsprekend  AVG-conform zijn.  Deze aanvraag is bij de AP bekend onder het zaaknummer 2024-026481 en onder de zaaknaam 'Bulkvergunningaanvraag horecagebied Rembrandt District'.
## Procesverloop
-  Op 12 september 2024 heeft de AP de bulkvergunningaanvraag voor 35 horecaondernemers inzake een Collectieve Horecaontzegging in horecagebied Rembrandt District van KHN ontvangen.
-  Op 1 oktober 2024 heeft de AP geconstateerd dat de bulkvergunningaanvraag incompleet was en de AP heeft KHN op 1 oktober 2024 verzocht om de bulkvergunningaanvraag aan te vullen.
-  Op 23 oktober 2024 heeft KHN de ontbrekende informatie en documenten aangeleverd.
2. Op grond van artikel 33, vierde lid, aanhef en onder c, UAVG mogen persoonsgegevens van strafrechtelijke aard ten behoeve van derden worden verwerkt indien de AP een vergunning voor de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&lt;!-- image --&gt;
## Datum
12 november 2024
## Ons kenmerk
2024-026481
3. In het navolgende concludeert de AP dat er een bulkvergunning voor de verwerking van gegevens van strafrechtelijke aard ten behoeve van derden kan worden verleend aan de individuele horecaondernemers, genoemd in de bijlage, omdat voldoende is aangetoond dat de verwerking noodzakelijk is met het oog op een zwaarwegend belang van derden en bij de uitvoering is voorzien in zodanige waarborgen dat de persoonlijke levenssfeer van de betrokkene niet onevenredig wordt geschaad. Het vorenstaande is uitgewerkt in het aangeleverde protocol en de DPIA.
## 2 Procedureverloop
4. De AP heeft het Protocol (collectieve) horecaontzegging, versie augustus 2020 (hierna: modelprotocol collectieve horecaontzegging) en d e Data Protection Impact Assessment - Registratie en gebruik horecaontzeggingen, versie augustus 2020 (hierna: model-DPIA collectieve horecaontzegging) beoordeeld. De AP is op basis van de hiervoor genoemde documenten en de nadere toelichting die daarop is gegeven door KHN, tot de conclusie gekomen dat de AP in genoemde documenten geen strijdigheden ziet met de AVG en de UAVG. De AP heeft dit bevestigd in haar brief van 24 augustus 2020, waarbij is aangegeven dat aan de nog af te geven vergunningen in elk geval een aantal specifieke aanvullende voorschriften worden verbonden (zie onder overwegingen 12, 13, 14, 15 en 16 van dit besluit). Na afstemming met KHN (landelijk) heeft de AP per brief van 14 april 2022 aangegeven dat de geldigheidstermijn van het modelprotocol, model-DPIA collectieve horecaontzeggingen en alle bulkvergunningen loopt tot 21 april 2027.
5. De lokale ondernemers hebben schriftelijk verklaard dat zij het modelprotocol collectieve horecaontzegging (augustus 2020) en model-DPIA collectieve horecaontzegging (augustus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de horecaontzegging is om in de aangesloten horecabedrijven (inclusief de daarbij behorende erven/terrassen):
- de veiligheid van horecaondernemers, hun medewerkers en hun gasten te vergroten;
- overlast gevend gedrag te reduceren;
- criminaliteit te voorkomen en tegen te gaan.
7. Een verwerkingsverantwoordelijke kan een Individuele Horeca Ontzegging (IHO) uitreiken wanneer een persoon een of meerdere van de volgende gedragingen zoals vermeld in de artikel 4.1.1 tot en met 4.1.7 van het protocol in zijn horecabedrijf en/of op de daarbij behorende erven/terrassen vertoont. Als binnen een periode van zes maanden een tweede IHO ten aanzien van dezelfde betrokkene wordt ingevoerd in het registratiesysteem dan wordt de tweede IHO omgezet in een CHO van zes maanden. De subverwerker informeert de betrokkene hierover volgens het formulier 'Aanzegging CHO'. De subverwerker informeert de verwerkingsverantwoordelijke die de tweede IHO heeft uitgereikt over de omzetting van de tweede IHO in een CHO.
&lt;!-- image --&gt;
## Datum
12 november 2024
## Ons kenmerk
2024-026481
8. Een gast die zich niet houdt aan de huisregels en/of strafbare feiten pleegt kan worden gesommeerd het bedrijf te verlaten en een ondernemer kan (naast het doen van aangifte) ervoor kiezen om de betrokkene voor een bepaalde tijd de toegang tot het bedrijf te ontzeggen. Doet een ondernemer dat alleen voor zijn eigen bedrijf/bedrijven, dan is er sprake van een Individuele Horeca Ontzegging (IHO). Een IHO mag niet langer dan zes maanden duren.
9. Een verwerkingsverantwoordelijke kan een CHO uitreiken wanneer een persoon zich aan een of meerdere van de in artikel 4.2.1 van het protocol genoemde gedragingen in het horecabedrijf van de verwerkingsverantwoordelijke en/of op de daarbij behorende erven/terrassen schuldig maakt. Bij de collectieve horecaontzegging slaan de gezamenlijke verwerkingsverantwoordelijken de handen ineen om gezamenlijk overlastgevers uit hun bedrijven te weren. Als een verwerkingsverantwoordelijke aan het Protocol CHO de betrokkene een CHO heeft opgelegd, dan geldt deze ontzegging ook meteen voor alle andere gezamenlijke verwerkingsverantwoordelijken. Met één ontzegging wordt een overlastgever dus meteen geweerd uit alle aangesloten bedrijven, zonder dat de persoon in kwestie overlast heeft veroorzaakt in die andere bedrijven.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Artikel 1 UAVG bepaalt: ' In deze wet en de daarop berustende bepalingen wordt verstaan onder: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Artikel 31 UAVG bepaalt: 'Onverminderd artikel 10 van de verordening mogen persoonsgegevens van strafrechtelijke aard alleen worden verwerkt voor zover dit krachtens de artikelen 32 en 33 is toegestaan.'
Artikel 33, vierde lid, aanhef en onder c, UAVG bepaalt: 'Persoonsgegevens van strafrechtelijke aard mogen ten behoeve van derden worden verwerkt:
## […]
c. indien de Autoriteit persoonsgegevens met inachtneming van het vijfde lid een vergunning voor de verwerking heeft verleend .'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&lt;!-- image --&gt;
## Datum
12 november 2024
## Ons kenmerk
2024-026481
Artikel 6, eerste lid, aanhef en onder f, AVG bepaalt: ' De verwerking is alleen rechtmatig indien en voor zover aan ten minste een van de onderstaande voorwaarden is voldaan: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betrokkene niet zwaarder wegen, rekening houdend met de redelijke verwachtingen van de betrokkene op basis van zijn verhouding met de verwerkingsverantwoordelijke. […] In elk geval is een zorgvuldige beoordeling geboden om te bepalen of sprake is van een gerechtvaardigd belang, alsook om te bepalen of een betrokkene op het tijdstip en in het kader van de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De verwerking van persoonsgegevens die strikt noodzakelijk is voor fraudevoorkoming is ook een gerechtvaardigd belang van de verwerkingsverantwoordelijke in kwestie. […]'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verrichte beoordeling.
12. Het conformeren aan het modelprotocol collectieve horecaontzegging en model-DPIA collectieve horecaontzegging (versie augustus 2020) leidt tot het op een AVG-conforme wijze bijhouden van enerzijds de opgelegde individuele horecaontzeggingen (voor intern/eigen gebruik) en anderzijds het delen met derden van strafrechtelijke persoonsgegevens ten aanzien van opgelegde collectieve horecaontzeggingen. In het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&lt;!-- image --&gt;
Datum
12 november 2024
## Ons kenmerk
2024-026481
15. Daarnaast dienen voor het verkrijgen van een vergunning voor het voeren van en/of deelname aan de hiervoor genoemde registratie van personen aan wie een collectieve horecaontzegging is opgelegd, ook de aanvullende vergunningsvoorschriften (zie hieronder) in acht genomen te worden.
16. Zoals ook onder overweging 2 van dit besluit is aangegeven, zijn er aanvullende voorschriften verbonden aan deze vergunningen. De aanvullende voorschriften, zoals ook benoemd in de brief van de AP van 24 augustus 2020 aan KHN, zijn, dat:
- a. de lokale horecaondernemers (gezamenlijke verwerkingsverantwoordelijken) dienen jaarlijks gecoördineerd door de KHN-afdeling Amsterdam 1 - een evaluatie van het modelprotocol en model-DPIA 2  van het collectieve horecaontzeggingen uit te voeren. De AP ontvangt op aanvraag een afschrift van deze evaluatie.
- b. in aansluiting op voorschrift a zal de beheerder namens de gezamenlijke verwerkingsverantwoordelijken bij deze jaarlijkse evaluatie in elk geval expliciet ingaan op:
3.  (de omvang van) de deelnemerslijst (ofwel: de lijst waarin de lokale horecaondernemers zijn opgesomd, die deelnemen aan de collectieve horecaontzeggingen in dat bepaalde horecagebied). 3
4.  het aantal opgelegde individuele en collectieve horecaontzeggingen.
5.  het aantal (wegens verlopen van de looptijd of om andere redenen) verwijderde individuele en collectieve horecaontzeggingen.
6.  de meldingen van eventuele bijzondere incidenten waarbij de aard en de omvang daarvan wordt beschreven, of van andere vermeldingswaardige bijzonderheden.
- c. de vergunning is - behoudens ingrijpende wetswijzigingen of wijziging van de gegevensverwerking - geldig tot 21 april 2027.
- d. de verwerkingsverantwoordelijke (lokale horecaondernemer) diens gegevens volledig conform het modelprotocol en model-DPIA zal verwerken. Dat wil zeggen dat de lokale horecaondernemer het modelprotocol en model-DPIA ongewijzigd overneemt en de gegevens van de opgelegde collectieve horecaontzeggingen precies, zoals in het modelprotocol en model-DPIA omschreven wordt, gaat verwerken.
1  Hierdoor kan een uniforme werkwijze voor alle bij de lokale KHN-afdelingen aangesloten horecaondernemers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3  Deze deelnemerslijst wordt door de KHN- afdeling Amsterdam via een website actueel gehouden, zodat kenbaar is welke horecaondernemers deelnemen aan het collectief verbod in een bepaald gebied.
&lt;!-- image --&gt;
## Datum
12 november 2024
## 6 Conclusie
17. De AP is van oordeel dat de in de bijlage genoemde horecaondernemingen - door zich te conformeren aan de reeds door de AP beoordeelde modelprotocol en model-DPIA (versie augustus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Den Haag, 12 november 2024
Autoriteit Persoonsgegevens,
Overeenkomstig het door de Autoriteit Persoonsgegevens genomen besluit,
## ir. N.G. de Jong
Directeur Systeemtoezicht, Beveiliging en Technologie
## Ons kenmerk
2024-026481
&lt;!-- image --&gt;
Datum
12 november 2024
## Ons kenmerk
2024-026481
## Bijlage: 35 deelnemende horecaondernemingen - horecagebied Rembrandt District
| Zaaknummer     | Naam aanvrager, eigenaar van:   | Adresgegevens:                                      |
|----------------|---------------------------------|-----------------------------------------------------|
| 2024-026481.1  | 24K Bar                         | Halvemaansteeg 8A, 1017 CR, Amsterdam               |
| 2024-026481.2  | Air Amsterdam                   | Amstelstraat 24, 1017 DA, Amsterdam                 |
| 2024-026481.3  | Bar Bacán                       | Reguliersdwarsstraat 105, 1017 BL, Amsterdam        |
| 2024-026481.4  | Bar Blend                       | Reguliersdwarsstraat 41, 1017 BK, Amsterdam         |
| 2024-026481.5  | Bar Feijoa                      | Vijzelstraat 39, 1017 HE, Amsterdam                 |
| 2024-026481.6  | Bar Lunar                       | Halvemaansteeg 17, 1017 CR, Amsterdam               |
| 2024-026481.7  | Blend XL                        | Reguliersdwarsstraat 44, 1017 BM, Amsterdam         |
| 2024-026481.8  | Café Bar de Duivel              | Reguliersdwarsstraat 87, 1017 BK, Amsterdam         |
| 2024-026481.9  | Café Bloemenbeppie              | Korte Reguliersdwarssstraat 10H, 1017 BH, Amsterdam |
| 2024-026481.10 | Café Bolle Jan                  | Korte Reguliersdwarssstraat 3, 1017 BH, Amsterdam   |
| 2024-026481.11 | Café Leentje                    | Thorbeckeplein 3, 1017 CS, Amsterdam                |
&lt;!-- image --&gt;
Datum
12 november 2024
## Ons kenmerk
2024-026481
| 2024-026481.12   | Café Montmartre       | Reguliersdwarsstraat 129, 1017 BL, Amsterdam      |
|------------------|-----------------------|---------------------------------------------------|
| 2024-026481.13   | Café Pikketanussie    | Korte Reguliersdwarssstraat 6, 1017 BH, Amsterdam |
| 2024-026481.14   | Café Tante Roosje     | Rembrandtplein 5, 1017 CT, Amsterdam              |
| 2024-026481.15   | Club Nix              | Reguliersdwarsstraat 142, 1017 BM, Amsterdam      |
| 2024-026481.16   | Club Prime            | Rembrandtplein 22, 1017 CV, Amsterdam             |
| 2024-026481.17   | Club Smokey           | Rembrandtplein 20, 1017 CV, Amsterdam             |
| 2024-026481.18   | Coco's Outback        | Thorbeckeplein 8/14, 1017 CS, Amsterdam           |
| 2024-026481.19   | Coffeeshop Smokey     | Rembrandtplein 24, 1017 CV, Amsterdam             |
| 2024-026481.20   | Crazy Karaoke         | Halvemaansteeg 14H, 1017 CR, Amsterdam            |
| 2024-026481.21   | De Heeren van Aemstel | Thorbeckeplein 5, 1017 CS, Amsterdam              |
| 2024-026481.22   | De Kroon              | Rembrandtplein 17-1, 1017 CT, Amsterdam           |
| 2024-026481.23   | Escape B.V.           | Rembrandtplein 11, 1017 CT, Amsterdam             |
| 2024-026481.24   | Jantjes Verjaardag    | Reguliersdwarsstraat 114, 1017 BN, Amsterdam      |
&lt;!-- image --&gt;
## Datum
12 november 2024
## Ons kenmerk
2024-026481
| 2024-026481.25   | John Doe              | Rembrandtplein 31, 1017 CT, Amsterdam              |
|------------------|-----------------------|----------------------------------------------------|
| 2024-026481.26   | K2 Ski Bar Amsterdam  | Thorbeckeplein 6, 1017 CS, Amsterdam               |
| 2024-026481.27   | Keetje Tippel         | Korte Reguliersdwarssstraat 1, 1017 BH, Amsterdam  |
| 2024-026481.28   | Live Amsterdam        | Thorbeckeplein 16H, 1017 CS, Amsterdam             |
| 2024-026481.29   | Los Bij Jos           | Korte Reguliersdwarssstraat 12, 1017 BH, Amsterdam |
| 2024-026481.30   | Oliva                 | Rembrandtplein 17, 1017 CT, Amsterdam              |
| 2024-026481.31   | Regular &amp; Jack        | Vijzelstraat 37, 1017 HD, Amsterdam                |
| 2024-026481.32   | Royal Amsterdam hotel | Rembrandtplein 44, 1017 CV, Amsterdam              |
| 2024-026481.33   | Soho                  | Reguliersdwarsstraat 36, 1017 BM, Amsterdam        |
| 2024-026481.34   | St. Jame's Gate       | Rembrandtplein 10, 1017 CV, Amsterdam              |
| 2024-026481.35   | Woody's               | Thorbeckeplein 20, 1017 CS, Amsterdam              |</t>
  </si>
  <si>
    <t>[...] ontwikkeling van Veenpark tot museum van provinciaal belang is onderwerp dat opgenomen is in onze cultuurnota. Als zodanig is er voor u een boekjaarsubsidie van maximaal € 75.000,00 gereserveerd. Met deze beschikking verlenen wij u een subsidie van maximaal € 150.000,00, uw boekjaarsubsidie voor de jaren 2021 en 2022. De subsidie voor 2022 wordt verleend onder voorbehoud van het vaststellen van de begroting door Provinciale Staten. Afzonde [...]</t>
  </si>
  <si>
    <t>DRE_verlening_boekjaarsubsidie_2021_en_2022_stichting_veenomenaal_veenpark.txt::Rechtsobject</t>
  </si>
  <si>
    <t>subsidie [757:766]</t>
  </si>
  <si>
    <t>subsidie [757:765]</t>
  </si>
  <si>
    <t>[...] enpark tot museum van provinciaal belang is onderwerp dat opgenomen is in onze cultuurnota. Als zodanig is er voor u een boekjaarsubsidie van maximaal € 75.000,00 gereserveerd. Met deze beschikking verlenen wij u een subsidie van maximaal € 150.000,00, uw boekjaarsubsidie voor de jaren 2021 en 2022. De subsidie voor 2022 wordt verleend onder voorbehoud van het vaststellen van de begroting door Provinciale Staten. Afzonderlijk van deze besc [...]</t>
  </si>
  <si>
    <t>DRE_verlening_boekjaarsubsidie_stichting_drenthevents_geredigeerd.txt::Ontvanger</t>
  </si>
  <si>
    <t>DRE_verlening_boekjaarsubsidie_stichting_drenthevents_geredigeerd.txt</t>
  </si>
  <si>
    <t>Stichting Drenthevents</t>
  </si>
  <si>
    <t>stichting drenthevents</t>
  </si>
  <si>
    <t>Stichting Drenthevents [33:55]</t>
  </si>
  <si>
    <t>www.provincie.drenthe.nl Aan: Stichting Drenthevents t.a.v. het bestuur Druwerbrink 111 7812 TC EMMEN Assen, 3 december 2024 Ons kenmerk: 202401737-01138564 Behandeld door (0592) 36 Verplichtingennummer V007340 Onderwerp: Verlening subsidie Pitfest Geacht bestuur, [...]</t>
  </si>
  <si>
    <t>DRE_verlening_boekjaarsubsidie_stichting_drenthevents_geredigeerd.txt::Besluitvormend Orgaan</t>
  </si>
  <si>
    <t>Gedeputeerde Staten van Drenthe [8212:8243]</t>
  </si>
  <si>
    <t>[...] AGVV. De subsidiebeschikking wordt ook gepubliceerd op de website van de Europese Commissie. Namen van personen worden niet genoemd. ## Heeft u vragen? Als u vragen heeft neem dan contact op met Hoogachtend, Gedeputeerde Staten van Drenthe, namens dezen, L. van Oosten-van Raalte Themamanager Inkoop &amp;amp; Subsidies &lt;!-- image --&gt; ## Bezwaar Bent u het niet eens met dit besluit, dan kunt u binnen zes weken na de dag van verzending ervan hiertege [...]</t>
  </si>
  <si>
    <t>DRE_verlening_boekjaarsubsidie_stichting_drenthevents_geredigeerd.txt::Rechtshandeling</t>
  </si>
  <si>
    <t>&lt;!-- image --&gt;
Datum 12 december 2024
Ons kenmerk 2024-030739
Bulkbesluit inzake de vergunningaanvragen voor de verwerking van gegevens van strafrechtelijke aard ten behoeve van derden van de verwerking 'Collectief Winkelverbod' door de in de bijlage genoemde winkeliers van het winkelgebied Zuidplein Rotterdam - 2024-030739
## 1 Inleiding: aanleiding vergunningaanvraag
1. Op 23 oktober 2024 heeft het Centrum voor Criminaliteitspreventie en Veiligheid (hierna: het CCV) ingevolge artikel 33, vierde lid, aanhef en onder c, van de Uitvoeringswet Algemene verordening gegevensbescherming (UAVG) - bij de Autoriteit Persoonsgegevens (AP) een bulkvergunningaanvraag ingediend namens de in de bijlage van het besluit genoemde winkeliers in winkelgebied Zuidplein Rotterdam. Ter onderbouwing van de aanvraag, heeft het CCV een protocol en een gegevensbeschermingseffectbeoordeling (ook wel data protection impact assessment/DPIA genoemd) bijgevoegd. Deze aanvraag is bij de AP bekend onder het zaaknummer 2024-030739 en onder de zaaknaam ' Bulkvergunningaanvraag winkelgebied Zuidplein Rotterdam'.
## Procesverloop
- -Op 23 oktober 2024 heeft de AP de bulkvergunningaanvraag voor 12 winkeliers inzake een Collectief Winkelverbod in winkelgebied Zuidplein Rotterdam van het CCV ontvangen.
- -Op 27 november 2024 heeft de AP geconstateerd dat de vergunningaanvraag incompleet was en de AP heeft op 27 november 2024 verzocht om de vergunningaanvraag aan te vullen.
- -Vervolgens heeft het CCV op 9 december 2024 de ontbrekende informatie en documenten aangeleverd.
2. Op grond van artikel 33, vierde lid, aanhef en onder c, UAVG mogen persoonsgegevens van strafrechtelijke aard ten behoeve van derden worden verwerkt indien de AP een vergunning voor de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3. In het navolgende concludeert de AP dat er een bulkvergunning voor de verwerking van gegevens van strafrechtelijke aard ten behoeve van derden kan worden verleend aan de individuele winkeliers, genoemd in de bijlage, omdat voldoende is aangetoond dat de verwerking noodzakelijk is met het oog op een zwaarwegend belang van derden en bij de uitvoering is voorzien in zodanige waarborgen dat de persoonlijke levenssfeer van de betrokkene niet onevenredig wordt geschaad. Het vorenstaande is uitgewerkt in het aangeleverde protocol en de DPIA.
&lt;!-- image --&gt;
Datum
12 december 2024
## 2 Procedureverloop
4. De AP heeft het Protocol (collectief) winkelverbod, versie april 2020 (hierna: modelprotocol collectief winkelverbod) en d e Data Protection Impact Assessment - Registratie en gebruik winkelverboden, versie april 2020 (hierna: model-DPIA collectief winkelverbod) beoordeeld. De AP is op basis van de hiervoor genoemde documenten en de nadere toelichting die daarop is gegeven door het CCV, tot de conclusie gekomen dat de AP in genoemde documenten geen strijdigheden ziet met de AVG en de UAVG. De AP heeft dit bevestigd in haar brief van 18 mei 2020, waarbij is aangegeven dat aan de nog af te geven vergunningen in elk geval een aantal specifieke aanvullende voorschriften worden verbonden (zie onder overwegingen 12, 13, 14, 15 en 16 van dit besluit). Na afstemming met het CCV (landelijk) heeft de AP per brief van 14 april 2022 aangegeven dat de geldigheidstermijn van het modelprotocol, model-DPIA collectief winkelverbod en alle bulkvergunningen loopt tot 31 maart 2027.
5. De lokale ondernemers hebben schriftelijk verklaard dat zij het modelprotocol collectief winkelverbod (april 2020) en model-DPIA collectief winkelverbod (april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het winkelverbod is om de criminele derving, agressie en geweld tegen te gaan binnen de detailhandel.
7. In eerste instantie krijgt iemand na een strafbaar feit een collectieve waarschuwing voor een jaar. Gedurende dit jaar kunnen de winkels nog steeds worden bezocht. Wanneer betrokkene in deze periode nogmaals in de fout gaat, wordt gedurende één of twee jaar de toegang ontzegd tot alle deelnemende ondernemingen in het betreffende winkelgebied, dan wel (wanneer sprake is van een winkelgebied met één eigenaar) tot het winkelcentrum zelf. Andere winkelgebieden en winkels van niet-deelnemende ondernemingen blijven dus toegankelijk. Uiteraard kan ook nog steeds gebruik worden gemaakt van bezorgdiensten, zodat niemand de mogelijkheid wordt ontzegd om aan de eerste levensbehoeften te komen.
8. Een individueel winkelverbod is bedoeld om een overlastgever uit een specifieke winkel te weren. Deze verboden worden (alleen zichtbaar voor de betreffende winkel en de beheerder) wel in het systeem opgenomen. Hiermee wordt het mogelijk om, wanneer blijkt dat het iemand betreft die in meerdere winkels overlast veroorzaakt, het individueel verbod te wijzigen in een collectief verbod.
9. Een collectief winkelverbod (waar eventueel een waarschuwing aan voorafgaat) levert een belangrijke bijdrage aan het tegengaan van criminele derving, agressie en geweld binnen de detailhandel. Om een collectief winkelverbod te handhaven is samenwerking tussen winkelondernemers, waarbij personen die zich schuldig maken aan overlast en/of strafbare feiten in een systeem worden geregistreerd, noodzakelijk.
## Ons kenmerk
2024-030739
&lt;!-- image --&gt;
## Datum
12 december 2024
## Ons kenmerk
2024-030739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Artikel 1 UAVG bepaalt: ' In deze wet en de daarop berustende bepalingen wordt verstaan onder:
##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Artikel 31 UAVG bepaalt: 'Onverminderd artikel 10 van de verordening mogen persoonsgegevens van strafrechtelijke aard alleen worden verwerkt voor zover dit krachtens de artikelen 32 en 33 is toegestaan.'
Artikel 33, vierde lid, aanhef en onder c, UAVG bepaalt: 'Persoonsgegevens van strafrechtelijke aard mogen ten behoeve van derden worden verwerkt:
## […]
c. indien de Autoriteit persoonsgegevens met inachtneming van het vijfde lid een vergunning voor de verwerking heeft verleend .'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Artikel 6, eerste lid, aanhef en onder f, AVG bepaalt: ' De verwerking is alleen rechtmatig indien en voor zover aan ten minste een van de onderstaande voorwaarden is voldaan:
##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betrokkene niet zwaarder wegen, rekening houdend met de redelijke verwachtingen van de betrokkene op basis van zijn verhouding met de verwerkingsverantwoordelijke. […] In elk geval is een zorgvuldige beoordeling geboden om te bepalen of sprake is van een gerechtvaardigd belang, alsook om te bepalen of een betrokkene op het tijdstip en in het kader van de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De verwerking van persoonsgegevens die strikt noodzakelijk is voor fraudevoorkoming is ook een gerechtvaardigd belang van de verwerkingsverantwoordelijke in kwestie. […]'
&lt;!-- image --&gt;
## Datum
12 december 2024
## Ons kenmerk
2024-030739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verrichtte beoordeling.
12. Het conformeren aan het modelprotocol collectief winkelverbod en model-DPIA collectief winkelverbod (versie april 2020) leidt tot het op een AVG-conforme wijze bijhouden van enerzijds de opgelegde individuele winkelverboden (voor intern/eigen gebruik) en anderzijds het delen met derden van strafrechtelijke persoonsgegevens ten aanzien van opgelegde collectieve winkelverboden. In het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15. Daarnaast dienen voor het verkrijgen van een vergunning voor het voeren van en/of deelname aan de hiervoor genoemde registratie van personen aan wie een collectief winkelverbod is opgelegd, ook de aanvullende vergunningsvoorschriften (zie hieronder) in acht genomen te worden.
&lt;!-- image --&gt;
Datum
12 december 2024
Ons kenmerk
2024-030739
16. Zoals ook onder overweging 4 van dit besluit is aangegeven, zijn er aanvullende voorschriften verbonden aan deze vergunningen. De aanvullende voorschriften, zoals ook benoemd in de brief van de AP van 18 mei 2020 aan het CCV,  zijn, dat:
- a. de lokale ondernemers (gezamenlijke verwerkingsverantwoordelijken) jaarlijks - gecoördineerd door het CCV 1 - een evaluatie van het modelprotocol en model-DPIA 2 van het collectief winkelverbod dienen uit te voeren. De AP ontvangt op aanvraag een afschrift van deze evaluatie.
- b. in aansluiting op voorschrift b de verwerkingsverantwoordelijke bij deze jaarlijkse evaluatie in elk geval expliciet zal ingaan op:
3.  (de omvang van) de deelnemerslijst (ofwel: de lijst waarin de lokale ondernemers zijn opgesomd, die deelnemen aan het collectief winkelverbod in dat bepaalde winkelgebied). 3
4.  het aantal opgelegde individuele en collectieve winkelverboden en collectieve waarschuwingen.
5.  het aantal (wegens verlopen van de looptijd of om andere redenen) verwijderde individuele en collectieve verboden en collectieve waarschuwingen.
6.  de meldingen van eventuele bijzondere incidenten waarbij de aard en de omvang daarvan wordt beschreven, of van andere vermeldingswaardige bijzonderheden.
- c. de vergunning is  - behoudens ingrijpende wetswijzigingen of wijzigingen van de gegevensverwerking - geldig tot 31 maart 2027.
- d. de verwerkingsverantwoordelijke (lokale ondernemer) diens gegevens volledig conform het modelprotocol en model-DPIA zal verwerken. Dat wil zeggen dat de lokale ondernemer het modelprotocol en model-DPIA ongewijzigd overneemt en de gegevens van de opgelegde collectieve winkelverboden precies, zoals in het modelprotocol en model-DPIA omschreven wordt, gaat verwerken.
## 6 Conclusie
17. De AP is van oordeel dat de in de bijlage genoemde winkeliers - door zich te conformeren aan de reeds door de AP beoordeelde modelprotocol en model-DPIA (versie april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1  Hierdoor kan een uniforme werkwijze voor alle bij het CCV aangesloten winkeliersverenigingen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3  Deze deelnemerslijst wordt door het CCV via een website actueel gehouden, zodat kenbaar is welke winkeliers deelnemen aan het collectief verbod in een bepaald gebied.
&lt;!-- image --&gt;
Datum
12 december 2024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Den Haag, 12 december 2024
Autoriteit Persoonsgegevens, Overeenkomstig het door de Autoriteit Persoonsgegevens genomen besluit,
ir. N.G. de Jong Directeur Systeemtoezicht, Beveiliging en Technologie
## Ons kenmerk
2024-030739
&lt;!-- image --&gt;
Datum
12 december 2024
## Ons kenmerk
2024-030739
## Bijlage: 12 deelnemende winkeliers - winkelgebied Zuidplein Rotterdam
| Zaaknummer     | Naam aanvrager, eigenaar van:   | Adresgegevens:                         |
|----------------|---------------------------------|----------------------------------------|
| 2024-030739.1  | Arty B.V.                       | Zuidplein Hoog 792, 3083 BP, Rotterdam |
| 2024-030739.2  | Brasserie Zuidplein             | Zuidplein Hoog 740, 3083 BP, Rotterdam |
| 2024-030739.3  | Chabot Fashion Stores B.V.      | Zuidplein Hoog 425, 3083 BE, Rotterdam |
| 2024-030739.4  | Happy Bazaar Nederland B.V.     | Zuidplein 620, 3083 CX, Rotterdam      |
| 2024-030739.5  | Hema                            | Sallandweg 110, 3083 BC, Rotterdam     |
| 2024-030739.6  | Jamin                           | Zuidplein Hoog 585, 3083 BG, Rotterdam |
| 2024-030739.7  | Kruidvat 3522                   | Zuidplein Hoog 715, 3083 BJ, Rotterdam |
| 2024-030739.8  | Mcdonald's Restaurant           | Zuidplein Hoog 515, 3083 BG, Rotterdam |
| 2024-030739.9  | Parfumerie Douglas              | Zuidplein Hoog 695, 3083 BH, Rotterdam |
| 2024-030739.10 | Primera Zuidplein               | Zuidplein 60 G, 3083 CW, Rotterdam     |
| 2024-030739.11 | Solow                           | Zuidplein Hoog 605, 3083 BH, Rotterdam |
| 2024-030739.12 | Xenos                           | Zuidplein 530, 3083 BM, Rotterdam      |</t>
  </si>
  <si>
    <t>verlenen [1240:1248]</t>
  </si>
  <si>
    <t>[...] juiste en zorgvuldige wijze heeft beoordeeld en het resultaat daarvan zijn weerslag vindt in het door de adviescommissie uitgebrachte advies. ## U ontvangt een subsidie van € 25.000,00 Dit is de subsidie die wij u verlenen. U heeft voldoende punten behaald om voor subsidie in aanmerking te komen. Voor de motivering van de puntentoekenning verwijzen wij naar het advies van de adviescommissie in de bijlage bij deze brief. ## U ontvangt e [...]</t>
  </si>
  <si>
    <t>DRE_verlening_boekjaarsubsidie_stichting_drenthevents_geredigeerd.txt::Rechtsobject</t>
  </si>
  <si>
    <t>subsidie [1221:1230]</t>
  </si>
  <si>
    <t>subsidie [1221:1229]</t>
  </si>
  <si>
    <t>[...] uw aanvraag op een juiste en zorgvuldige wijze heeft beoordeeld en het resultaat daarvan zijn weerslag vindt in het door de adviescommissie uitgebrachte advies. ## U ontvangt een subsidie van € 25.000,00 Dit is de subsidie die wij u verlenen. U heeft voldoende punten behaald om voor subsidie in aanmerking te komen. Voor de motivering van de puntentoekenning verwijzen wij naar het advies van de adviescommissie in de bijlage bij deze brief. [...]</t>
  </si>
  <si>
    <t>DRE_verlening_subsidie_de_drentse_lelie.txt::Ontvanger</t>
  </si>
  <si>
    <t>DRE_verlening_subsidie_de_drentse_lelie.txt</t>
  </si>
  <si>
    <t>Hilbrands Laboratorium B.V.</t>
  </si>
  <si>
    <t>hilbrands laboratorium b.v</t>
  </si>
  <si>
    <t>Hilbrands Laboratorium B.V. [129:156]</t>
  </si>
  <si>
    <t>Provinciehuis Westerbrink 1, Assen Postadres Postbus 122, 9400 AC Assen www.provincie.drenthe.nl &lt;!-- image --&gt; Aan: Hilbrands Laboratorium B.V. t.a.v. Kampsweg 27 9418 PD WIJSTER 9418PD27 Assen, 5 november 2025 Ons kenmerk: 202501170-01172856 Behandeld door Verplichtingennummer V014110 Onderwerp: Verlening subsidie De Drentse Lelie G [...]</t>
  </si>
  <si>
    <t>DRE_verlening_subsidie_de_drentse_lelie.txt::Besluitvormend Orgaan</t>
  </si>
  <si>
    <t>Gedeputeerde Staten van Drenthe [15177:15208]</t>
  </si>
  <si>
    <t>[...] idiebeschikking wordt ook gepubliceerd op de website van de Europese Commissie. Namen van personen worden niet genoemd. ## Heeft u vragen? Als u vragen heeft, neem dan contact op met telefoonnummer Hoogachtend, Gedeputeerde Staten van Drenthe, ## , voorzitter , secretaris Bijlage(n): /coll. Afschrift aan: ## Bezwaar Bent u het niet eens met dit besluit, dan kunt u binnen zes weken na de dag van verzending ervan hiertegen een bezwaarschrift ind [...]</t>
  </si>
  <si>
    <t>DRE_verlening_subsidie_de_drentse_lelie.txt::Rechtshandeling</t>
  </si>
  <si>
    <t>&lt;!-- image --&gt;
Datum 3 december 2024
Bulkbesluit inzake de vergunningaanvragen voor de verwerking van gegevens van strafrechtelijke aard ten behoeve van derden van de verwerking 'Collectief Winkelverbod' door de in de bijlage genoemde winkeliers van het winkelgebied (Centrum Winterswijk) (2024-028600)
## 1 Inleiding: aanleiding vergunningaanvraag
1. Op 2 oktober 2024 heeft het Centrum voor Criminaliteitspreventie en Veiligheid (hierna: het CCV) ingevolge artikel 33, vierde lid, aanhef en onder c, van de Uitvoeringswet Algemene verordening gegevensbescherming (UAVG) - bij de Autoriteit Persoonsgegevens (AP) een bulkvergunningaanvraag ingediend namens de in de bijlage van het besluit genoemde winkeliers in winkelgebied Centrum Winterswijk. Ter onderbouwing van de aanvraag, heeft het CCV een protocol en een gegevensbeschermingseffectbeoordeling (ook wel data protection impact assessment/DPIA genoemd) bijgevoegd. Deze aanvraag is bij de AP bekend onder het zaaknummer 2024-028600 en onder de zaaknaam ' Bulkvergunningaanvraag winkelgebied Centrum Winterswijk'.
## Procesverloop
- -Op 2 oktober 2024 heeft de AP de bulkvergunningaanvraag voor 32 winkeliers inzake een Collectief Winkelverbod in winkelgebied Centrum Winterswijk van het CCV ontvangen.
- -Op 5 november 2024 heeft de AP geconstateerd dat de vergunningaanvraag incompleet was en de AP heeft op 5 november 2024 verzocht om de vergunningaanvraag aan te vullen.
- -Vervolgens heeft het CCV op 11 november 2024 de ontbrekende informatie en documenten aangeleverd.
2. Op grond van artikel 33, vierde lid, aanhef en onder c, UAVG mogen persoonsgegevens van strafrechtelijke aard ten behoeve van derden worden verwerkt indien de AP een vergunning voor de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3. In het navolgende concludeert de AP dat er een bulkvergunning voor de verwerking van gegevens van strafrechtelijke aard ten behoeve van derden kan worden verleend aan de individuele winkeliers, genoemd in de bijlage, omdat voldoende is aangetoond dat de verwerking noodzakelijk is met het oog op een zwaarwegend belang van derden en bij de uitvoering is voorzien in zodanige waarborgen dat de persoonlijke levenssfeer van de betrokkene niet onevenredig wordt geschaad. Het vorenstaande is uitgewerkt in het aangeleverde protocol en de DPIA.
&lt;!-- image --&gt;
Datum
3 december 2024
## Ons kenmerk
2024-028600
## 2 Procedureverloop
4. De AP heeft het Protocol (collectief) winkelverbod, versie april 2020 (hierna: modelprotocol collectief winkelverbod) en d e Data Protection Impact Assessment - Registratie en gebruik winkelverboden, versie april 2020 (hierna: model-DPIA collectief winkelverbod) beoordeeld. De AP is op basis van de hiervoor genoemde documenten en de nadere toelichting die daarop is gegeven door het CCV, tot de conclusie gekomen dat de AP in genoemde documenten geen strijdigheden ziet met de AVG en de UAVG. De AP heeft dit bevestigd in haar brief van 18 mei 2020, waarbij is aangegeven dat aan de nog af te geven vergunningen in elk geval een aantal specifieke aanvullende voorschriften worden verbonden (zie onder overwegingen 12, 13, 14, 15 en 16 van dit besluit). Na afstemming met het CCV (landelijk) heeft de AP per brief van 14 april 2022 aangegeven dat de geldigheidstermijn van het modelprotocol, model-DPIA collectief winkelverbod en alle bulkvergunningen loopt tot 31 maart 2027.
5. De lokale ondernemers hebben schriftelijk verklaard dat zij het modelprotocol collectief winkelverbod (april 2020) en model-DPIA collectief winkelverbod (april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het winkelverbod is om de criminele derving, agressie en geweld tegen te gaan binnen de detailhandel.
7. In eerste instantie krijgt iemand na een strafbaar feit een collectieve waarschuwing voor een jaar. Gedurende dit jaar kunnen de winkels nog steeds worden bezocht. Wanneer betrokkene in deze periode nogmaals in de fout gaat, wordt gedurende één of twee jaar de toegang ontzegd tot alle deelnemende ondernemingen in het betreffende winkelgebied, dan wel (wanneer sprake is van een winkelgebied met één eigenaar) tot het winkelcentrum zelf. Andere winkelgebieden en winkels van niet-deelnemende ondernemingen blijven dus toegankelijk. Uiteraard kan ook nog steeds gebruik worden gemaakt van bezorgdiensten, zodat niemand de mogelijkheid wordt ontzegd om aan de eerste levensbehoeften te komen.
8. Een individueel winkelverbod is bedoeld om een overlastgever uit een specifieke winkel te weren. Deze verboden worden (alleen zichtbaar voor de betreffende winkel en de beheerder) wel in het systeem opgenomen. Hiermee wordt het mogelijk om, wanneer blijkt dat het iemand betreft die in meerdere winkels overlast veroorzaakt, het individueel verbod te wijzigen in een collectief verbod.
9. Een collectief winkelverbod (waar eventueel een waarschuwing aan voorafgaat) levert een belangrijke bijdrage aan het tegengaan van criminele derving, agressie en geweld binnen de detailhandel. Om een collectief winkelverbod te handhaven is samenwerking tussen winkelondernemers, waarbij personen die zich schuldig maken aan overlast en/of strafbare feiten in een systeem worden geregistreerd, noodzakelijk.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&lt;!-- image --&gt;
## Datum
3 december 2024
## Ons kenmerk
2024-028600
Artikel 1 UAVG bepaalt: ' In deze wet en de daarop berustende bepalingen wordt verstaan onder: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Artikel 31 UAVG bepaalt: 'Onverminderd artikel 10 van de verordening mogen persoonsgegevens van strafrechtelijke aard alleen worden verwerkt voor zover dit krachtens de artikelen 32 en 33 is toegestaan.'
Artikel 33, vierde lid, aanhef en onder c, UAVG bepaalt: 'Persoonsgegevens van strafrechtelijke aard mogen ten behoeve van derden worden verwerkt:
## […]
c. indien de Autoriteit persoonsgegevens met inachtneming van het vijfde lid een vergunning voor de verwerking heeft verleend .'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Artikel 6, eerste lid, aanhef en onder f, AVG bepaalt: ' De verwerking is alleen rechtmatig indien en voor zover aan ten minste een van de onderstaande voorwaarden is voldaan: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betrokkene niet zwaarder wegen, rekening houdend met de redelijke verwachtingen van de betrokkene op basis van zijn verhouding met de verwerkingsverantwoordelijke. […] In elk geval is een zorgvuldige beoordeling geboden om te bepalen of sprake is van een gerechtvaardigd belang, alsook om te bepalen of een betrokkene op het tijdstip en in het kader van de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De verwerking van persoonsgegevens die strikt noodzakelijk is voor fraudevoorkoming is ook een gerechtvaardigd belang van de verwerkingsverantwoordelijke in kwestie. […]'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&lt;!-- image --&gt;
Datum
3 december 2024
## Ons kenmerk
2024-028600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verrichtte beoordeling.
12. Het conformeren aan het modelprotocol collectief winkelverbod en model-DPIA collectief winkelverbod (versie april 2020) leidt tot het op een AVG-conforme wijze bijhouden van enerzijds de opgelegde individuele winkelverboden (voor intern/eigen gebruik) en anderzijds het delen met derden van strafrechtelijke persoonsgegevens ten aanzien van opgelegde collectieve winkelverboden. In het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15. Daarnaast dienen voor het verkrijgen van een vergunning voor het voeren van en/of deelname aan de hiervoor genoemde registratie van personen aan wie een collectief winkelverbod is opgelegd, ook de aanvullende vergunningsvoorschriften (zie hieronder) in acht genomen te worden.
16. Zoals ook onder overweging 4 van dit besluit is aangegeven, zijn er aanvullende voorschriften verbonden aan deze vergunningen. De aanvullende voorschriften, zoals ook benoemd in de brief van de AP van 18 mei 2020 aan het CCV,  zijn, dat:
- a. de lokale ondernemers (gezamenlijke verwerkingsverantwoordelijken) jaarlijks - gecoördineerd door het CCV 1 - een evaluatie van het modelprotocol en model-DPIA 2 van het collectief winkelverbod dienen uit te voeren. De AP ontvangt op aanvraag een afschrift van deze evaluatie.
- b. in aansluiting op voorschrift b de verwerkingsverantwoordelijke bij deze jaarlijkse evaluatie in elk geval expliciet zal ingaan op:
7.  (de omvang van) de deelnemerslijst (ofwel: de lijst waarin de lokale ondernemers zijn opgesomd, die deelnemen aan het collectief winkelverbod in dat bepaalde winkelgebied). 3
8.  het aantal opgelegde individuele en collectieve winkelverboden en collectieve waarschuwingen.
1  Hierdoor kan een uniforme werkwijze voor alle bij het CCV aangesloten winkeliersverenigingen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3  Deze deelnemerslijst wordt door het CCV via een website actueel gehouden, zodat kenbaar is welke winkeliers deelnemen aan het collectief verbod in een bepaald gebied.
&lt;!-- image --&gt;
## Datum
3 december 2024
## Ons kenmerk
2024-028600
-  het aantal (wegens verlopen van de looptijd of om andere redenen) verwijderde individuele en collectieve verboden en collectieve waarschuwingen.
-  de meldingen van eventuele bijzondere incidenten waarbij de aard en de omvang daarvan wordt beschreven, of van andere vermeldingswaardige bijzonderheden.
- c. de vergunning is  - behoudens ingrijpende wetswijzigingen of wijzigingen van de gegevensverwerking - geldig tot 31 maart 2027.
- d. de verwerkingsverantwoordelijke (lokale ondernemer) diens gegevens volledig conform het modelprotocol en model-DPIA zal verwerken. Dat wil zeggen dat de lokale ondernemer het modelprotocol en model-DPIA ongewijzigd overneemt en de gegevens van de opgelegde collectieve winkelverboden precies, zoals in het modelprotocol en model-DPIA omschreven wordt, gaat verwerken.
## 6 Conclusie
17. De AP is van oordeel dat de in de bijlage genoemde winkeliers - door zich te conformeren aan de reeds door de AP beoordeelde modelprotocol en model-DPIA (versie april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Den Haag, 3 december 2024
Autoriteit Persoonsgegevens, Overeenkomstig het door de Autoriteit Persoonsgegevens genomen besluit,
ir. N.G. de Jong
Directeur Systeemtoezicht, Beveiliging en Technologie Datum
&lt;!-- image --&gt;
3 december 2024
## Ons kenmerk
2024-028600
## Bijlage: 32 deelnemende winkeliers - winkelgebied Centrum Winterswijk
| Zaaknummer     | Naam aanvrager, eigenaar van:   | Adresgegevens:                          |
|----------------|---------------------------------|-----------------------------------------|
| 2024-028600.1  | Bijzonder Gemaakt               | Misterstraat 91, 7101 ET, Winterswijk   |
| 2024-028600.2  | Blokker                         | Markt 13, 7101 DA, Winterswijk          |
| 2024-028600.3  | Boekhandel Kramer               | Wooldstraat 24, 7101 NR, Winterswijk    |
| 2024-028600.4  | Bril-In-Mode                    | Markt 12, 7101 DB, Winterswijk          |
| 2024-028600.5  | Bruna (Monell B.V.)             | Misterstraat 21-1, 7101 EP, Winterswijk |
| 2024-028600.6  | DA + Mooi                       | Ratumsestraat 29, 7101 MS, Winterswijk  |
| 2024-028600.7  | De Duif mannenmode              | Wooldstraat 32, 7101 NS, Winterswijk    |
| 2024-028600.8  | De Duif Mode                    | Wooldstraat 12, 7101 NP, Winterswijk    |
| 2024-028600.9  | EVA Ondermode                   | Meddosestraat 25, 7101 CT, Winterswijk  |
| 2024-028600.10 | Ferro Shoes                     | Misterstraat 42-1, 7101 EX, Winterswijk |
| 2024-028600.11 | Fotostudio Pilou Media          | Torenstraat 3, 7101 DC, Winterswijk     |
&lt;!-- image --&gt;
Datum
3 december 2024
## Ons kenmerk
2024-028600
| 2024-028600.12   | G&amp;W                     | Wooldstraat 28, 7101 NR, Winterswijk     |
|------------------|-------------------------|------------------------------------------|
| 2024-028600.13   | H&amp;M                     | Wooldstraat 33-35, 7101 NM, Winterswijk  |
| 2024-028600.14   | Hartje Winterswijk      | Ratumsestraat 24, 7101 MV, Winterswijk   |
| 2024-028600.15   | Hema Winterswijk        | Misterstraat 17, 7101 EN, Winterswijk    |
| 2024-028600.16   | Het Duifje              | Misterstraat 6, 7101 EW, Winterswijk     |
| 2024-028600.17   | Hobbyhuis               | Ratumsestraat 53, 7101 MT, Winterswijk   |
| 2024-028600.18   | Janfleur Winterswijk BV | Morsestraat 30, 7101 JL, Winterswijk     |
| 2024-028600.19   | Medikamente Die Grenze  | Spoorstraat 14, 7101 GT, Winterswijk     |
| 2024-028600.20   | Milikan Juwelier        | Wooldstraat 22, 7101 NR, Winterswijk     |
| 2024-028600.21   | Mooiman                 | Ratumsestraat 6, 7101 MV, Winterswijk    |
| 2024-028600.22   | Oonk Speciaalzaak       | Misterstraat 47, 7101 ES, Winterswijk    |
| 2024-028600.23   | Oxener Schoenen         | Misterstraat 29-31, 7101 ER, Winterswijk |
| 2024-028600.24   | Pianohandel Westera     | Meddosestraat 51, 7101 CT, Winterswijk   |
&lt;!-- image --&gt;
Datum
3 december 2024
## Ons kenmerk
2024-028600
| 2024-028600.25   | Radio Obbink BV                         | Wooldstraat 57, 7101 NN, Winterswijk   |
|------------------|-----------------------------------------|----------------------------------------|
| 2024-028600.26   | Rouwmaat-Combi Schoenmakerij &amp; Sleutels | Misterstraat 2b, 7101 WN, Winterswijk  |
| 2024-028600.27   | Sissys-sieraden                         | Misterstraat 67, 7101 ET, Winterswijk  |
| 2024-028600.28   | Skyline fashion                         | Misterstraat 51, 7101 ES, Winterswijk  |
| 2024-028600.29   | Sport 2000 Leugemors                    | Misterstraat 11, 7101 EN, Winterswijk  |
| 2024-028600.30   | S-ter!                                  | Misterstraat 45, 7101 ES, Winterswijk  |
| 2024-028600.31   | Timmerhuis Speelgoed b.v.               | Misterstraat 60, 7101 EX, Winterswijk  |
| 2024-028600.32   | Timmermans &amp; Mulder                     | Misterstraat 49, 7101 ES, Winterswijk  |</t>
  </si>
  <si>
    <t>verlenen [647:655]</t>
  </si>
  <si>
    <t>[...] anvraag. U vraagt een subsidie aan van € 758.260,00. In deze brief leest u ons besluit. ## U ontvangt een subsidie van 91,6% van de subsidiabele kosten tot een maximum van € 750.000,00 Dit is de subsidie die wij u verlenen. U ontvangt de subsidie voor de uitvoering van het project De Drentse Lelie. Met dit project wilt u samen met 19 Drentse lelietelers de impact van de Drentse lelieteelt op het milieu en de omgeving aan het einde van 202 [...]</t>
  </si>
  <si>
    <t>DRE_verlening_subsidie_de_drentse_lelie.txt::Rechtsobject</t>
  </si>
  <si>
    <t>subsidie [628:637]</t>
  </si>
  <si>
    <t>subsidie [628:636]</t>
  </si>
  <si>
    <t>[...] en wij uw subsidieaanvraag. U vraagt een subsidie aan van € 758.260,00. In deze brief leest u ons besluit. ## U ontvangt een subsidie van 91,6% van de subsidiabele kosten tot een maximum van € 750.000,00 Dit is de subsidie die wij u verlenen. U ontvangt de subsidie voor de uitvoering van het project De Drentse Lelie. Met dit project wilt u samen met 19 Drentse lelietelers de impact van de Drentse lelieteelt op het milieu en de omgeving aan [...]</t>
  </si>
  <si>
    <t>DRE_verlening_subsidie_drents_onderzoek_laaggeleterden_fase_2.txt::Ontvanger</t>
  </si>
  <si>
    <t>DRE_verlening_subsidie_drents_onderzoek_laaggeleterden_fase_2.txt</t>
  </si>
  <si>
    <t>Maastricht University School of Business and Economics</t>
  </si>
  <si>
    <t>maastricht university school of business and economics</t>
  </si>
  <si>
    <t>Maastricht University School of Business and Economics [11:65]</t>
  </si>
  <si>
    <t>## Aan: Maastricht University School of Business and Economics t.a.v. Tongersestraat 53 6211 LM MAASTRICHT 6211 LM53 Drents onderzoek laaggeletterden, fase 2 Tongersestraat 53 6211 LM 202000804-00875292 6211 LM MAASTRICHT Drents onderzoek laaggeletterden, [...]</t>
  </si>
  <si>
    <t>DRE_verlening_subsidie_drents_onderzoek_laaggeleterden_fase_2.txt::Besluitvormend Orgaan</t>
  </si>
  <si>
    <t>Gedeputeerde Staten van Drenthe [16436:16467]</t>
  </si>
  <si>
    <t>[...] rmatie Wij verzoeken u alle correspondentie betreffende deze zaak te sturen naar post@drenthe.nl onder vermelding van zaaknummer 202000804. Mocht u nog vragen hebben, dan kunt u contact opnemen met Hoogachtend, Gedeputeerde Staten van Drenthe, namens dezen, &lt;!-- image --&gt; i.o. ir. R. Bakker, Teammanager Subsidies en Inkoop ## Bezwaar Bent u het niet eens met dit besluit, dan kunt u binnen zes weken na de dag van verzending ervan hiertegen een bez [...]</t>
  </si>
  <si>
    <t>DRE_verlening_subsidie_drents_onderzoek_laaggeleterden_fase_2.txt::Rechtshandeling</t>
  </si>
  <si>
    <t>&lt;!-- image --&gt;
Datum 11 februari 2025
Bulkbesluit inzake de vergunningaanvragen voor de verwerking van gegevens van strafrechtelijke aard ten behoeve van derden van de verwerking 'Collectief Winkelverbod' door de in de bijlage genoemde winkeliers van het winkelgebied Centrum Schijndel 2024-037030
## 1 Inleiding: aanleiding vergunningaanvraag
1. Op 24 december 2024 heeft het Centrum voor Criminaliteitspreventie en Veiligheid (hierna: het CCV) - ingevolge artikel 33, vierde lid, aanhef en onder c, van de Uitvoeringswet Algemene verordening gegevensbescherming (UAVG) - bij de Autoriteit Persoonsgegevens (AP) een bulkvergunningaanvraag ingediend namens de in de bijlage van het besluit genoemde winkeliers in het winkelgebied Centrum Schijndel. Ter onderbouwing van de aanvraag, heeft het CCV een protocol en een gegevensbeschermingseffectbeoordeling (ook wel data protection impact assessment/DPIA genoemd) bijgevoegd. Deze aanvraag is bij de AP bekend onder het zaaknummer 2024-037030 en onder de zaaknaam 'Bulkvergunningaanvraag winkelgebied Centrum Schijndel'.
## Procesverloop
- -Op 24 december 2024 heeft de AP de bulkvergunningaanvraag voor 37 winkeliers inzake een Collectief Winkelverbod in winkelgebied Centrum Schijndel van het CCV ontvangen.
- -Op 27 januari 2025 heeft de AP geconstateerd dat de vergunningaanvraag incompleet was en de AP heeft op 27 januari 2025 verzocht om de vergunningaanvraag aan te vullen.
- -Vervolgens heeft het CCV op 29 januari 2025 de ontbrekende informatie en documenten aangeleverd.
2. Op grond van artikel 33, vierde lid, aanhef en onder c, UAVG mogen persoonsgegevens van strafrechtelijke aard ten behoeve van derden worden verwerkt indien de AP een vergunning voor de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3. In het navolgende concludeert de AP dat er een bulkvergunning voor de verwerking van gegevens van strafrechtelijke aard ten behoeve van derden kan worden verleend aan de individuele winkeliers, genoemd in de bijlage, omdat voldoende is aangetoond dat de verwerking noodzakelijk is met het oog op een zwaarwegend belang van derden en bij de uitvoering is voorzien in zodanige waarborgen dat de persoonlijke levenssfeer van de betrokkene niet onevenredig wordt geschaad. Het vorenstaande is uitgewerkt in het aangeleverde protocol en de DPIA.
&lt;!-- image --&gt;
Datum
11 februari 2025
## 2 Procedureverloop
4. De AP heeft het Protocol (collectief) winkelverbod, versie april 2020 (hierna: modelprotocol collectief winkelverbod) en d e Data Protection Impact Assessment - Registratie en gebruik winkelverboden, versie april 2020 (hierna: model-DPIA collectief winkelverbod) beoordeeld. De AP is op basis van de hiervoor genoemde documenten en de nadere toelichting die daarop is gegeven door het CCV, tot de conclusie gekomen dat de AP in genoemde documenten geen strijdigheden ziet met de AVG en de UAVG. De AP heeft dit bevestigd in haar brief van 18 mei 2020, waarbij is aangegeven dat aan de nog af te geven vergunningen in elk geval een aantal specifieke aanvullende voorschriften worden verbonden (zie onder overwegingen 12, 13, 14, 15 en 16 van dit besluit). Na afstemming met het CCV (landelijk) heeft de AP per brief van 14 april 2022 aangegeven dat de geldigheidstermijn van het modelprotocol, model-DPIA collectief winkelverbod en alle bulkvergunningen loopt tot 31 maart 2027.
5. De lokale ondernemers hebben schriftelijk verklaard dat zij het modelprotocol collectief winkelverbod (april 2020) en model-DPIA collectief winkelverbod (april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het winkelverbod is om de criminele derving, agressie en geweld tegen te gaan binnen de detailhandel.
7. In eerste instantie krijgt iemand na een strafbaar feit een collectieve waarschuwing voor een jaar. Gedurende dit jaar kunnen de winkels nog steeds worden bezocht. Wanneer betrokkene in deze periode nogmaals in de fout gaat, wordt gedurende één of twee jaar de toegang ontzegd tot alle deelnemende ondernemingen in het betreffende winkelgebied, dan wel (wanneer sprake is van een winkelgebied met één eigenaar) tot het winkelcentrum zelf. Andere winkelgebieden en winkels van niet-deelnemende ondernemingen blijven dus toegankelijk. Uiteraard kan ook nog steeds gebruik worden gemaakt van bezorgdiensten, zodat niemand de mogelijkheid wordt ontzegd om aan de eerste levensbehoeften te komen.
8. Een individueel winkelverbod is bedoeld om een overlastgever uit een specifieke winkel te weren. Deze verboden worden (alleen zichtbaar voor de betreffende winkel en de beheerder) wel in het systeem opgenomen. Hiermee wordt het mogelijk om, wanneer blijkt dat het iemand betreft die in meerdere winkels overlast veroorzaakt, het individueel verbod te wijzigen in een collectief verbod.
9. Een collectief winkelverbod (waar eventueel een waarschuwing aan voorafgaat) levert een belangrijke bijdrage aan het tegengaan van criminele derving, agressie en geweld binnen de detailhandel. Om een collectief winkelverbod te handhaven is samenwerking tussen winkelondernemers, waarbij personen die zich schuldig maken aan overlast en/of strafbare feiten in een systeem worden geregistreerd, noodzakelijk.
## Ons kenmerk
2024-037030
&lt;!-- image --&gt;
Datum 11 februari 2025
## Ons kenmerk
2024-037030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Artikel 1 UAVG bepaalt: ' In deze wet en de daarop berustende bepalingen wordt verstaan onder: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Artikel 31 UAVG bepaalt: 'Onverminderd artikel 10 van de verordening mogen persoonsgegevens van strafrechtelijke aard alleen worden verwerkt voor zover dit krachtens de artikelen 32 en 33 is toegestaan.'
Artikel 33, vierde lid, aanhef en onder c, UAVG bepaalt: 'Persoonsgegevens van strafrechtelijke aard mogen ten behoeve van derden worden verwerkt:
[…]
c. indien de Autoriteit persoonsgegevens met inachtneming van het vijfde lid een vergunning voor de verwerking heeft verleend .'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Artikel 6, eerste lid, aanhef en onder f, AVG bepaalt: '
ten minste een van de onderstaande voorwaarden is voldaan: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betrokkene niet zwaarder wegen, rekening houdend met de redelijke verwachtingen van de betrokkene op basis van zijn verhouding met de verwerkingsverantwoordelijke. […] In elk geval is een zorgvuldige beoordeling geboden om te bepalen of sprake is van een gerechtvaardigd belang, alsook om te bepalen of een betrokkene op het tijdstip en in het kader van de
De verwerking is alleen rechtmatig indien en voor zover aan
&lt;!-- image --&gt;
## Datum
11 februari 2025
## Ons kenmerk
2024-037030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De verwerking van persoonsgegevens die strikt noodzakelijk is voor fraudevoorkoming is ook een gerechtvaardigd belang van de verwerkingsverantwoordelijke in kwestie. […]'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verrichtte beoordeling.
12. Het conformeren aan het modelprotocol collectief winkelverbod en model-DPIA collectief winkelverbod (versie april 2020) leidt tot het op een AVG-conforme wijze bijhouden van enerzijds de opgelegde individuele winkelverboden (voor intern/eigen gebruik) en anderzijds het delen met derden van strafrechtelijke persoonsgegevens ten aanzien van opgelegde collectieve winkelverboden. In het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15. Daarnaast dienen voor het verkrijgen van een vergunning voor het voeren van en/of deelname aan de hiervoor genoemde registratie van personen aan wie een collectief winkelverbod is opgelegd, ook de aanvullende vergunningsvoorschriften (zie hieronder) in acht genomen te worden.
&lt;!-- image --&gt;
Datum
11 februari 2025
## Ons kenmerk
2024-037030
16. Zoals ook onder overweging 4 van dit besluit is aangegeven, zijn er aanvullende voorschriften verbonden aan deze vergunningen. De aanvullende voorschriften, zoals ook benoemd in de brief van de AP van 18 mei 2020 aan het CCV,  zijn, dat:
- a. de lokale ondernemers (gezamenlijke verwerkingsverantwoordelijken) jaarlijks - gecoördineerd door het CCV 1 - een evaluatie van het modelprotocol en model-DPIA 2 van het collectief winkelverbod dienen uit te voeren. De AP ontvangt op aanvraag een afschrift van deze evaluatie.
- b. in aansluiting op voorschrift b de verwerkingsverantwoordelijke bij deze jaarlijkse evaluatie in elk geval expliciet zal ingaan op:
3.  (de omvang van) de deelnemerslijst (ofwel: de lijst waarin de lokale ondernemers zijn opgesomd, die deelnemen aan het collectief winkelverbod in dat bepaalde winkelgebied). 3
4.  het aantal opgelegde individuele en collectieve winkelverboden en collectieve waarschuwingen.
5.  het aantal (wegens verlopen van de looptijd of om andere redenen) verwijderde individuele en collectieve verboden en collectieve waarschuwingen.
6.  de meldingen van eventuele bijzondere incidenten waarbij de aard en de omvang daarvan wordt beschreven, of van andere vermeldingswaardige bijzonderheden.
- c. de vergunning is  - behoudens ingrijpende wetswijzigingen of wijzigingen van de gegevensverwerking - geldig tot 31 maart 2027.
- d. de verwerkingsverantwoordelijke (lokale ondernemer) diens gegevens volledig conform het modelprotocol en model-DPIA zal verwerken. Dat wil zeggen dat de lokale ondernemer het modelprotocol en model-DPIA ongewijzigd overneemt en de gegevens van de opgelegde collectieve winkelverboden precies, zoals in het modelprotocol en model-DPIA omschreven wordt, gaat verwerken.
## 6 Conclusie
17. De AP is van oordeel dat de in de bijlage genoemde winkeliers - door zich te conformeren aan de reeds door de AP beoordeelde modelprotocol en model-DPIA (versie april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1  Hierdoor kan een uniforme werkwijze voor alle bij het CCV aangesloten winkeliersverenigingen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3  Deze deelnemerslijst wordt door het CCV via een website actueel gehouden, zodat kenbaar is welke winkeliers deelnemen aan het collectief verbod in een bepaald gebied.
&lt;!-- image --&gt;
Datum 11 februari 2025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 Den Haag, 11 februari 2025
Autoriteit Persoonsgegevens,
Overeenkomstig het door de Autoriteit Persoonsgegevens genomen besluit,
ir. N.G. de Jong Directeur Systeemtoezicht, Beveiliging en Technologie
## Ons kenmerk
2024-037030
&lt;!-- image --&gt;
Datum
11 februari 2025
## Ons kenmerk
2024-037030
## Bijlage: 37 deelnemende winkeliers - winkelgebied Centrum Schijndel
| Zaaknummer     | Naam aanvrager, eigenaar van:   | Adresgegevens:                                   |
|----------------|---------------------------------|--------------------------------------------------|
| 2024-037030.1  | A.S Watson Group Kruidvat       | Hoofdstraat 99A, 5481 AC, Schijndel              |
| 2024-037030.2  | Bij Juud                        | Hoofdstraat 65A, 5481 AB, Schijndel              |
| 2024-037030.3  | Bril en Zo                      | Hoofdstraat 148, 5481 AJ, Schijndel              |
| 2024-037030.4  | Bruna                           | Hoofdstraat 142, 5481 AJ, Schijndel              |
| 2024-037030.5  | Classicstyle                    | Hoofdstraat 140, 5481 AJ, Schijndel              |
| 2024-037030.6  | De Binderij                     | Hoofdstraat 158B, 5481 AJ, Schijndel             |
| 2024-037030.7  | Durlinger Schoenen              | Markt 25, 5482 NE, Schijndel                     |
| 2024-037030.8  | Electro World                   | Hoofdstraat 71A, 5481 AB, Schijndel              |
| 2024-037030.9  | Etos Schijndel                  | Hoofdstraat 136, 5481 AJ, Schijndel              |
| 2024-037030.10 | Frappant Home Fashion           | Hoofdstraat 85, 5481 AC, Schijndel               |
| 2024-037030.11 | Het en Heads                    | Hoofdstraat 178, 5481 AK, Schijndel              |
| 2024-037030.12 | IT-OK                           | Vicaris van Alphenstraat 10B, 5482 HL, Schijndel |
&lt;!-- image --&gt;
Datum
11 februari 2025
## Ons kenmerk
2024-037030
| 2024-037030.13   | Jac Kemps tweewielers           | Hoofdstraat 188, 5481 AK, Schijndel    |
|------------------|---------------------------------|----------------------------------------|
| 2024-037030.14   | Jola Mode                       | Hoofdstraat 117A, 5482 AD, Schijndel   |
| 2024-037030.15   | Jumbo Schijndel Sint Jorisplein | Sint Jorisplein 4 , 5481 AS, Schijndel |
| 2024-037030.16   | KIBA Fashion stores BV          | Hoofdstraat 87B, 5481 AC, Schijndel    |
| 2024-037030.17   | Klerkx schoenen                 | Hoofdstraat 107, 5481 AD, Schijndel    |
| 2024-037030.18   | Kopjes                          | Hoofdstraat 106, 5481 AJ, Schijndel    |
| 2024-037030.19   | La Nouk damesmode               | Hoofdstraat 132, 5481 AJ, Schijndel    |
| 2024-037030.20   | Optiek Jacques Eyecare          | Hoofdstraat 149, 5481 AE, Schijndel    |
| 2024-037030.21   | PhoneStudio                     | Hoofdstraat 69C, 5481 AB, Schijndel    |
| 2024-037030.22   | Plus Bertrams                   | Hoofdstraat 121, 5481 AO, Schijndel    |
| 2024-037030.23   | Roring                          | Markt 1A, 5482 NE, Schijndel           |
| 2024-037030.24   | Scapino                         | Hoofdstraat 89, 5481 AC, Schijndel     |
| 2024-037030.25   | Schijndels warenhuis bv (HEMA)  | Hoofdstraat 93, 5481 AC, Schijndel     |
&lt;!-- image --&gt;
Datum
11 februari 2025
## Ons kenmerk
2024-037030
| 2024-037030.26   | Schijvens mode                          | Hoofdstraat 144, 5481 AJ, Schijndel   |
|------------------|-----------------------------------------|---------------------------------------|
| 2024-037030.27   | Shoeby Schijndel                        | Hoofdstraat 146, 5481 AJ, Schijndel   |
| 2024-037030.28   | Shoeshiners Ambachtelijke Schoenmakerij | Hoofdstraat 77, 5481 AB, Schijndel    |
| 2024-037030.29   | Steengoedkado bv                        | Hoofdstraat 138, 5481 AJ, Schijndel   |
| 2024-037030.30   | Sylt Mode                               | Markt 7, 5482 NE, Schijndel           |
| 2024-037030.31   | Tausch                                  | Hoofdstraat 87, 5481 AC, Schijndel    |
| 2024-037030.32   | The Cave Concepts                       | Hoofdstraat 73A, 5481 AB, Schijndel   |
| 2024-037030.33   | Tobacconist Jan van Roessel             | Hoofdstraat 95, 5481 AC, Schijndel    |
| 2024-037030.34   | Ton Kanters                             | Hoofdstraat 69B, 5481 AB, Schijndel   |
| 2024-037030.35   | V.o.f. Barten de Kaaskoning             | Hoofdstraat 100, 5481 AJ, Schijndel   |
| 2024-037030.36   | Van Lier                                | Markt 10, 5482 NE, Schijndel          |
| 2024-037030.37   | Vousten Mode                            | Hoofdstraat 81, 5481 AC, Schijndel    |</t>
  </si>
  <si>
    <t>verlenen [1864:1873]</t>
  </si>
  <si>
    <t>verlenen [1864:1872]</t>
  </si>
  <si>
    <t>[...] mpactmeting te realiseren en door het monitoren van reeds in gang gezette beleidsinitiatieven en het borgen van kennisdeling. ## Besluit Wij hebben besloten u een incidentele subsidie van maximaal € 75.000,00 , te verlenen op grond van artikel 1.6, eerste lid, onder c, van de Algemene Subsidieverordening provincie Drenthe 2017 (Asv 2017). ## Voorschot Wij hebben besloten u een voorschot te verstrekken van € 60.000,00 , zijnde 80% van [...]</t>
  </si>
  <si>
    <t>DRE_verlening_subsidie_drents_onderzoek_laaggeleterden_fase_2.txt::Rechtsobject</t>
  </si>
  <si>
    <t>subsidie [1825:1834]</t>
  </si>
  <si>
    <t>subsidie [1825:1833]</t>
  </si>
  <si>
    <t>[...] urzame inbedding van de monitor en de impactmeting te realiseren en door het monitoren van reeds in gang gezette beleidsinitiatieven en het borgen van kennisdeling. ## Besluit Wij hebben besloten u een incidentele subsidie van maximaal € 75.000,00 , te verlenen op grond van artikel 1.6, eerste lid, onder c, van de Algemene Subsidieverordening provincie Drenthe 2017 (Asv 2017). ## Voorschot Wij hebben besloten u een voorschot te verst [...]</t>
  </si>
  <si>
    <t>DRE_verlening_subsidie_fase_1_masterplan_veenpark_geredigeerd.txt::Ontvanger</t>
  </si>
  <si>
    <t>DRE_verlening_subsidie_fase_1_masterplan_veenpark_geredigeerd.txt</t>
  </si>
  <si>
    <t>Aan: Stichting Veenomenaal Veenpark t.a.v. het bestuur Berkenrode 4 7884 TR BARGER-COMPASCUUM ## 7884 TR4 Masterplan Veenpark Berkenrode 4 7884 TR 202100596-00926792 7884 TR BARGER-COMPASCUUM Masterplan Veenpark Assen, 22 april 2021 Ons ke [...]</t>
  </si>
  <si>
    <t>DRE_verlening_subsidie_fase_1_masterplan_veenpark_geredigeerd.txt::Besluitvormend Orgaan</t>
  </si>
  <si>
    <t>Gedeputeerde Staten van Drenthe [9159:9190]</t>
  </si>
  <si>
    <t>[...] steun onrechtmatig is en onverenigbaar is verklaard met de interne markt. ## Nadere informatie &lt;!-- image --&gt; &lt;!-- image --&gt; Mocht u nog vragen hebben, dan kunt u contact opnemen met . Hoogachtend, Gedeputeerde Staten van Drenthe, namens dezen, ir. R. Bakker, Teammanager Subsidies en Inkoop ## Bezwaar Bent u het niet eens met dit besluit, dan kunt u binnen zes weken na de dag van verzending ervan hiertegen een bezwaarschrift indienen bi [...]</t>
  </si>
  <si>
    <t>DRE_verlening_subsidie_fase_1_masterplan_veenpark_geredigeerd.txt::Rechtshandeling</t>
  </si>
  <si>
    <t>&lt;!-- image --&gt;
Datum 19 juni 2025
Ons kenmerk
2025-010871
Bulkbesluit inzake de vergunningaanvragen voor de verwerking van gegevens van strafrechtelijke aard ten behoeve van derden van de verwerking 'Collectieve Horecaontzegging' door de in de bijlage genoemde horecaondernemers van het horecagebied gemeente Oss 2025-010871
## 1 Inleiding: aanleiding vergunningaanvraag
1. Op 4 april 2025 heeft Koninklijke Horeca Nederland (hierna: KHN) - ingevolge artikel 33, vierde lid, aanhef en onder c, van de Uitvoeringswet Algemene verordening gegevensbescherming (UAVG) - bij de Autoriteit Persoonsgegevens (AP) een bulkvergunningaanvraag ingediend namens de in de bijlage van het besluit genoemde horecaondernemers in het horecagebied gemeente Oss. Ter onderbouwing van de aanvraag, heeft KHN een protocol en een gegevensbeschermingseffectbeoordeling (ook wel data protection impact assessment/DPIA genoemd) bijgevoegd. Bij deze aanvraag zijn ook de bijlagen van het protocol meegestuurd. De bijlagen zijn bij de eindbeoordeling op 24 augustus 2020 van het modelprotocol niet beoordeeld/goedgekeurd. Om die reden heeft de AP de bijlagen nu ook niet meegenomen in de beoordeling. Goedkeuring van het thans voorliggende besluit betekent dus niet dat de bijlagen daarmee zijn goedgekeurd. Het is de verantwoordelijkheid van de verwerkingsverantwoordelijke - in nauwe samenspraak met KHN-landelijk - om ervoor zorg te dragen dat de bijlagen niet strijdig zijn met het protocol, maar nadere uitwerkingen van het protocol vormen. En dat deze bijlagen vanzelfsprekend AVG-conform zijn. Deze aanvraag is bij de AP bekend onder het zaaknummer 2025-010871 en onder de zaaknaam 'Bulkvergunningaanvraag horecagebied gemeente Oss'.
## Procesverloop
- -Op 4 april 2025 heeft de AP de bulkvergunningaanvraag voor 14 horecaondernemers inzake een Collectieve Horecaontzegging in horecagebied gemeente Oss van KHN ontvangen.
- -Op 29 april 2025 heeft de AP geconstateerd dat de bulkvergunningaanvraag incompleet was en de AP heeft KHN op 29 april 2025 verzocht om de bulkvergunningaanvraag aan te vullen.
- -Op 29 april 2025 heeft KHN de ontbrekende informatie en documenten aangeleverd.
- -Op 30 april 2025 heeft de AP opnieuw geconstateerd dat de bulkvergunningaanvraag incompleet was en de AP heeft KHN op 30 april 2025 verzocht om de bulkvergunningaanvraag aan te vullen.
- -Op 3 mei 2025 heeft KHN de ontbrekende informatie en documenten aangeleverd.
- -Op 14 mei 2025 heeft de AP opnieuw geconstateerd dat de bulkvergunningaanvraag incompleet was en de AP heeft KHN op 14 mei 2025 verzocht om de bulkvergunningaanvraag aan te vullen.
- -Op 24 mei 2025 heeft KHN de ontbrekende informatie en documenten aangeleverd.
- -Op 24 mei 2025 heeft de AP van KHN vernomen dat Feesterij 't Vunderke en Quisine Oss niet langer deelnemen aan de bulkvergunningaanvraag.
&lt;!-- image --&gt;
## Datum
19 juni 2025
## Ons kenmerk
2025-010871
2. Op grond van artikel 33, vierde lid, aanhef en onder c, UAVG mogen persoonsgegevens van strafrechtelijke aard ten behoeve van derden worden verwerkt indien de AP een vergunning voor de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3. In het navolgende concludeert de AP dat er een bulkvergunning voor de verwerking van gegevens van strafrechtelijke aard ten behoeve van derden kan worden verleend aan de individuele horecaondernemers, genoemd in de bijlage, omdat voldoende is aangetoond dat de verwerking noodzakelijk is met het oog op een zwaarwegend belang van derden en bij de uitvoering is voorzien in zodanige waarborgen dat de persoonlijke levenssfeer van de betrokkene niet onevenredig wordt geschaad. Het vorenstaande is uitgewerkt in het aangeleverde protocol en de DPIA.
## 2 Procedureverloop
4. De AP heeft het Protocol (collectieve) horecaontzegging, versie augustus 2020 (hierna: modelprotocol collectieve horecaontzegging) en d e Data Protection Impact Assessment - Registratie en gebruik horecaontzeggingen, versie augustus 2020 (hierna: model-DPIA collectieve horecaontzegging) beoordeeld. De AP is op basis van de hiervoor genoemde documenten en de nadere toelichting die daarop is gegeven door KHN, tot de conclusie gekomen dat de AP in genoemde documenten geen strijdigheden ziet met de AVG en de UAVG. De AP heeft dit bevestigd in haar brief van 24 augustus 2020, waarbij is aangegeven dat aan de nog af te geven vergunningen in elk geval een aantal specifieke aanvullende voorschriften worden verbonden (zie onder overwegingen 12, 13, 14, 15 en 16 van dit besluit). Na afstemming met KHN (landelijk) heeft de AP per brief van 14 april 2022 aangegeven dat de geldigheidstermijn van het modelprotocol, model-DPIA collectieve horecaontzeggingen en alle bulkvergunningen loopt tot 21 april 2027.
5. De lokale ondernemers hebben schriftelijk verklaard dat zij het modelprotocol collectieve horecaontzegging (augustus 2020) en model-DPIA collectieve horecaontzegging (augustus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de horecaontzegging is om in de aangesloten horecabedrijven (inclusief de daarbij behorende erven/terrassen):
- de veiligheid van horecaondernemers, hun medewerkers en hun gasten te vergroten;
- overlast gevend gedrag te reduceren;
- criminaliteit te voorkomen en tegen te gaan.
7. Een verwerkingsverantwoordelijke kan een Individuele Horeca Ontzegging (IHO) uitreiken wanneer een persoon een of meerdere van de volgende gedragingen zoals vermeld in de artikel 4.1.1 tot en met 4.1.7 van het protocol in zijn horecabedrijf en/of op de daarbij behorende erven/terrassen vertoont. Als binnen een periode van zes maanden een tweede IHO ten aanzien van dezelfde betrokkene wordt ingevoerd in het registratiesysteem dan wordt de tweede IHO omgezet in een CHO van zes maanden. De subverwerker informeert de betrokkene hierover volgens het formulier 'Aanzegging CHO'. De subverwerker informeert
&lt;!-- image --&gt;
## Datum
19 juni 2025
## Ons kenmerk 2025-010871
de verwerkingsverantwoordelijke die de tweede IHO heeft uitgereikt over de omzetting van de tweede IHO in een CHO.
8. Een gast die zich niet houdt aan de huisregels en/of strafbare feiten pleegt kan worden gesommeerd het bedrijf te verlaten en een ondernemer kan (naast het doen van aangifte) ervoor kiezen om de betrokkene voor een bepaalde tijd de toegang tot het bedrijf te ontzeggen. Doet een ondernemer dat alleen voor zijn eigen bedrijf/bedrijven, dan is er sprake van een Individuele Horeca Ontzegging (IHO). Een IHO mag niet langer dan zes maanden duren.
9. Een verwerkingsverantwoordelijke kan een CHO uitreiken wanneer een persoon zich aan een of meerdere van de in artikel 4.2.1 van het protocol genoemde gedragingen in het horecabedrijf van de verwerkingsverantwoordelijke en/of op de daarbij behorende erven/terrassen schuldig maakt. Bij de collectieve horecaontzegging slaan de gezamenlijke verwerkingsverantwoordelijken de handen ineen om gezamenlijk overlastgevers uit hun bedrijven te weren. Als een verwerkingsverantwoordelijke aan het Protocol CHO de betrokkene een CHO heeft opgelegd, dan geldt deze ontzegging ook meteen voor alle andere gezamenlijke verwerkingsverantwoordelijken. Met één ontzegging wordt een overlastgever dus meteen geweerd uit alle aangesloten bedrijven, zonder dat de persoon in kwestie overlast heeft veroorzaakt in die andere bedrijven.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Artikel 1 UAVG bepaalt: ' In deze wet en de daarop berustende bepalingen wordt verstaan onder: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Artikel 31 UAVG bepaalt: 'Onverminderd artikel 10 van de verordening mogen persoonsgegevens van strafrechtelijke aard alleen worden verwerkt voor zover dit krachtens de artikelen 32 en 33 is toegestaan.'
Artikel 33, vierde lid, aanhef en onder c, UAVG bepaalt: 'Persoonsgegevens van strafrechtelijke aard mogen ten behoeve van derden worden verwerkt:
## […]
c. indien de Autoriteit persoonsgegevens met inachtneming van het vijfde lid een vergunning voor de verwerking heeft verleend .'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Artikel 6, eerste lid, aanhef en onder f, AVG bepaalt: ' De verwerking is alleen rechtmatig indien en voor zover aan ten minste een van de onderstaande voorwaarden is voldaan:
&lt;!-- image --&gt;
## Datum
19 juni 2025
## Ons kenmerk
2025-010871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betrokkene niet zwaarder wegen, rekening houdend met de redelijke verwachtingen van de betrokkene op basis van zijn verhouding met de verwerkingsverantwoordelijke. […] In elk geval is een zorgvuldige beoordeling geboden om te bepalen of sprake is van een gerechtvaardigd belang, alsook om te bepalen of een betrokkene op het tijdstip en in het kader van de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De verwerking van persoonsgegevens die strikt noodzakelijk is voor fraudevoorkoming is ook een gerechtvaardigd belang van de verwerkingsverantwoordelijke in kwestie. […]'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verrichte beoordeling.
12. Het conformeren aan het modelprotocol collectieve horecaontzegging en model-DPIA collectieve horecaontzegging (versie augustus 2020) leidt tot het op een AVG-conforme wijze bijhouden van enerzijds de opgelegde individuele horecaontzeggingen (voor intern/eigen gebruik) en anderzijds het delen met derden van strafrechtelijke persoonsgegevens ten aanzien van opgelegde collectieve horecaontzeggingen. In het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&lt;!-- image --&gt;
## Datum
19 juni 2025
## Ons kenmerk
2025-010871
15. Daarnaast dienen voor het verkrijgen van een vergunning voor het voeren van en/of deelname aan de hiervoor genoemde registratie van personen aan wie een collectieve horecaontzegging is opgelegd, ook de aanvullende vergunningsvoorschriften (zie hieronder) in acht genomen te worden.
16. Zoals ook onder overweging 2 van dit besluit is aangegeven, zijn er aanvullende voorschriften verbonden aan deze vergunningen. De aanvullende voorschriften, zoals ook benoemd in de brief van de AP van 24 augustus 2020 aan KHN, zijn, dat:
- a. de lokale horecaondernemers (gezamenlijke verwerkingsverantwoordelijken) dienen jaarlijks gecoördineerd door de KHN-afdeling Oss 1 - een evaluatie van het modelprotocol en model-DPIA 2 van het collectieve horecaontzeggingen uit te voeren. De AP ontvangt op aanvraag een afschrift van deze evaluatie.
- b. in aansluiting op voorschrift a zal de beheerder namens de gezamenlijke verwerkingsverantwoordelijken bij deze jaarlijkse evaluatie in elk geval expliciet ingaan op:
3.  (de omvang van) de deelnemerslijst (ofwel: de lijst waarin de lokale horecaondernemers zijn opgesomd, die deelnemen aan de collectieve horecaontzeggingen in dat bepaalde horecagebied). 3
4.  het aantal opgelegde individuele en collectieve horecaontzeggingen.
5.  het aantal (wegens verlopen van de looptijd of om andere redenen) verwijderde individuele en collectieve horecaontzeggingen.
6.  de meldingen van eventuele bijzondere incidenten waarbij de aard en de omvang daarvan wordt beschreven, of van andere vermeldingswaardige bijzonderheden.
- c. de vergunning is - behoudens ingrijpende wetswijzigingen of wijziging van de gegevensverwerking - geldig tot 21 april 2027.
- d. de verwerkingsverantwoordelijke (lokale horecaondernemer) diens gegevens volledig conform het modelprotocol en model-DPIA zal verwerken. Dat wil zeggen dat de lokale horecaondernemer het modelprotocol en model-DPIA ongewijzigd overneemt en de gegevens van de opgelegde collectieve horecaontzeggingen precies, zoals in het modelprotocol en model-DPIA omschreven wordt, gaat verwerken.
## 6 Conclusie
17. De AP is van oordeel dat de in de bijlage genoemde horecaondernemingen - door zich te conformeren aan de reeds door de AP beoordeelde modelprotocol en model-DPIA (versie augustus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1  Hierdoor kan een uniforme werkwijze voor alle bij de lokale KHN-afdelingen aangesloten horecaondernemers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3  Deze deelnemerslijst wordt door de KHN- afdeling Oss via een website actueel gehouden, zodat kenbaar is welke horecaondernemers deelnemen aan het collectief verbod in een bepaald gebied.
&lt;!-- image --&gt;
Datum 19 juni 2025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Den Haag, 19  juni 2025
Autoriteit Persoonsgegevens, Overeenkomstig het door de Autoriteit Persoonsgegevens genomen besluit,
ir. N.G. de Jong
Directeur Systeemtoezicht, Beveiliging en Technologie
## Ons kenmerk
2025-010871
&lt;!-- image --&gt;
Datum
19 juni 2025
## Ons kenmerk
2025-010871
## Bijlage: 14 deelnemende horecaondernemingen - horecagebied gemeente Oss
| Zaaknummer     | Naam aanvrager, eigenaar van:           | Adresgegevens:                |
|----------------|-----------------------------------------|-------------------------------|
| 2025-010871.1  | Bar Vrijdag                             | Peperstraat 9A, 5341 CZ Oss   |
| 2025-010871.2  | Bodega (JHB B.V.)                       | Heuvel 40, 5341CW Oss         |
| 2025-010871.3  | Café Bellevue VOF                       | Ridderhof 40, 5341 HS Oss     |
| 2025-010871.4  | Café Heer Bommel VOF                    | Heuvel 28, 5341 CW Oss        |
| 2025-010871.5  | Café Rebel                              | Begijnenstraat 4, 5341 BG Oss |
| 2025-010871.6  | De Nieuwe Wereld (JHB B.V.)             | Heuvel 29, 5341CV Oss         |
| 2025-010871.7  | De Winkel Borrel en Eetbar              | Peperstraat 5, 5341 CZ Oss    |
| 2025-010871.8  | Finch gastrobar B.V.                    | Heuvel 20, 5341 CW Oss        |
| 2025-010871.9  | Grieks Specialiteiten restaurant Delphi | Molenstraat 21, 5341 GA Oss   |
| 2025-010871.10 | Groene Engel Horeca B.V.                | Kruisstraat 15, 5341 HA Oss   |
| 2025-010871.11 | H32 B.V.                                | Heuvel 32, 5341 CW Oss        |
| 2025-010871.12 | Hei &amp; Ikke 2.0                          | Kerkstraat 90, 5341 BL Oss    |
&lt;!-- image --&gt;
Datum
19 juni 2025
## Ons kenmerk
2025-010871
| 2025-010871.13   | La Colline (JHB B.V.)           | Heuvel 40, 5341CW Oss          |
|------------------|---------------------------------|--------------------------------|
| 2025-010871.14   | Rusheuvel Bowling &amp; evenementen | Rusheuvelstraat 5, 5346 JN Oss |</t>
  </si>
  <si>
    <t>verlenen [1649:1657]</t>
  </si>
  <si>
    <t>[...] gvuldig proces en met behulp van diverse experts tot stand gekomen. Dit geeft voldoende vertrouwen om in te kunnen stemmen met uw subsidieaanvraag. Wij hebben dan ook besloten u een subsidie van maximaal € 666.666,00 te verlenen. ## Jaarlijkse subsidie In onze cultuurnota hebben wij voor de jaren 2021 2024 een jaarlijks bedrag van €75.000,00 gereserveerd. Dit bedrag dient u elk jaar opnieuw afzonderlijk aan te vragen, u kunt hierover cont [...]</t>
  </si>
  <si>
    <t>DRE_verlening_subsidie_fase_1_masterplan_veenpark_geredigeerd.txt::Rechtsobject</t>
  </si>
  <si>
    <t>subsidie [1611:1620]</t>
  </si>
  <si>
    <t>subsidie [1611:1619]</t>
  </si>
  <si>
    <t>[...] sterplan dat nu voorligt is na een zorgvuldig proces en met behulp van diverse experts tot stand gekomen. Dit geeft voldoende vertrouwen om in te kunnen stemmen met uw subsidieaanvraag. Wij hebben dan ook besloten u een subsidie van maximaal € 666.666,00 te verlenen. ## Jaarlijkse subsidie In onze cultuurnota hebben wij voor de jaren 2021 2024 een jaarlijks bedrag van €75.000,00 gereserveerd. Dit bedrag dient u elk jaar opnieuw afzonderlij [...]</t>
  </si>
  <si>
    <t>DRE_verlening_subsidie_hunebedcentrum.txt::Ontvanger</t>
  </si>
  <si>
    <t>DRE_verlening_subsidie_hunebedcentrum.txt</t>
  </si>
  <si>
    <t>Hunebedcentrum</t>
  </si>
  <si>
    <t>hunebedcentrum</t>
  </si>
  <si>
    <t>Hunebedcentrum [5:19]</t>
  </si>
  <si>
    <t>Aan: Hunebedcentrum t.a.v. het bestuur Postbus 25 9530 AA BORGER ## 9530 AA25 Assen, 24 november 2021 Ons kenmerk 202101722-00971204 Behandeld door Verplichtingennummer 80236 Onderwerp: Verlening subsidie Hunebedcentrum 2022 [...]</t>
  </si>
  <si>
    <t>DRE_verlening_subsidie_hunebedcentrum.txt::Besluitvormend Orgaan</t>
  </si>
  <si>
    <t>Gedeputeerde Staten van Drenthe [9328:9359]</t>
  </si>
  <si>
    <t>[...] erneming verleende steun onrechtmatig is en onverenigbaar is verklaard met de interne markt. ## Nadere informatie Mocht u nog vragen hebben, dan kunt u contact opnemen met . &lt;!-- image --&gt; Hoogachtend, Gedeputeerde Staten van Drenthe, namens dezen, ir. R. Bakker, Teammanager Subsidies en Inkoop &lt;!-- image --&gt; ## Bezwaar Bent u het niet eens met dit besluit, dan kunt u binnen zes weken na de dag van verzending ervan hiertegen een bezwaars [...]</t>
  </si>
  <si>
    <t>DRE_verlening_subsidie_hunebedcentrum.txt::Rechtshandeling</t>
  </si>
  <si>
    <t>verlenen [740:748]</t>
  </si>
  <si>
    <t>&lt;!-- image --&gt;
Datum 14 juli 2025
Ons kenmerk z2022-04284/2025-001079
Bulkbesluit inzake de vergunningaanvragen voor de verwerking van gegevens van strafrechtelijke aard ten behoeve van derden van de verwerking 'Collectieve Horecaontzegging' door de in de bijlage genoemde horecaondernemers van het horecagebied gemeente Deventer - z2022-04284/2025-001079
## 1 Inleiding: aanleiding vergunningaanvraag
1. Op 9 januari 2025 heeft Koninklijke Horeca Nederland (hierna: KHN) - ingevolge artikel 33, vierde lid, aanhef en onder c, van de Uitvoeringswet Algemene verordening gegevensbescherming (UAVG) - bij de Autoriteit Persoonsgegevens (AP) een bulkvergunningaanvraag ingediend namens de in de bijlage van het besluit genoemde horecaondernemers in het horecagebied gemeente Deventer. Ter onderbouwing van de aanvraag, heeft KHN een protocol en een gegevensbeschermingseffectbeoordeling (ook wel data protection impact assessment/DPIA genoemd) bijgevoegd. Deze aanvraag is bij de AP bekend onder het zaaknummer z2022-04284/2025-001079 en onder de zaaknaam 'Bulkvergunningaanvraag horecagebied gemeente Deventer'.
Op 13 februari 2023 heeft de AP eerder een besluit afgegeven voor de 29 deelnemende horecaondernemers. Dit besluit is bij de AP bekend onder het zaaknummer z2022-04284. Bij deze nieuwe bulkvergunningaanvraag sluiten de 11 nieuwe horecaondernemers zich aan bij de eerdere afgegeven vergunning van 13 februari 2023.
## Procesverloop
- -Op 9 januari 2025 heeft de AP de bulkvergunningaanvraag voor 11 horecaondernemers inzake een Collectieve Horecaontzegging in horecagebied gemeente Deventer van KHN ontvangen.
- -Op 19 februari 2025 heeft de AP geconstateerd dat de bulkvergunningaanvraag incompleet was en de AP heeft KHN op 19 februari 2025 verzocht om de bulkvergunningaanvraag aan te vullen.
- -Op 19 maart 2025 heeft KHN de ontbrekende informatie en documenten aangeleverd.
- -Op 19 maart 2025 heeft de AP van KHN vernomen dat de volgende horecagelegenheden een nieuwe eigenaar hebben: Boode in Bathmen, St. Maxime, St. Tropez en Buren van Schimmelpenninck.
- -Op 19 maart 2025 heeft de AP van KHN vernomen dat horecagelegenheid Feestcafé De Tijd een naamsverandering heeft ondergaan en voortaan Bar Bruut! heet.
- -Op 9 april 2025 heeft de AP opnieuw geconstateerd dat de bulkvergunningaanvraag incompleet was en de AP heeft KHN op 9 april 2025 verzocht om de bulkvergunningaanvraag aan te vullen.
- -Op 7 mei 2025 heeft KHN de ontbrekende informatie en documenten aangeleverd.
- -Op 19 mei 2025 heeft de AP opnieuw geconstateerd dat de bulkvergunningaanvraag incompleet was en de AP heeft KHN op 19 mei 2025 verzocht om de bulkvergunningaanvraag aan te vullen.
- -Op 24 juni 2025 heeft de AP KHN nogmaals verzocht om de bulkvergunningaanvraag aan te vullen.
&lt;!-- image --&gt;
## Datum
14 juli 2025
## Ons kenmerk
z2022-04284/2025-001079
- -Op 27 juni 2025 heeft KHN de ontbrekende informatie en documenten aangeleverd.
2. Op grond van artikel 33, vierde lid, aanhef en onder c, UAVG mogen persoonsgegevens van strafrechtelijke aard ten behoeve van derden worden verwerkt indien de AP een vergunning voor de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3. In het navolgende concludeert de AP dat er een bulkvergunning voor de verwerking van gegevens van strafrechtelijke aard ten behoeve van derden kan worden verleend aan de individuele horecaondernemers, genoemd in de bijlage, omdat voldoende is aangetoond dat de verwerking noodzakelijk is met het oog op een zwaarwegend belang van derden en bij de uitvoering is voorzien in zodanige waarborgen dat de persoonlijke levenssfeer van de betrokkene niet onevenredig wordt geschaad. Het vorenstaande is uitgewerkt in het aangeleverde protocol en de DPIA.
## 2 Procedureverloop
4. De AP heeft het Protocol (collectieve) horecaontzegging, versie augustus 2020 (hierna: modelprotocol collectieve horecaontzegging) en d e Data Protection Impact Assessment - Registratie en gebruik horecaontzeggingen, versie augustus 2020 (hierna: model-DPIA collectieve horecaontzegging) beoordeeld. De AP is op basis van de hiervoor genoemde documenten en de nadere toelichting die daarop is gegeven door KHN, tot de conclusie gekomen dat de AP in genoemde documenten geen strijdigheden ziet met de AVG en de UAVG. De AP heeft dit bevestigd in haar brief van 24 augustus 2020, waarbij is aangegeven dat aan de nog af te geven vergunningen in elk geval een aantal specifieke aanvullende voorschriften worden verbonden (zie onder overwegingen 12, 13, 14, 15 en 16 van dit besluit). Na afstemming met KHN (landelijk) heeft de AP per brief van 14 april 2022 aangegeven dat de geldigheidstermijn van het modelprotocol, model-DPIA collectieve horecaontzeggingen en alle bulkvergunningen loopt tot 21 april 2027.
5. De lokale ondernemers hebben schriftelijk verklaard dat zij het modelprotocol collectieve horecaontzegging (augustus 2020) en model-DPIA collectieve horecaontzegging (augustus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de horecaontzegging is om in de aangesloten horecabedrijven (inclusief de daarbij behorende erven/terrassen):
- de veiligheid van horecaondernemers, hun medewerkers en hun gasten te vergroten;
- overlast gevend gedrag te reduceren;
- criminaliteit te voorkomen en tegen te gaan.
&lt;!-- image --&gt;
Datum 14 juli 2025
## Ons kenmerk
z2022-04284/2025-001079
7. Een verwerkingsverantwoordelijke kan een Individuele Horeca Ontzegging (IHO) uitreiken wanneer een persoon een of meerdere van de volgende gedragingen zoals vermeld in de artikel 4.1.1 tot en met 4.1.7 van het protocol in zijn horecabedrijf en/of op de daarbij behorende erven/terrassen vertoont. Als binnen een periode van zes maanden een tweede IHO ten aanzien van dezelfde betrokkene wordt ingevoerd in het registratiesysteem dan wordt de tweede IHO omgezet in een CHO van zes maanden. De subverwerker informeert de betrokkene hierover volgens het formulier 'Aanzegging CHO'. De subverwerker informeert de verwerkingsverantwoordelijke die de tweede IHO heeft uitgereikt over de omzetting van de tweede IHO in een CHO.
8. Een gast die zich niet houdt aan de huisregels en/of strafbare feiten pleegt kan worden gesommeerd het bedrijf te verlaten en een ondernemer kan (naast het doen van aangifte) ervoor kiezen om de betrokkene voor een bepaalde tijd de toegang tot het bedrijf te ontzeggen. Doet een ondernemer dat alleen voor zijn eigen bedrijf/bedrijven, dan is er sprake van een Individuele Horeca Ontzegging (IHO). Een IHO mag niet langer dan zes maanden duren.
9. Een verwerkingsverantwoordelijke kan een CHO uitreiken wanneer een persoon zich aan een of meerdere van de in artikel 4.2.1 van het protocol genoemde gedragingen in het horecabedrijf van de verwerkingsverantwoordelijke en/of op de daarbij behorende erven/terrassen schuldig maakt. Bij de collectieve horecaontzegging slaan de gezamenlijke verwerkingsverantwoordelijken de handen ineen om gezamenlijk overlastgevers uit hun bedrijven te weren. Als een verwerkingsverantwoordelijke aan het Protocol CHO de betrokkene een CHO heeft opgelegd, dan geldt deze ontzegging ook meteen voor alle andere gezamenlijke verwerkingsverantwoordelijken. Met één ontzegging wordt een overlastgever dus meteen geweerd uit alle aangesloten bedrijven, zonder dat de persoon in kwestie overlast heeft veroorzaakt in die andere bedrijven.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Artikel 1 UAVG bepaalt: ' In deze wet en de daarop berustende bepalingen wordt verstaan onder: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Artikel 31 UAVG bepaalt: 'Onverminderd artikel 10 van de verordening mogen persoonsgegevens van strafrechtelijke aard alleen worden verwerkt voor zover dit krachtens de artikelen 32 en 33 is toegestaan.'
Artikel 33, vierde lid, aanhef en onder c, UAVG bepaalt: 'Persoonsgegevens van strafrechtelijke aard mogen ten behoeve van derden worden verwerkt:
## […]
c. indien de Autoriteit persoonsgegevens met inachtneming van het vijfde lid een vergunning voor de verwerking heeft verleend .'
&lt;!-- image --&gt;
Datum 14 juli 2025
## Ons kenmerk
z2022-04284/2025-001079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Artikel 6, eerste lid, aanhef en onder f, AVG bepaalt: ' De verwerking is alleen rechtmatig indien en voor zover aan ten minste een van de onderstaande voorwaarden is voldaan: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betrokkene niet zwaarder wegen, rekening houdend met de redelijke verwachtingen van de betrokkene op basis van zijn verhouding met de verwerkingsverantwoordelijke. […] In elk geval is een zorgvuldige beoordeling geboden om te bepalen of sprake is van een gerechtvaardigd belang, alsook om te bepalen of een betrokkene op het tijdstip en in het kader van de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De verwerking van persoonsgegevens die strikt noodzakelijk is voor fraudevoorkoming is ook een gerechtvaardigd belang van de verwerkingsverantwoordelijke in kwestie. […]'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verrichte beoordeling.
12. Het conformeren aan het modelprotocol collectieve horecaontzegging en model-DPIA collectieve horecaontzegging (versie augustus 2020) leidt tot het op een AVG-conforme wijze bijhouden van enerzijds de opgelegde individuele horecaontzeggingen (voor intern/eigen gebruik) en anderzijds het delen met derden van strafrechtelijke persoonsgegevens ten aanzien van opgelegde collectieve horecaontzeggingen. In het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&lt;!-- image --&gt;
Datum 14 juli 2025
## Ons kenmerk
z2022-04284/2025-001079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15. Daarnaast dienen voor het verkrijgen van een vergunning voor het voeren van en/of deelname aan de hiervoor genoemde registratie van personen aan wie een collectieve horecaontzegging is opgelegd, ook de aanvullende vergunningsvoorschriften (zie hieronder) in acht genomen te worden.
16. Zoals ook onder overweging 2 van dit besluit is aangegeven, zijn er aanvullende voorschriften verbonden aan deze vergunningen. De aanvullende voorschriften, zoals ook benoemd in de brief van de AP van 24 augustus 2020 aan KHN, zijn, dat:
- a. de lokale horecaondernemers (gezamenlijke verwerkingsverantwoordelijken) dienen jaarlijks gecoördineerd door de KHN-afdeling Deventer 1 - een evaluatie van het modelprotocol en modelDPIA 2  van het collectieve horecaontzeggingen uit te voeren. De AP ontvangt op aanvraag een afschrift van deze evaluatie.
- b. in aansluiting op voorschrift a zal de beheerder namens de gezamenlijke verwerkingsverantwoordelijken bij deze jaarlijkse evaluatie in elk geval expliciet ingaan op:
7.  (de omvang van) de deelnemerslijst (ofwel: de lijst waarin de lokale horecaondernemers zijn opgesomd, die deelnemen aan de collectieve horecaontzeggingen in dat bepaalde horecagebied). 3
8.  het aantal opgelegde individuele en collectieve horecaontzeggingen.
9.  het aantal (wegens verlopen van de looptijd of om andere redenen) verwijderde individuele en collectieve horecaontzeggingen.
10.  de meldingen van eventuele bijzondere incidenten waarbij de aard en de omvang daarvan wordt beschreven, of van andere vermeldingswaardige bijzonderheden.
- c. de vergunning is - behoudens ingrijpende wetswijzigingen of wijziging van de gegevensverwerking - geldig tot 21 april 2027.
- d. de verwerkingsverantwoordelijke (lokale horecaondernemer) diens gegevens volledig conform het modelprotocol en model-DPIA zal verwerken. Dat wil zeggen dat de lokale horecaondernemer het modelprotocol en model-DPIA ongewijzigd overneemt en de gegevens van de opgelegde collectieve horecaontzeggingen precies, zoals in het modelprotocol en model-DPIA omschreven wordt, gaat verwerken.
1  Hierdoor kan een uniforme werkwijze voor alle bij de lokale KHN-afdelingen aangesloten horecaondernemers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3  Deze deelnemerslijst wordt door de KHN- afdeling Deventer via een website actueel gehouden, zodat kenbaar is welke horecaondernemers deelnemen aan het collectief verbod in een bepaald gebied.
&lt;!-- image --&gt;
Datum
14 juli 2025
## 6 Conclusie
17. De AP is van oordeel dat de in de bijlage genoemde horecaondernemingen - door zich te conformeren aan de reeds door de AP beoordeelde modelprotocol en model-DPIA (versie augustus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Den Haag, 14 juli 2025
Autoriteit Persoonsgegevens, Overeenkomstig het door de Autoriteit Persoonsgegevens genomen besluit,
ir. N.G. de Jong Directeur Systeemtoezicht, Beveiliging en Technologie
## Ons kenmerk
z2022-04284/2025-001079
&lt;!-- image --&gt;
Datum 14 juli 2025
## Bijlage: 29 deelnemende horecaondernemingen van het besluit d.d. 13 februari 2023 horecagebied gemeente Deventer
| Zaaknummer     | Naam aanvrager, eigenaar van:   | Adresgegevens:                   |
|----------------|---------------------------------|----------------------------------|
| z2022-04284.1  | Boode in Bathmen                | Brink 10, 7437 AM Bathmen        |
| z2022-04284.2  | Café Braakhekke                 | Schoolstraat 8, 7437 AE Bathmen  |
| z2022-04284.3  | Café De Brink                   | Brink 1, 7437 AM Bathmen         |
| z2022-04284.4  | Café Het Glas in Lood           | Nieuwe Markt 4, 7411 PA Deventer |
| z2022-04284.5  | Café Midtown                    | Brink 14a, 7411 BR Deventer      |
| z2022-04284.6  | Café Persee Vof                 | Brink 32, 7411 BT Deventer       |
| z2022-04284.7  | Café Terras De Tobbe            | Welle 20-21, 7411 CA Deventer    |
| z2022-04284.8  | De Bisschop                     | Brink 17, 7411 BR Deventer       |
| z2022-04284.9  | De Buren van Schimmelpenninck   | Brink 22, 7411 BS Deventer       |
| z2022-04284.10 | De Herberg                      | Polstraat 62, 7411 KC Deventer   |
| z2022-04284.11 | De Hip                          | Brink 21, 7411 BR Deventer       |
&lt;!-- image --&gt;
Datum
14 juli 2025
## Ons kenmerk
## z2022-04284/2025-001079
| z2022-04284.12   | De Waagschaal          | Brink 77, 7411 BX Deventer            |
|------------------|------------------------|---------------------------------------|
| z2022-04284.13   | Deventer Schouwburg    | Leeuwenbrug 2, 7411 TJ Deventer       |
| z2022-04284.14   | Doedel Café            | Brink 1, 7411 BR Deventer             |
| z2022-04284.15   | Eetcafé De 7e Hemel    | Grote Kerkhof 28, 7411 KV Deventer    |
| z2022-04284.16   | Eetcafé De Heksenketel | Brink 64b, 7411 BW Deventer           |
| z2022-04284.17   | Eetcafé De Sjampetter  | Brink 81, 7411 BX Deventer            |
| z2022-04284.18   | Bar Bruut!             | Brink 73, 7411 BS Deventer            |
| z2022-04284.19   | Grandcafé Samen        | Brink 26, 7411 BS Deventer            |
| z2022-04284.20   | Grillroom Shalom       | Grote Overstraat 69, 7411 JB Deventer |
| z2022-04284.21   | Hans &amp; Grietje         | Brink 76, 7411 BW Deventer            |
| z2022-04284.22   | Heks BV Bierencafé     | Brink 63, 7411 BV Deventer            |
| z2022-04284.23   | Het Burgerweeshuis     | Bagijnenstraat 9, 7411 PT Deventer    |
| z2022-04284.24   | St. Maxime B.V.        | Nieuwe Markt 37, 7411 PC Deventer     |
&lt;!-- image --&gt;
| z2022-04284.25   | St. Tropez B.V.   | Brink 28, 7411 BS Deventer   |
|------------------|-------------------|------------------------------|
| z2022-04284.26   | 't Brinkje        | Brink 75, 7411 BW Deventer   |
| z2022-04284.27   | Vof Marmaris      | Brink 86, 7411 BX Deventer   |
| z2022-04284.28   | WoD Dönerix       | Brink 96, 7411 BZ Deventer   |
| z2022-04284.29   | Zus Bar-Kitchen   | Brink 37, 7411 BT Deventer   |
## Bijlage: 11 nieuwe deelnemende horecaondernemingen - horecagebied gemeente Deventer
| Zaaknummer                  | Naam aanvrager, eigenaar van:   | Adresgegevens:                         |
|-----------------------------|---------------------------------|----------------------------------------|
| z2022-04284/2025- 001079.30 | Cafe Bar de Alm                 | Kleine Overstraat 87, 7411 JK Deventer |
| z2022-04284/2025- 001079.31 | Chez Antoinette                 | Roggestraat 12, 7411 EP Deventer       |
| z2022-04284/2025- 001079.32 | DAVO Proeflokaal &amp; Brouwerij    | Sluisstraat 6, 7411 EG Deventer        |
| z2022-04284/2025- 001079.33 | Goesting Urban Bistro           | Brink 15, 7411 BR Deventer             |
| z2022-04284/2025- 001079.34 | Hotel de Vischpoorte            | Nieuwe Markt 40, 7411 PC Deventer      |
| z2022-04284/2025- 001079.35 | Jackies                         | Grote Poot 19, 7411 KE Deventer        |
&lt;!-- image --&gt;
Datum
14 juli 2025
## Ons kenmerk
z2022-04284/2025-001079
| z2022-04284/2025- 001079.36   | McDonald's Deventer Centrum   | Keizerstraat 2, 7411 HG Deventer                    |
|-------------------------------|-------------------------------|-----------------------------------------------------|
| z2022-04284/2025- 001079.37   | Mimik Eten en Drinken         | Achter de Muren Vispoort 8 t/m 10, 7411 SL Deventer |
| z2022-04284/2025- 001079.38   | No. 11                        | Grote Poot 11, 7411 KE Deventer                     |
| z2022-04284/2025- 001079.39   | 't Hof van Colmschate         | Holterweg 104, 7429 AH Colmschate                   |
| z2022-04284/2025- 001079.40   | Valencia                      | Scheepvaartstraat 13, 7411 MB Deventer              |</t>
  </si>
  <si>
    <t>[...] jaren geleden overwonnen maar heeft ook de coronacrisis tot dusver goed doorstaan. We zien in uw plannen veel perspectief voor de toekomst van het centrum. Wij hebben besloten u een subsidie van maximaal € 135.000,00 te verlenen. Deze subsidie bestaat uit € 110.000,00 euro boekjaarsubsidie horend bij de status van Museum van Provinciaal Belang en € 25.000,00 euro voor het Kenniscentrum Archeologie. ## Voorschot Wij hebben besloten u een v [...]</t>
  </si>
  <si>
    <t>DRE_verlening_subsidie_hunebedcentrum.txt::Rechtsobject</t>
  </si>
  <si>
    <t>subsidie [702:711]</t>
  </si>
  <si>
    <t>subsidie [702:710]</t>
  </si>
  <si>
    <t>[...] lleen de moeilijkheden van een aantal jaren geleden overwonnen maar heeft ook de coronacrisis tot dusver goed doorstaan. We zien in uw plannen veel perspectief voor de toekomst van het centrum. Wij hebben besloten u een subsidie van maximaal € 135.000,00 te verlenen. Deze subsidie bestaat uit € 110.000,00 euro boekjaarsubsidie horend bij de status van Museum van Provinciaal Belang en € 25.000,00 euro voor het Kenniscentrum Archeologie. ## Voo [...]</t>
  </si>
  <si>
    <t>DRE_verlening_subsidie_hunebedcentrum_geredigeerd.txt::Ontvanger</t>
  </si>
  <si>
    <t>DRE_verlening_subsidie_hunebedcentrum_geredigeerd.txt</t>
  </si>
  <si>
    <t>Stichting Hunebedcentrum</t>
  </si>
  <si>
    <t>stichting hunebedcentrum</t>
  </si>
  <si>
    <t>Stichting Hunebedcentrum [5:29]</t>
  </si>
  <si>
    <t>Aan: Stichting Hunebedcentrum t.a.v. het bestuur Bronnegerstraat 12 9531 TG BORGER 9531 TG12 Assen, 22 november 2022 Ons kenmerk 202201807-01034739 Behandeld door Verplichtingennummer Onderwerp: Verlening subsidie Hunebedcentrum 2023 ## [...]</t>
  </si>
  <si>
    <t>DRE_verlening_subsidie_hunebedcentrum_geredigeerd.txt::Besluitvormend Orgaan</t>
  </si>
  <si>
    <t>Gedeputeerde Staten van Drenthe [9276:9307]</t>
  </si>
  <si>
    <t>[...] steun onrechtmatig is en onverenigbaar is verklaard met de interne markt ## Nadere informatie Mocht u nog vragen hebben, dan kunt u contact opnemen met , telefoonnummer . &lt;!-- image --&gt; Hoogachtend, Gedeputeerde Staten van Drenthe, namens dezen, &lt;!-- image --&gt; , teammanager Subsidies en Inkoop ## Bezwaar Bent u het niet eens met dit besluit, dan kunt u binnen zes weken na de dag van verzending ervan hiertegen een bezwaarschrift ind [...]</t>
  </si>
  <si>
    <t>DRE_verlening_subsidie_hunebedcentrum_geredigeerd.txt::Rechtshandeling</t>
  </si>
  <si>
    <t>verlenen [1013:1021]</t>
  </si>
  <si>
    <t>[...] teiten in uw jaarplan en dat waarderen wij. Ook zet het Hunebedcentrum grote stappen in haar ontwikkeling als archeologisch kenniscentrum. ## Besluit Wij hebben besloten u een subsidie van maximaal € 137.835,00 te verlenen. Dit bedrag is hoger dan u wellicht verwachtte, dat heeft de volgende reden: wij hebben Provinciale Staten voorgesteld om met ingang van 2023 alle structurele begrotingssubsidies te indexeren. Op dit voorstel is door de [...]</t>
  </si>
  <si>
    <t>DRE_verlening_subsidie_hunebedcentrum_geredigeerd.txt::Rechtsobject</t>
  </si>
  <si>
    <t>subsidie [975:984]</t>
  </si>
  <si>
    <t>subsidie [975:983]</t>
  </si>
  <si>
    <t>[...] k duidelijk terug te zien in de activiteiten in uw jaarplan en dat waarderen wij. Ook zet het Hunebedcentrum grote stappen in haar ontwikkeling als archeologisch kenniscentrum. ## Besluit Wij hebben besloten u een subsidie van maximaal € 137.835,00 te verlenen. Dit bedrag is hoger dan u wellicht verwachtte, dat heeft de volgende reden: wij hebben Provinciale Staten voorgesteld om met ingang van 2023 alle structurele begrotingssubsidies te [...]</t>
  </si>
  <si>
    <t>&lt;!-- image --&gt;
Datum 11 september 2025
Ons kenmerk 2024-011591/2025-002437/2025-022203
Bulkbesluit inzake de vergunningaanvragen voor de verwerking van gegevens van strafrechtelijke aard ten behoeve van derden van de verwerking 'Collectief Winkelverbod' door de in de bijlage genoemde winkeliers van het winkelgebied Binnenstad Tilburg- 2024011591/2025-002437/2025-022203
## 1 Inleiding: aanleiding vergunningaanvraag
1. Op 10 juli 2025 heeft het Centrum voor Criminaliteitspreventie en Veiligheid (hierna: het CCV) ingevolge artikel 33, vierde lid, aanhef en onder c, van de Uitvoeringswet Algemene verordening gegevensbescherming (UAVG) - bij de Autoriteit Persoonsgegevens (AP) een bulkvergunningaanvraag ingediend namens de in de bijlage van het besluit genoemde winkeliers in winkelgebied Binnenstad Tilburg. Ter onderbouwing van de aanvraag, heeft het CCV een protocol en een gegevensbeschermingseffectbeoordeling (ook wel data protection impact assessment/DPIA genoemd) bijgevoegd. Deze aanvraag is bij de AP bekend onder het zaaknummer 2024-011591/2025002437/2025-022203 en onder de zaaknaam ' Bulkvergunningaanvraag winkelgebied Binnenstad Tilburg'.
Op 30 mei 2024 heeft de AP eerder een besluit afgegeven voor de 46 deelnemende winkeliers. Daarnaast heeft de AP op 24 april 2025 een besluit uitgevaardigd voor de 17 deelnemende winkeliers. Bij deze nieuwe bulkvergunningaanvraag sluiten de 4 nieuwe winkeliers zich aan bij de eerdere afgegeven vergunning van 30 mei 2024 en 24 april 2025.
## Procesverloop
- -Op 10 juli 2025 heeft de AP de bulkvergunningaanvraag voor 4 winkeliers inzake een Collectief Winkelverbod in winkelgebied Binnenstad Tilburg van het CCV ontvangen.
- -Op 21 augustus 2025 heeft de AP geconstateerd dat de vergunningaanvraag incompleet was en de AP heeft op 21 augustus 2025 verzocht om de vergunningaanvraag aan te vullen.
- -Vervolgens heeft het CCV op 28 augustus 2025 de ontbrekende informatie en documenten aangeleverd.
2. Op grond van artikel 33, vierde lid, aanhef en onder c, UAVG mogen persoonsgegevens van strafrechtelijke aard ten behoeve van derden worden verwerkt indien de AP een vergunning voor de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3. In het navolgende concludeert de AP dat er een bulkvergunning voor de verwerking van gegevens van strafrechtelijke aard ten behoeve van derden kan worden verleend aan de individuele winkeliers, genoemd
&lt;!-- image --&gt;
## Datum
11 september 2025
## Ons kenmerk
2024-011591/2025-002437/2025022203
in de bijlage, omdat voldoende is aangetoond dat de verwerking noodzakelijk is met het oog op een zwaarwegend belang van derden en bij de uitvoering is voorzien in zodanige waarborgen dat de persoonlijke levenssfeer van de betrokkene niet onevenredig wordt geschaad. Het vorenstaande is uitgewerkt in het aangeleverde protocol en de DPIA.
## 2 Procedureverloop
4. De AP heeft het Protocol (collectief) winkelverbod, versie april 2020 (hierna: modelprotocol collectief winkelverbod) en d e Data Protection Impact Assessment - Registratie en gebruik winkelverboden, versie april 2020 (hierna: model-DPIA collectief winkelverbod) beoordeeld. De AP is op basis van de hiervoor genoemde documenten en de nadere toelichting die daarop is gegeven door het CCV, tot de conclusie gekomen dat de AP in genoemde documenten geen strijdigheden ziet met de AVG en de UAVG. De AP heeft dit bevestigd in haar brief van 18 mei 2020, waarbij is aangegeven dat aan de nog af te geven vergunningen in elk geval een aantal specifieke aanvullende voorschriften worden verbonden (zie onder overwegingen 12, 13, 14, 15 en 16 van dit besluit). Na afstemming met het CCV (landelijk) heeft de AP per brief van 14 april 2022 aangegeven dat de geldigheidstermijn van het modelprotocol, model-DPIA collectief winkelverbod en alle bulkvergunningen loopt tot 31 maart 2027.
5. De lokale ondernemers hebben schriftelijk verklaard dat zij het modelprotocol collectief winkelverbod (april 2020) en model-DPIA collectief winkelverbod (april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het winkelverbod is om de criminele derving, agressie en geweld tegen te gaan binnen de detailhandel.
7. In eerste instantie krijgt iemand na een strafbaar feit een collectieve waarschuwing voor een jaar. Gedurende dit jaar kunnen de winkels nog steeds worden bezocht. Wanneer betrokkene in deze periode nogmaals in de fout gaat, wordt gedurende één of twee jaar de toegang ontzegd tot alle deelnemende ondernemingen in het betreffende winkelgebied, dan wel (wanneer sprake is van een winkelgebied met één eigenaar) tot het winkelcentrum zelf. Andere winkelgebieden en winkels van niet-deelnemende ondernemingen blijven dus toegankelijk. Uiteraard kan ook nog steeds gebruik worden gemaakt van bezorgdiensten, zodat niemand de mogelijkheid wordt ontzegd om aan de eerste levensbehoeften te komen.
8. Een individueel winkelverbod is bedoeld om een overlastgever uit een specifieke winkel te weren. Deze verboden worden (alleen zichtbaar voor de betreffende winkel en de beheerder) wel in het systeem opgenomen. Hiermee wordt het mogelijk om, wanneer blijkt dat het iemand betreft die in meerdere winkels overlast veroorzaakt, het individueel verbod te wijzigen in een collectief verbod.
9. Een collectief winkelverbod (waar eventueel een waarschuwing aan voorafgaat) levert een belangrijke bijdrage aan het tegengaan van criminele derving, agressie en geweld binnen de detailhandel. Om een collectief winkelverbod te handhaven is samenwerking tussen winkelondernemers, waarbij personen die zich schuldig maken aan overlast en/of strafbare feiten in een systeem worden geregistreerd, noodzakelijk.
&lt;!-- image --&gt;
## Ons kenmerk
2024-011591/2025-002437/2025022203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Artikel 1 UAVG bepaalt: ' In deze wet en de daarop berustende bepalingen wordt verstaan onder: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Artikel 31 UAVG bepaalt: 'Onverminderd artikel 10 van de verordening mogen persoonsgegevens van strafrechtelijke aard alleen worden verwerkt voor zover dit krachtens de artikelen 32 en 33 is toegestaan.'
Artikel 33, vierde lid, aanhef en onder c, UAVG bepaalt: 'Persoonsgegevens van strafrechtelijke aard mogen ten behoeve van derden worden verwerkt:
## […]
c. indien de Autoriteit persoonsgegevens met inachtneming van het vijfde lid een vergunning voor de verwerking heeft verleend .'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Artikel 6, eerste lid, aanhef en onder f, AVG bepaalt: ' De verwerking is alleen rechtmatig indien en voor zover aan ten minste een van de onderstaande voorwaarden is voldaan:
##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betrokkene niet zwaarder wegen, rekening houdend met de redelijke verwachtingen van de betrokkene op basis van zijn verhouding met de verwerkingsverantwoordelijke. […] In elk geval is een zorgvuldige beoordeling geboden om te bepalen of sprake is van een gerechtvaardigd belang, alsook om te bepalen of een betrokkene op het tijdstip en in het kader van de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De verwerking van persoonsgegevens die strikt noodzakelijk is voor fraudevoorkoming is ook een gerechtvaardigd belang van de verwerkingsverantwoordelijke in kwestie. […]'
&lt;!-- image --&gt;
## Datum
11 september 2025
Ons kenmerk 2024-011591/2025-002437/2025-
022203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verrichtte beoordeling.
12. Het conformeren aan het modelprotocol collectief winkelverbod en model-DPIA collectief winkelverbod (versie april 2020) leidt tot het op een AVG-conforme wijze bijhouden van enerzijds de opgelegde individuele winkelverboden (voor intern/eigen gebruik) en anderzijds het delen met derden van strafrechtelijke persoonsgegevens ten aanzien van opgelegde collectieve winkelverboden. In het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15. Daarnaast dienen voor het verkrijgen van een vergunning voor het voeren van en/of deelname aan de hiervoor genoemde registratie van personen aan wie een collectief winkelverbod is opgelegd, ook de aanvullende vergunningsvoorschriften (zie hieronder) in acht genomen te worden.
16. Zoals ook onder overweging 4 van dit besluit is aangegeven, zijn er aanvullende voorschriften verbonden aan deze vergunningen. De aanvullende voorschriften, zoals ook benoemd in de brief van de AP van 18 mei 2020 aan het CCV,  zijn, dat:
- a. de lokale ondernemers (gezamenlijke verwerkingsverantwoordelijken) jaarlijks - gecoördineerd door het CCV 1 - een evaluatie van het modelprotocol en model-DPIA 2 van het collectief winkelverbod dienen uit te voeren. De AP ontvangt op aanvraag een afschrift van deze evaluatie.
1  Hierdoor kan een uniforme werkwijze voor alle bij het CCV aangesloten winkeliersverenigingen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&lt;!-- image --&gt;
&lt;!-- image --&gt;
Ons kenmerk 2024-011591/2025-002437/2025-
022203
- b. in aansluiting op voorschrift b de verwerkingsverantwoordelijke bij deze jaarlijkse evaluatie in elk geval expliciet zal ingaan op:
2.  (de omvang van) de deelnemerslijst (ofwel: de lijst waarin de lokale ondernemers zijn opgesomd, die deelnemen aan het collectief winkelverbod in dat bepaalde winkelgebied). 3
3.  het aantal opgelegde individuele en collectieve winkelverboden en collectieve waarschuwingen.
4.  het aantal (wegens verlopen van de looptijd of om andere redenen) verwijderde individuele en collectieve verboden en collectieve waarschuwingen.
5.  de meldingen van eventuele bijzondere incidenten waarbij de aard en de omvang daarvan wordt beschreven, of van andere vermeldingswaardige bijzonderheden.
- c. de vergunning is  - behoudens ingrijpende wetswijzigingen of wijzigingen van de gegevensverwerking - geldig tot 31 maart 2027.
- d. de verwerkingsverantwoordelijke (lokale ondernemer) diens gegevens volledig conform het modelprotocol en model-DPIA zal verwerken. Dat wil zeggen dat de lokale ondernemer het modelprotocol en model-DPIA ongewijzigd overneemt en de gegevens van de opgelegde collectieve winkelverboden precies, zoals in het modelprotocol en model-DPIA omschreven wordt, gaat verwerken.
## 6 Conclusie
17. De AP is van oordeel dat de in de bijlage genoemde winkeliers - door zich te conformeren aan de reeds door de AP beoordeelde modelprotocol en model-DPIA (versie april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3  Deze deelnemerslijst wordt door het CCV via een website actueel gehouden, zodat kenbaar is welke winkeliers deelnemen aan het collectief verbod in een bepaald gebied.
&lt;!-- image --&gt;
## Datum
11 september 2025
Ons kenmerk 2024-011591/2025-002437/2025022203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Den Haag,  11 september 2025
Autoriteit Persoonsgegevens, Overeenkomstig het door de Autoriteit Persoonsgegevens genomen besluit,
ir. N.G. de Jong
Directeur Systeemtoezicht, Beveiliging en Technologie
&lt;!-- image --&gt;
## Datum
11 september 2025
## Ons kenmerk
2024-011591/2025-002437/2025022203
## Bijlage: 46 deelnemende winkeliers - winkelgebied Binnenstad Tilburg
| Zaaknummer     | Naam aanvrager, eigenaar van:   | Adresgegevens:                                |
|----------------|---------------------------------|-----------------------------------------------|
| 2024-011591.1  | Aug Pijnenburg                  | Heuvelstraat 61, 5038AC, Tilburg              |
| 2024-011591.2  | Been en Ondermode 013           | Juliana van Stolbergstraat 3, 5038AM, Tilburg |
| 2024-011591.3  | Bomont                          | Stadhuisplein 131, 5038TC, Tilburg            |
| 2024-011591.4  | Boulanger Tilburg               | Schouwburgring 45A, 5038TK, Tilburg           |
| 2024-011591.5  | Courir                          | Heuvelstraat 49, 5038AB, Tilburg              |
| 2024-011591.6  | De Koopman Tilburg              | Heuvelstraat 33, 5038AB, Tilburg              |
| 2024-011591.7  | Dille &amp; Kamille                 | Heuvelstraat 105B, 5038AD, Tilburg            |
| 2024-011591.8  | Erica Kruiderijen               | Heuvelstraat 111, 5038AD, Tilburg             |
| 2024-011591.9  | Esprit                          | Stadhuisstraat 2-01, 5038XZ, Tilburg          |
| 2024-011591.10 | Etos                            | Heuvelstraat 47, 5038AB, Tilburg              |
| 2024-011591.11 | Foto Tuerlings B.V.             | Heuvelstraat 106, 5038AH, Tilburg             |
&lt;!-- image --&gt;
## Datum
11 september 2025
## Ons kenmerk
2024-011591/2025-002437/2025022203
| 2024-011591.12   | Frans Hommersom Schoenreparaties   | Heuvelstraat 54, 5038AG, Tilburg              |
|------------------|------------------------------------|-----------------------------------------------|
| 2024-011591.13   | Fresh                              | Juliana van Stolbergstraat 9, 5038AM, Tilburg |
| 2024-011591.14   | Go-Britain                         | Heuvelstraat 98, 5038AH, Tilburg              |
| 2024-011591.15   | Guts&amp;Gusto                         | Frederikestraat 51, 5038AZ, Tilburg           |
| 2024-011591.16   | Hans Anders                        | Heuvelstraat 8-10, 5038AE, Tilburg            |
| 2024-011591.17   | Hema                               | Heuvelstraat 24, 5038AE, Tilburg              |
| 2024-011591.18   | Ici Paris XL                       | Heuvelstraat 22, 5038AE, Tilburg              |
| 2024-011591.19   | Jamin Tilburg                      | Schildwacht 28, 5038AB, Tilburg               |
| 2024-011591.20   | Jeans Centre                       | Heuvelstraat 87, 5038AC, Tilburg              |
| 2024-011591.21   | Koetie Baby &amp; Kids                 | Heuvelstraat 115, 5038AD, Tilburg             |
| 2024-011591.22   | Labyrinth Tilburg                  | Schouwburgring 141, 5038TW, Tilburg           |
| 2024-011591.23   | Mentastore V.O.F.                  | Heuvelstraat 92, 5038AH, Tilburg              |
| 2024-011591.24   | Mercado Emma                       | Heuvelstraat 121, 5038AD, Tilburg             |
&lt;!-- image --&gt;
## Datum
11 september 2025
## Ons kenmerk
2024-011591/2025-002437/2025022203
| 2024-011591.25   | Mesco Schoenen            | Heuvelstraat 95, 5038AC, Tilburg               |
|------------------|---------------------------|------------------------------------------------|
| 2024-011591.26   | Mint &amp; Pepr               | Heuvelstraat 125, 5038AD, Tilburg              |
| 2024-011591.27   | MS Mode                   | Heuvelstraat 14, 5038AE, Tilburg               |
| 2024-011591.28   | My Jewellery              | Heuvelstraat 88, 5038AM, Tilburg               |
| 2024-011591.29   | N-brands                  | Heuvelstraat 81, 5038AC, Tilburg               |
| 2024-011591.30   | New CVLTR                 | Heuvelstraat 83, 5038AC, Tilburg               |
| 2024-011591.31   | Noah Donna                | Schouwburgring 11, 5038TK, Tilburg             |
| 2024-011591.32   | Oostelbos Lederwaren B.V. | Juliana van Stolbergstraat 11, 5038AM, Tilburg |
| 2024-011591.33   | Quatta                    | Heuvelstraat 105a, 5038AD, Tilburg             |
| 2024-011591.34   | Radiobeurs                | Heuvelstraat 129, 5038AD, Tilburg              |
| 2024-011591.35   | Sanchastyle               | Juliana van Stolbergstraat 12, 5038AM, Tilburg |
| 2024-011591.36   | Say Jess Fashionstore BV  | Heuvelstraat 78, 5038AG, Tilburg               |
| 2024-011591.37   | Simon Levelt Tilburg      | Heuvelstraat 102, 5038AH, Tilburg              |
&lt;!-- image --&gt;
## Datum
11 september 2025
## Ons kenmerk
2024-011591/2025-002437/2025022203
| 2024-011591.38              | Snipes Tilburg             | Heuvelstraat 42A, 5038AE, Tilburg              |
|-----------------------------|----------------------------|------------------------------------------------|
| 2024-011591.39              | Sprinter                   | Heuvelstraat 56, 5038AG, Tilburg               |
| 2024-011591.40              | Studio Poses / Soesa       | Heuvelstraat 133 A, 5038AD, Tilburg            |
| 2024-011591.41              | Uno                        | Willem2 straat 92, 5038BJ, Tilburg             |
| 2024-011591.42              | Van Arendonk Schoenen B.V. | Juliana van Stolbergstraat 19, 5038AM, Tilburg |
| 2024-011591.43              | Van Gijzen opticiens       | Schouwburgring 142, 5038TL, Tilburg            |
| 2024-011591.44              | Vandemaker                 | Heuvelstraat 118, 5038AM, Tilburg              |
| 2024-011591.45              | Vero Moda Tilburg          | Heuvelstraat 77, 5038AC, Tilburg               |
| 2024-011591.46              | Vive VOF                   | Juliana van Stolbergstraat 15, 5038AM, Tilburg |
| 2024-011591-2025- 002437.47 | Ananda                     | Nieuwlandstraat 36, 5038 SP, Tilburg           |
| 2024-011591-2025- 002437.48 | Casa                       | Pieter Vreedeplein 156, 5038 BW, Tilburg       |
| 2024-011591-2025- 002437.49 | Costes                     | Pieter Vreedeplein 85, 5038 AG, Tilburg        |
| 2024-011591-2025- 002437.50 | Decathlon tilburg          | Pieter Vreedeplein 165, 5038 BW, Tilburg       |
&lt;!-- image --&gt;
## Datum
11 september 2025
## Ons kenmerk
2024-011591/2025-002437/2025022203
| 2024-011591-2025- 002437.51   | Gianotten Mutsaers                    | Emmapassage 17, 5038 XA, Tilburg         |
|-------------------------------|---------------------------------------|------------------------------------------|
| 2024-011591-2025- 002437.52   | Guill van de Ven Fietsspecialist B.V. | Nieuwlandstraat 47, 5038 SM, Tilburg     |
| 2024-011591-2025- 002437.53   | H&amp;M Tilburg                           | Heuvelstraat 75, 5038 AC, Tilburg        |
| 2024-011591-2025- 002437.54   | Intersport Twinsport                  | Pieter Vreedeplein 157, 5038 BW, Tilburg |
| 2024-011591-2025- 002437.55   | Kruidvat Heuvelstraat                 | Heuvelstraat 67, 5038 AC, Tilburg        |
| 2024-011591-2025- 002437.56   | Kruidvat Pieter Vreedeplein           | Pieter Vreedeplein 167, 5038 BW, Tilburg |
| 2024-011591-2025- 002437.57   | Kruidvat Zomerstraat                  | Zomerstraat 49B, 5038 TR, Tilburg        |
| 2024-011591-2025- 002437.58   | Levi's                                | Frederikestraat 3, 5038 AZ, Tilburg      |
| 2024-011591-2025- 002437.59   | NewYorker                             | Heuvelstraat 16, 5038 AC, Tilburg        |
| 2024-011591-2025- 002437.60   | Normal                                | Heuvelstraat 9-11, 5038 AA, Tilburg      |
| 2024-011591-2025- 002437.61   | Siebel Juweliers                      | Heuvelstraat 74, 5038 AG, Tilburg        |
| 2024-011591-2025- 002437.62   | Sissy-Boy                             | Pieter Vreedeplein 150, 5038 BW, Tilburg |
| 2024-011591-2025- 002437.63   | The Sting                             | Pieter Vreedeplein 83, 5038 BW, Tilburg  |
&lt;!-- image --&gt;
## Datum
11 september 2025
## Ons kenmerk
2024-011591/2025-002437/2025022203
## Bijlage: 4 nieuwe deelnemende winkeliers - winkelgebied Binnenstad Tilburg
| Zaaknummer                               | Naam aanvrager, eigenaar van:   | Adresgegevens:                       |
|------------------------------------------|---------------------------------|--------------------------------------|
| 2024-011591/2025- 002437/2025- 022203.64 | Cool Bananas                    | Nieuwlandstraat 23, 5038 SL, Tilburg |
| 2024-011591/2025- 002437/2025- 022203.65 | Kruidvat                        | Piusplein 32, 5038 WN, Tilburg       |
| 2024-011591/2025- 002437/2025- 022203.66 | Parfumerie Douglas              | Heuvelstraat 23, 5038 AA, Tilburg    |
| 2024-011591/2025- 002437/2025- 022203.67 | Solow                           | Heuvelstraat 101C, 5038 AC, Tilburg  |</t>
  </si>
  <si>
    <t>DRE_verlening_subsidie_stichting_de_nieuwe_rentmeester_geredigeerd.txt::Besluitvormend Orgaan</t>
  </si>
  <si>
    <t>Gedeputeerde Staten van Drenthe [9064:9095]</t>
  </si>
  <si>
    <t>[...] AGVV. De subsidiebeschikking wordt ook gepubliceerd op de website van de Europese Commissie. Namen van personen worden niet genoemd. ## Hebt u vragen? Als u vragen hebt, neem dan contact op met Hoogachtend, Gedeputeerde Staten van Drenthe, &lt;!-- image --&gt; ## Bezwaar Bent u het niet eens met dit besluit, dan kunt u binnen zes weken na de dag van verzending ervan, hiertegen een bezwaarschrift indienen bij het college van Gedeputeerde Staten van Dre [...]</t>
  </si>
  <si>
    <t>DRE_verlening_subsidie_stichting_de_nieuwe_rentmeester_geredigeerd.txt::Rechtshandeling</t>
  </si>
  <si>
    <t>verlenen [664:672]</t>
  </si>
  <si>
    <t>[...] wgezet' aan de Hoofdweg 150 in Veenhuizen. In deze brief leest u ons besluit. ## U ontvangt een incidentele subsidie van 80% van de subsidiabele kosten tot een maximum van € 200.000,-- Dit is de subsidie die wij u verlenen. U ontvangt de subsidie voor de uitvoering van het project restauratie rijksmonument Hoofdlaan 150. De door u voorgestelde activiteit pas binnen de doelstellingen van de provincie Drenthe. U bent voornemens restaurat [...]</t>
  </si>
  <si>
    <t>DRE_verlening_subsidie_stichting_de_nieuwe_rentmeester_geredigeerd.txt::Rechtsobject</t>
  </si>
  <si>
    <t>subsidie [645:654]</t>
  </si>
  <si>
    <t>subsidie [645:653]</t>
  </si>
  <si>
    <t>&lt;!-- image --&gt;
Datum 11 september 2025
Ons kenmerk 2025-022232
Bulkbesluit inzake de vergunningaanvragen voor de verwerking van gegevens van strafrechtelijke aard ten behoeve van derden van de verwerking 'Collectief Winkelverbod' door de in de bijlage genoemde winkeliers van het winkelgebied Centrum Hoensbroek- 2025-022232
## 1 Inleiding: aanleiding vergunningaanvraag
1. Op 3 juli 2025 heeft het Centrum voor Criminaliteitspreventie en Veiligheid (hierna: het CCV) ingevolge artikel 33, vierde lid, aanhef en onder c, van de Uitvoeringswet Algemene verordening gegevensbescherming (UAVG) - bij de Autoriteit Persoonsgegevens (AP) een bulkvergunningaanvraag ingediend namens de in de bijlage van het besluit genoemde winkeliers in winkelgebied Centrum Hoensbroek. Ter onderbouwing van de aanvraag, heeft het CCV een protocol en een gegevensbeschermingseffectbeoordeling (ook wel data protection impact assessment/DPIA genoemd) bijgevoegd. Deze aanvraag is bij de AP bekend onder het zaaknummer 2025-022232 en onder de zaaknaam ' Bulkvergunningaanvraag winkelgebied Centrum Hoensbroek'.
## Procesverloop
- -Op 3 juli 2025 heeft de AP de bulkvergunningaanvraag voor 17 winkeliers inzake een Collectief Winkelverbod in winkelgebied Centrum Hoensbroek van het CCV ontvangen.
- -Op 19 augustus 2025 heeft de AP geconstateerd dat de vergunningaanvraag incompleet was en de AP heeft op 19 augustus 2025 verzocht om de vergunningaanvraag aan te vullen.
- -Vervolgens heeft het CCV op 3 september 2025 de ontbrekende informatie en documenten aangeleverd.
2. Op grond van artikel 33, vierde lid, aanhef en onder c, UAVG mogen persoonsgegevens van strafrechtelijke aard ten behoeve van derden worden verwerkt indien de AP een vergunning voor de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3. In het navolgende concludeert de AP dat er een bulkvergunning voor de verwerking van gegevens van strafrechtelijke aard ten behoeve van derden kan worden verleend aan de individuele winkeliers, genoemd in de bijlage, omdat voldoende is aangetoond dat de verwerking noodzakelijk is met het oog op een zwaarwegend belang van derden en bij de uitvoering is voorzien in zodanige waarborgen dat de persoonlijke levenssfeer van de betrokkene niet onevenredig wordt geschaad. Het vorenstaande is uitgewerkt in het aangeleverde protocol en de DPIA.
&lt;!-- image --&gt;
## Datum
11 september 2025
## 2 Procedureverloop
4. De AP heeft het Protocol (collectief) winkelverbod, versie april 2020 (hierna: modelprotocol collectief winkelverbod) en d e Data Protection Impact Assessment - Registratie en gebruik winkelverboden, versie april 2020 (hierna: model-DPIA collectief winkelverbod) beoordeeld. De AP is op basis van de hiervoor genoemde documenten en de nadere toelichting die daarop is gegeven door het CCV, tot de conclusie gekomen dat de AP in genoemde documenten geen strijdigheden ziet met de AVG en de UAVG. De AP heeft dit bevestigd in haar brief van 18 mei 2020, waarbij is aangegeven dat aan de nog af te geven vergunningen in elk geval een aantal specifieke aanvullende voorschriften worden verbonden (zie onder overwegingen 12, 13, 14, 15 en 16 van dit besluit). Na afstemming met het CCV (landelijk) heeft de AP per brief van 14 april 2022 aangegeven dat de geldigheidstermijn van het modelprotocol, model-DPIA collectief winkelverbod en alle bulkvergunningen loopt tot 31 maart 2027.
5. De lokale ondernemers hebben schriftelijk verklaard dat zij het modelprotocol collectief winkelverbod (april 2020) en model-DPIA collectief winkelverbod (april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het winkelverbod is om de criminele derving, agressie en geweld tegen te gaan binnen de detailhandel.
7. In eerste instantie krijgt iemand na een strafbaar feit een collectieve waarschuwing voor een jaar. Gedurende dit jaar kunnen de winkels nog steeds worden bezocht. Wanneer betrokkene in deze periode nogmaals in de fout gaat, wordt gedurende één of twee jaar de toegang ontzegd tot alle deelnemende ondernemingen in het betreffende winkelgebied, dan wel (wanneer sprake is van een winkelgebied met één eigenaar) tot het winkelcentrum zelf. Andere winkelgebieden en winkels van niet-deelnemende ondernemingen blijven dus toegankelijk. Uiteraard kan ook nog steeds gebruik worden gemaakt van bezorgdiensten, zodat niemand de mogelijkheid wordt ontzegd om aan de eerste levensbehoeften te komen.
8. Een individueel winkelverbod is bedoeld om een overlastgever uit een specifieke winkel te weren. Deze verboden worden (alleen zichtbaar voor de betreffende winkel en de beheerder) wel in het systeem opgenomen. Hiermee wordt het mogelijk om, wanneer blijkt dat het iemand betreft die in meerdere winkels overlast veroorzaakt, het individueel verbod te wijzigen in een collectief verbod.
9. Een collectief winkelverbod (waar eventueel een waarschuwing aan voorafgaat) levert een belangrijke bijdrage aan het tegengaan van criminele derving, agressie en geweld binnen de detailhandel. Om een collectief winkelverbod te handhaven is samenwerking tussen winkelondernemers, waarbij personen die zich schuldig maken aan overlast en/of strafbare feiten in een systeem worden geregistreerd, noodzakelijk.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 Ons kenmerk
2025-022232
&lt;!-- image --&gt;
## Datum
11 september 2025
## Ons kenmerk
2025-022232
Artikel 1 UAVG bepaalt: ' In deze wet en de daarop berustende bepalingen wordt verstaan onder:
##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Artikel 31 UAVG bepaalt: 'Onverminderd artikel 10 van de verordening mogen persoonsgegevens van strafrechtelijke aard alleen worden verwerkt voor zover dit krachtens de artikelen 32 en 33 is toegestaan.'
Artikel 33, vierde lid, aanhef en onder c, UAVG bepaalt: 'Persoonsgegevens van strafrechtelijke aard mogen ten behoeve van derden worden verwerkt:
## […]
c. indien de Autoriteit persoonsgegevens met inachtneming van het vijfde lid een vergunning voor de verwerking heeft verleend .'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Artikel 6, eerste lid, aanhef en onder f, AVG bepaalt: ' De verwerking is alleen rechtmatig indien en voor zover aan ten minste een van de onderstaande voorwaarden is voldaan:
##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betrokkene niet zwaarder wegen, rekening houdend met de redelijke verwachtingen van de betrokkene op basis van zijn verhouding met de verwerkingsverantwoordelijke. […] In elk geval is een zorgvuldige beoordeling geboden om te bepalen of sprake is van een gerechtvaardigd belang, alsook om te bepalen of een betrokkene op het tijdstip en in het kader van de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De verwerking van persoonsgegevens die strikt noodzakelijk is voor fraudevoorkoming is ook een gerechtvaardigd belang van de verwerkingsverantwoordelijke in kwestie. […]'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&lt;!-- image --&gt;
## Ons kenmerk
2025-022232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verrichtte beoordeling.
12. Het conformeren aan het modelprotocol collectief winkelverbod en model-DPIA collectief winkelverbod (versie april 2020) leidt tot het op een AVG-conforme wijze bijhouden van enerzijds de opgelegde individuele winkelverboden (voor intern/eigen gebruik) en anderzijds het delen met derden van strafrechtelijke persoonsgegevens ten aanzien van opgelegde collectieve winkelverboden. In het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15. Daarnaast dienen voor het verkrijgen van een vergunning voor het voeren van en/of deelname aan de hiervoor genoemde registratie van personen aan wie een collectief winkelverbod is opgelegd, ook de aanvullende vergunningsvoorschriften (zie hieronder) in acht genomen te worden.
16. Zoals ook onder overweging 4 van dit besluit is aangegeven, zijn er aanvullende voorschriften verbonden aan deze vergunningen. De aanvullende voorschriften, zoals ook benoemd in de brief van de AP van 18 mei 2020 aan het CCV,  zijn, dat:
- a. de lokale ondernemers (gezamenlijke verwerkingsverantwoordelijken) jaarlijks - gecoördineerd door het CCV 1 - een evaluatie van het modelprotocol en model-DPIA 2 van het collectief winkelverbod dienen uit te voeren. De AP ontvangt op aanvraag een afschrift van deze evaluatie.
- b. in aansluiting op voorschrift b de verwerkingsverantwoordelijke bij deze jaarlijkse evaluatie in elk geval expliciet zal ingaan op:
3.  (de omvang van) de deelnemerslijst (ofwel: de lijst waarin de lokale ondernemers zijn opgesomd, die deelnemen aan het collectief winkelverbod in dat bepaalde winkelgebied). 3
4.  het aantal opgelegde individuele en collectieve winkelverboden en collectieve waarschuwingen.
1  Hierdoor kan een uniforme werkwijze voor alle bij het CCV aangesloten winkeliersverenigingen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3  Deze deelnemerslijst wordt door het CCV via een website actueel gehouden, zodat kenbaar is welke winkeliers deelnemen aan het collectief verbod in een bepaald gebied.
&lt;!-- image --&gt;
## Datum
11 september 2025
&lt;!-- image --&gt;
-  het aantal (wegens verlopen van de looptijd of om andere redenen) verwijderde individuele en collectieve verboden en collectieve waarschuwingen.
-  de meldingen van eventuele bijzondere incidenten waarbij de aard en de omvang daarvan wordt beschreven, of van andere vermeldingswaardige bijzonderheden.
- c. de vergunning is  - behoudens ingrijpende wetswijzigingen of wijzigingen van de gegevensverwerking - geldig tot 31 maart 2027.
- d. de verwerkingsverantwoordelijke (lokale ondernemer) diens gegevens volledig conform het modelprotocol en model-DPIA zal verwerken. Dat wil zeggen dat de lokale ondernemer het modelprotocol en model-DPIA ongewijzigd overneemt en de gegevens van de opgelegde collectieve winkelverboden precies, zoals in het modelprotocol en model-DPIA omschreven wordt, gaat verwerken.
## 6 Conclusie
17. De AP is van oordeel dat de in de bijlage genoemde winkeliers - door zich te conformeren aan de reeds door de AP beoordeelde modelprotocol en model-DPIA (versie april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Den Haag, 11 september 2025
Autoriteit Persoonsgegevens,
Overeenkomstig het door de Autoriteit Persoonsgegevens genomen besluit,
ir. N.G. de Jong
Directeur Systeemtoezicht, Beveiliging en Technologie
&lt;!-- image --&gt;
## Datum
11 september 2025
## Ons kenmerk 2025-022232
## Bijlage: 17 deelnemende winkeliers - winkelgebied Centrum Hoensbroek
| Zaaknummer     | Naam aanvrager, eigenaar van:   | Adresgegevens:                           |
|----------------|---------------------------------|------------------------------------------|
| 2025-022232.1  | Albert Heijn Hoensbroek BV      | Kouvenderstraat 100, 6431 HH, Hoensbroek |
| 2025-022232.2  | Aldi                            | Markt 16, 6431 LG, Hoensbroek            |
| 2025-022232.3  | Bianca's Dierenvoeders          | Hoofdstraat 19, 6413 LA, Hoensbroek      |
| 2025-022232.4  | De doorstap                     | Kouvenderstraat 76, 6431 HH, Hoensbroek  |
| 2025-022232.5  | Divine VOF                      | Kouvenderstraat 34, 6431 HG, Hoensbroek  |
| 2025-022232.6  | DYF Living                      | Kouvenderstraat 36, 6431 HG, Hoensbroek  |
| 2025-022232.7  | Etos Hoensbroek                 | Gebrookerplein 4, 6431 LX, Hoensbroek    |
| 2025-022232.8  | Intertoys Hoensbroek            | Kouvenderstraat 73, 6431 HB, Hoensbroek  |
| 2025-022232.9  | Juwelier Willems                | Hoofdstraat 45, 6431 LB, Hoensbroek      |
| 2025-022232.10 | Kruidvat 2340                   | Kouvenderstraat 59, 6431 HB, Hoensbroek  |
| 2025-022232.11 | Nador Market                    | Hoofdstraat 12, 6431 LC, Hoensbroek      |
| 2025-022232.12 | Pearle Opticiens                | Kouvenderstraat 17, 6431 HA, Hoensbroek  |
&lt;!-- image --&gt;
## Datum
11 september 2025
## Ons kenmerk
2025-022232
| 2025-022232.13   | PLUS Danny Rosenboom      | Gebrookerplein 22, 6431 LX, Hoensbroek   |
|------------------|---------------------------|------------------------------------------|
| 2025-022232.14   | Poelman Parfums           | Hoofdstraat 28, 6431 LC, Hoensbroek      |
| 2025-022232.15   | Read Shop Vromen          | Nieuwstraat 12, 6431 KT, Hoensbroek      |
| 2025-022232.16   | Schoenmode Crijns         | Kouvenderstraat 40, 6431 HG, Hoensbroek  |
| 2025-022232.17   | Van Geemen Gereedschappen | Kouvenderstraat 72, 6431 HG, Hoensbroek  |</t>
  </si>
  <si>
    <t>[...] rijksmonument 'Nauwgezet' aan de Hoofdweg 150 in Veenhuizen. In deze brief leest u ons besluit. ## U ontvangt een incidentele subsidie van 80% van de subsidiabele kosten tot een maximum van € 200.000,-- Dit is de subsidie die wij u verlenen. U ontvangt de subsidie voor de uitvoering van het project restauratie rijksmonument Hoofdlaan 150. De door u voorgestelde activiteit pas binnen de doelstellingen van de provincie Drenthe. U bent vo [...]</t>
  </si>
  <si>
    <t>DRE_verlening_subsidie_stichting_technologiecentrum_noord-nederland_geredigeerd-1.txt::Ontvanger</t>
  </si>
  <si>
    <t>DRE_verlening_subsidie_stichting_technologiecentrum_noord-nederland_geredigeerd-1.txt</t>
  </si>
  <si>
    <t>Stichting TechnologieCentrum Noord-Nederland</t>
  </si>
  <si>
    <t>stichting technologiecentrum noord-nederland</t>
  </si>
  <si>
    <t>Stichting TechnologieCentrum Noord-Nederland [54:98]</t>
  </si>
  <si>
    <t>www.provincie.drenthe.nl &lt;!-- image --&gt; Aan: Stichting TechnologieCentrum Noord-Nederland t.a.v. Paterswoldseweg 810 9728 BM GRONINGEN ## 9728BM810 Assen, 10 december 2025 Ons kenmerk: 202502079-01178877 Behandeld door Verplichtingennummer V014789 Onderwerp: Verlening subsidie Noord- [...]</t>
  </si>
  <si>
    <t>DRE_verlening_subsidie_stichting_technologiecentrum_noord-nederland_geredigeerd-1.txt::Besluitvormend Orgaan</t>
  </si>
  <si>
    <t>Gedeputeerde Staten van Drenthe [10270:10301]</t>
  </si>
  <si>
    <t>[...] GVV. De subsidiebeschikking wordt ook gepubliceerd op de website van de Europese Commissie. Namen van personen worden niet genoemd. ## Heeft u vragen? Als u vragen heeft, neem dan contact op met Hoogachtend, Gedeputeerde Staten van Drenthe, namens dezen, i.o. &lt;!-- image --&gt; &lt;!-- image --&gt; . ## Bezwaar Bent u het niet eens met dit besluit, dan kunt u binnen zes weken na de dag van verzending ervan hiertegen een bezwaarschrift indienen bij he [...]</t>
  </si>
  <si>
    <t>&lt;!-- image --&gt;
Datum 8 september 2025
Ons kenmerk 2025-012716
Bulkbesluit inzake de vergunningaanvragen voor de verwerking van gegevens van strafrechtelijke aard ten behoeve van derden van de verwerking 'Collectief Winkelverbod' door de in de bijlage genoemde winkeliers van het winkelgebied Winkelcentrum Donderberg 2025-012716
## 1 Inleiding: aanleiding vergunningaanvraag
1. Op 24 april 2025 heeft het Centrum voor Criminaliteitspreventie en Veiligheid (hierna: het CCV) ingevolge artikel 33, vierde lid, aanhef en onder c, van de Uitvoeringswet Algemene verordening gegevensbescherming (UAVG) - bij de Autoriteit Persoonsgegevens (AP) een bulkvergunningaanvraag ingediend namens de in de bijlage van het besluit genoemde winkeliers in het winkelgebied Winkelcentrum Donderberg. Ter onderbouwing van de aanvraag, heeft het CCV een protocol en een gegevensbeschermingseffectbeoordeling (ook wel data protection impact assessment/DPIA genoemd) bijgevoegd. Deze aanvraag is bij de AP bekend onder het zaaknummer 2025-012716 en onder de zaaknaam 'Bulkvergunningaanvraag winkelgebied Winkelcentrum Donderberg '.
## Procesverloop
- -Op 24 april 2025 heeft de AP de bulkvergunningaanvraag voor 11 winkeliers inzake een Collectief Winkelverbod in winkelgebied Winkelcentrum Donderberg van het CCV ontvangen.
- -Op 21 mei 2025 heeft de AP geconstateerd dat de vergunningaanvraag incompleet was en de AP heeft op 21 mei 2025 verzocht om de vergunningaanvraag aan te vullen.
- -Op 26 juni 2025 en 14 juli 2025 heeft de AP het CCV nogmaals verzocht om de bulkvergunningaanvraag aan te vullen.
- -Op 16 juli 2025 heeft de AP van het CCV vernomen dat het winkelgebied winkelcentrum Donderberg in overleg is over het wel of niet voortzetten van de aanvraag, zonder deelname van de betreffende horecaondernemers.
- -Op 18 augustus 2025 heeft het CCV de ontbrekende informatie en documenten aangeleverd. Daarnaast is op 18 augustus 2025 het aantal deelnemers gewijzigd van 11 naar 8, doordat 3 horecaondernemers niet langer deelnemen aan de bulkvergunningaanvraag.
2. Op grond van artikel 33, vierde lid, aanhef en onder c, UAVG mogen persoonsgegevens van strafrechtelijke aard ten behoeve van derden worden verwerkt indien de AP een vergunning voor de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&lt;!-- image --&gt;
## Ons kenmerk
2025-012716
3. In het navolgende concludeert de AP dat er een bulkvergunning voor de verwerking van gegevens van strafrechtelijke aard ten behoeve van derden kan worden verleend aan de individuele winkeliers, genoemd in de bijlage, omdat voldoende is aangetoond dat de verwerking noodzakelijk is met het oog op een zwaarwegend belang van derden en bij de uitvoering is voorzien in zodanige waarborgen dat de persoonlijke levenssfeer van de betrokkene niet onevenredig wordt geschaad. Het vorenstaande is uitgewerkt in het aangeleverde protocol en de DPIA.
## 2 Procedureverloop
4. De AP heeft het Protocol (collectief) winkelverbod, versie april 2020 (hierna: modelprotocol collectief winkelverbod) en d e Data Protection Impact Assessment - Registratie en gebruik winkelverboden, versie april 2020 (hierna: model-DPIA collectief winkelverbod) beoordeeld. De AP is op basis van de hiervoor genoemde documenten en de nadere toelichting die daarop is gegeven door het CCV, tot de conclusie gekomen dat de AP in genoemde documenten geen strijdigheden ziet met de AVG en de UAVG. De AP heeft dit bevestigd in haar brief van 18 mei 2020, waarbij is aangegeven dat aan de nog af te geven vergunningen in elk geval een aantal specifieke aanvullende voorschriften worden verbonden (zie onder overwegingen 12, 13, 14, 15 en 16 van dit besluit). Na afstemming met het CCV (landelijk) heeft de AP per brief van 14 april 2022 aangegeven dat de geldigheidstermijn van het modelprotocol, model-DPIA collectief winkelverbod en alle bulkvergunningen loopt tot 31 maart 2027.
5. De lokale ondernemers hebben schriftelijk verklaard dat zij het modelprotocol collectief winkelverbod (april 2020) en model-DPIA collectief winkelverbod (april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het winkelverbod is om de criminele derving, agressie en geweld tegen te gaan binnen de detailhandel.
7. In eerste instantie krijgt iemand na een strafbaar feit een collectieve waarschuwing voor een jaar. Gedurende dit jaar kunnen de winkels nog steeds worden bezocht. Wanneer betrokkene in deze periode nogmaals in de fout gaat, wordt gedurende één of twee jaar de toegang ontzegd tot alle deelnemende ondernemingen in het betreffende winkelgebied, dan wel (wanneer sprake is van een winkelgebied met één eigenaar) tot het winkelcentrum zelf. Andere winkelgebieden en winkels van niet-deelnemende ondernemingen blijven dus toegankelijk. Uiteraard kan ook nog steeds gebruik worden gemaakt van bezorgdiensten, zodat niemand de mogelijkheid wordt ontzegd om aan de eerste levensbehoeften te komen.
8. Een individueel winkelverbod is bedoeld om een overlastgever uit een specifieke winkel te weren. Deze verboden worden (alleen zichtbaar voor de betreffende winkel en de beheerder) wel in het systeem opgenomen. Hiermee wordt het mogelijk om, wanneer blijkt dat het iemand betreft die in meerdere winkels overlast veroorzaakt, het individueel verbod te wijzigen in een collectief verbod.
&lt;!-- image --&gt;
## Datum
8 september 2025
## Ons kenmerk
2025-012716
9. Een collectief winkelverbod (waar eventueel een waarschuwing aan voorafgaat) levert een belangrijke bijdrage aan het tegengaan van criminele derving, agressie en geweld binnen de detailhandel. Om een collectief winkelverbod te handhaven is samenwerking tussen winkelondernemers, waarbij personen die zich schuldig maken aan overlast en/of strafbare feiten in een systeem worden geregistreerd, noodzakelijk.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Artikel 1 UAVG bepaalt: ' In deze wet en de daarop berustende bepalingen wordt verstaan onder: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Artikel 31 UAVG bepaalt: 'Onverminderd artikel 10 van de verordening mogen persoonsgegevens van strafrechtelijke aard alleen worden verwerkt voor zover dit krachtens de artikelen 32 en 33 is toegestaan.'
Artikel 33, vierde lid, aanhef en onder c, UAVG bepaalt: 'Persoonsgegevens van strafrechtelijke aard mogen ten behoeve van derden worden verwerkt:
## […]
c. indien de Autoriteit persoonsgegevens met inachtneming van het vijfde lid een vergunning voor de verwerking heeft verleend .'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Artikel 6, eerste lid, aanhef en onder f, AVG bepaalt: ' De verwerking is alleen rechtmatig indien en voor zover aan ten minste een van de onderstaande voorwaarden is voldaan:
##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betrokkene niet zwaarder wegen, rekening houdend met de redelijke verwachtingen van de betrokkene op basis van zijn
&lt;!-- image --&gt;
## Datum
8 september 2025
## Ons kenmerk
2025-012716
verhouding met de verwerkingsverantwoordelijke. […] In elk geval is een zorgvuldige beoordeling geboden om te bepalen of sprake is van een gerechtvaardigd belang, alsook om te bepalen of een betrokkene op het tijdstip en in het kader van de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De verwerking van persoonsgegevens die strikt noodzakelijk is voor fraudevoorkoming is ook een gerechtvaardigd belang van de verwerkingsverantwoordelijke in kwestie. […]'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verrichtte beoordeling.
12. Het conformeren aan het modelprotocol collectief winkelverbod en model-DPIA collectief winkelverbod (versie april 2020) leidt tot het op een AVG-conforme wijze bijhouden van enerzijds de opgelegde individuele winkelverboden (voor intern/eigen gebruik) en anderzijds het delen met derden van strafrechtelijke persoonsgegevens ten aanzien van opgelegde collectieve winkelverboden. In het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15. Daarnaast dienen voor het verkrijgen van een vergunning voor het voeren van en/of deelname aan de hiervoor genoemde registratie van personen aan wie een collectief winkelverbod is opgelegd, ook de aanvullende vergunningsvoorschriften (zie hieronder) in acht genomen te worden.
16. Zoals ook onder overweging 4 van dit besluit is aangegeven, zijn er aanvullende voorschriften verbonden aan deze vergunningen. De aanvullende voorschriften, zoals ook benoemd in de brief van de AP van 18 mei 2020 aan het CCV,  zijn, dat:
&lt;!-- image --&gt;
## Datum
8 september 2025
## Ons kenmerk
2025-012716
- a. de lokale ondernemers (gezamenlijke verwerkingsverantwoordelijken) jaarlijks - gecoördineerd door het CCV 1 - een evaluatie van het modelprotocol en model-DPIA 2 van het collectief winkelverbod dienen uit te voeren. De AP ontvangt op aanvraag een afschrift van deze evaluatie.
- b. in aansluiting op voorschrift b de verwerkingsverantwoordelijke bij deze jaarlijkse evaluatie in elk geval expliciet zal ingaan op:
3.  (de omvang van) de deelnemerslijst (ofwel: de lijst waarin de lokale ondernemers zijn opgesomd, die deelnemen aan het collectief winkelverbod in dat bepaalde winkelgebied). 3
4.  het aantal opgelegde individuele en collectieve winkelverboden en collectieve waarschuwingen.
5.  het aantal (wegens verlopen van de looptijd of om andere redenen) verwijderde individuele en collectieve verboden en collectieve waarschuwingen.
6.  de meldingen van eventuele bijzondere incidenten waarbij de aard en de omvang daarvan wordt beschreven, of van andere vermeldingswaardige bijzonderheden.
- c. de vergunning is  - behoudens ingrijpende wetswijzigingen of wijzigingen van de gegevensverwerking - geldig tot 31 maart 2027.
- d. de verwerkingsverantwoordelijke (lokale ondernemer) diens gegevens volledig conform het modelprotocol en model-DPIA zal verwerken. Dat wil zeggen dat de lokale ondernemer het modelprotocol en model-DPIA ongewijzigd overneemt en de gegevens van de opgelegde collectieve winkelverboden precies, zoals in het modelprotocol en model-DPIA omschreven wordt, gaat verwerken.
## 6 Conclusie
17. De AP is van oordeel dat de in de bijlage genoemde winkeliers - door zich te conformeren aan de reeds door de AP beoordeelde modelprotocol en model-DPIA (versie april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1  Hierdoor kan een uniforme werkwijze voor alle bij het CCV aangesloten winkeliersverenigingen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3  Deze deelnemerslijst wordt door het CCV via een website actueel gehouden, zodat kenbaar is welke winkeliers deelnemen aan het collectief verbod in een bepaald gebied.
&lt;!-- image --&gt;
## Datum
## Ons kenmerk
8 september 2025
2025-012716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Den Haag, 8 september 2025
Autoriteit Persoonsgegevens, Overeenkomstig het door de Autoriteit Persoonsgegevens genomen besluit,
ir. N.G. de Jong Directeur Systeemtoezicht, Beveiliging en Technologie
&lt;!-- image --&gt;
## Datum
8 september 2025
## Ons kenmerk
2025-012716
## Bijlage: 8 deelnemende winkeliers - winkelgebied Winkelcentrum Donderberg
| Zaaknummer    | Naam aanvrager, eigenaar van:   | Adresgegevens:                           |
|---------------|---------------------------------|------------------------------------------|
| 2025-012716.1 | Dost Market                     | Kasteel Hornstraat 7, 6043 JR, Roermond  |
| 2025-012716.2 | Jumbo                           | Kasteel Hornstraat 35, 6043 JR, Roermond |
| 2025-012716.3 | Kruidvat                        | Kasteel Hornstraat 21, 6043 JR, Roermond |
| 2025-012716.4 | Lidl                            | Kasteel Hornstraat 19, 6043 JR, Roermond |
| 2025-012716.5 | Marc Fleuren, De Echte Bakker   | Kasteel Hornstraat 27, 6043 JR, Roermond |
| 2025-012716.6 | M-Polonia                       | Kasteel Hornstraat 39, 6043 JR, Roermond |
| 2025-012716.7 | The Read Shop Express Roermond  | Kasteel Hornstraat 13, 6043 JR, Roermond |
| 2025-012716.8 | Zeeman                          | Kasteel Hornstraat 37, 6043 JR, Roermond |</t>
  </si>
  <si>
    <t>DRE_verlening_subsidie_stichting_technologiecentrum_noord-nederland_geredigeerd-1.txt::Rechtshandeling</t>
  </si>
  <si>
    <t>verlenen [637:645]</t>
  </si>
  <si>
    <t>[...] ber 2025 ontvingen wij uw subsidieaanvraag. U vraagt aan ons een cofinancieringsubsidie van € 118.196,00. In deze brief leest u ons besluit. ## U ontvangt een subsidie van € 118.196,00 Dit is de subsidie die wij u verlenen. U ontvangt de subsidie voor de uitvoering van het project NoordNederland koploper in het verminderen van Medicijnresten uit Water . Met dit project vergroot u het verdienvermogen van Noord-Nederland door innovatieve op [...]</t>
  </si>
  <si>
    <t>DRE_verlening_subsidie_stichting_technologiecentrum_noord-nederland_geredigeerd-1.txt::Rechtsobject</t>
  </si>
  <si>
    <t>subsidie [618:627]</t>
  </si>
  <si>
    <t>subsidie [618:626]</t>
  </si>
  <si>
    <t>[...] tuur, Op 13 oktober 2025 ontvingen wij uw subsidieaanvraag. U vraagt aan ons een cofinancieringsubsidie van € 118.196,00. In deze brief leest u ons besluit. ## U ontvangt een subsidie van € 118.196,00 Dit is de subsidie die wij u verlenen. U ontvangt de subsidie voor de uitvoering van het project NoordNederland koploper in het verminderen van Medicijnresten uit Water . Met dit project vergroot u het verdienvermogen van Noord-Nederland d [...]</t>
  </si>
  <si>
    <t>DRE_verlening_subsidie_stichting_veenomenaal_veenpark.txt::Ontvanger</t>
  </si>
  <si>
    <t>DRE_verlening_subsidie_stichting_veenomenaal_veenpark.txt</t>
  </si>
  <si>
    <t>Aan: Stichting Veenomenaal Veenpark t.a.v. het bestuur Berkenrode 4 7884 TR BARGER-COMPASCUUM 7884 TR4 Assen, 19 november 2021 Ons kenmerk 202103177-00970651 Behandeld door Verplichtingennummer 80224 Onderwerp: Verlening subsidie professio [...]</t>
  </si>
  <si>
    <t>DRE_verlening_subsidie_stichting_veenomenaal_veenpark.txt::Besluitvormend Orgaan</t>
  </si>
  <si>
    <t>Gedeputeerde Staten van Drenthe [7031:7062]</t>
  </si>
  <si>
    <t>[...] dat de aan uw onderneming verleende steun onrechtmatig is en onverenigbaar is verklaard met de interne markt. ## Nadere informatie Mocht u nog vragen hebben, dan kunt u contact opnemen met . Hoogachtend, Gedeputeerde Staten van Drenthe, namens dezen, &lt;!-- image --&gt; ir. R. Bakker, Teammanager Subsidies en Inkoop ## Bezwaar Bent u het niet eens met dit besluit, dan kunt u binnen zes weken na de dag van verzending ervan hiertegen een bezwaars [...]</t>
  </si>
  <si>
    <t>DRE_verlening_subsidie_stichting_veenomenaal_veenpark.txt::Rechtshandeling</t>
  </si>
  <si>
    <t>&lt;!-- image --&gt;
Datum
14 augustus 2023
Ons kenmerk z2023-02774
Bulkbesluit inzake de vergunningaanvragen voor de verwerking van gegevens van strafrechtelijke aard ten behoeve van derden van de verwerking 'Collectief Winkelverbod' door de in de bijlage genoemde winkeliers van het winkelgebied Breda Binnenstad - z2023-02774
## 1 Inleiding: aanleiding vergunningaanvraag
1. Op 16 februari 2023 heeft het Centrum voor Criminaliteitspreventie en Veiligheid (hierna: het CCV) - ingevolge artikel 33, vierde lid, aanhef en onder c, van de Uitvoeringswet Algemene verordening gegevensbescherming (UAVG) - bij de Autoriteit Persoonsgegevens (AP) een bulkvergunningaanvraag ingediend namens de in de bijlage van het besluit genoemde winkeliers in het winkelgebied Breda Binnenstad. Ter onderbouwing van de aanvraag, heeft het CCV een protocol en een gegevensbeschermingseffectbeoordeling (ook wel data protection impact assessment/DPIA genoemd) bijgevoegd. Deze aanvraag is bij de AP bekend onder het zaaknummer z2023-02774 en onder de zaaknaam 'Bulkvergunningaanvraag winkelgebied Breda Binnenstad'.
## Procesverloop
- -Op 22 juni 2023 heeft de AP geconstateerd dat de vergunningaanvraag incompleet was en de AP heeft op 22 juni 2023 verzocht om de vergunningaanvraag aan te vullen.
- -Vervolgens heeft het CCV op 4 juli 2023 de ontbrekende informatie en documenten aangeleverd.
- -Op 20 juli 2023 heeft de AP nogmaals geconstateerd dat de vergunningaanvraag incompleet was en de AP heeft op 20 juli 2023 verzocht om de vergunningaanvraag aan te vullen.
- -Vervolgens heeft het CCV op 21 juli 2023 de ontbrekende informatie en de documenten aangeleverd.
2. Op grond van artikel 33, vierde lid, aanhef en onder c, UAVG mogen persoonsgegevens van strafrechtelijke aard ten behoeve van derden worden verwerkt indien de AP een vergunning voor de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3. In het navolgende concludeert de AP dat er een bulkvergunning voor de verwerking van gegevens van strafrechtelijke aard ten behoeve van derden kan worden verleend aan de individuele winkeliers, genoemd in de bijlage, omdat voldoende is aangetoond dat de verwerking noodzakelijk is met het oog op een zwaarwegend belang van derden en bij de uitvoering is voorzien in zodanige waarborgen dat de persoonlijke levenssfeer van de betrokkene niet onevenredig wordt geschaad. Het vorenstaande is uitgewerkt in het aangeleverde protocol en de DPIA.
&lt;!-- image --&gt;
Datum
14 augustus 2023
## Ons kenmerk
z2023-02774
## 2 Procedureverloop
4. De AP heeft het Protocol (collectief) winkelverbod, versie april 2020 (hierna: modelprotocol collectief winkelverbod) en d e Data Protection Impact Assessment - Registratie en gebruik winkelverboden, versie april 2020 (hierna: model-DPIA collectief winkelverbod) beoordeeld. De AP is op basis van de hiervoor genoemde documenten en de nadere toelichting die daarop is gegeven door het CCV, tot de conclusie gekomen dat de AP in genoemde documenten geen strijdigheden ziet met de AVG en de UAVG. De AP heeft dit bevestigd in haar brief van 18 mei 2020, waarbij is aangegeven dat aan de nog af te geven vergunningen in elk geval een aantal specifieke aanvullende voorschriften worden verbonden (zie onder overwegingen 12, 13, 14, 15 en 16 van dit besluit). Na afstemming met het CCV (landelijk) heeft de AP per brief van 14 april 2022 aangegeven dat de geldigheidstermijn van het modelprotocol, model-DPIA collectief winkelverbod en alle bulkvergunningen loopt tot 31 maart 2027.
5. De lokale ondernemers hebben schriftelijk verklaard dat zij het modelprotocol collectief winkelverbod (april 2020) en model-DPIA collectief winkelverbod (april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het winkelverbod is om de criminele derving, agressie en geweld tegen te gaan binnen de detailhandel.
7. In eerste instantie krijgt iemand na een strafbaar feit een collectieve waarschuwing voor een jaar. Gedurende dit jaar kunnen de winkels nog steeds worden bezocht. Wanneer betrokkene in deze periode nogmaals in de fout gaat, wordt gedurende één of twee jaar de toegang ontzegd tot alle deelnemende ondernemingen in het betreffende winkelgebied, dan wel (wanneer sprake is van een winkelgebied met één eigenaar) tot het winkelcentrum zelf. Andere winkelgebieden en winkels van niet-deelnemende ondernemingen blijven dus toegankelijk. Uiteraard kan ook nog steeds gebruik worden gemaakt van bezorgdiensten, zodat niemand de mogelijkheid wordt ontzegd om aan de eerste levensbehoeften te komen.
8. Een individueel winkelverbod is bedoeld om een overlastgever uit een specifieke winkel te weren. Deze verboden worden (alleen zichtbaar voor de betreffende winkel en de beheerder) wel in het systeem opgenomen. Hiermee wordt het mogelijk om, wanneer blijkt dat het iemand betreft die in meerdere winkels overlast veroorzaakt, het individueel verbod te wijzigen in een collectief verbod.
9. Een collectief winkelverbod (waar eventueel een waarschuwing aan voorafgaat) levert een belangrijke bijdrage aan het tegengaan van criminele derving, agressie en geweld binnen de detailhandel. Om een collectief winkelverbod te handhaven is samenwerking tussen winkelondernemers, waarbij personen die zich schuldig maken aan overlast en/of strafbare feiten in een systeem worden geregistreerd, noodzakelijk.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&lt;!-- image --&gt;
## Datum
14 augustus 2023
## Ons kenmerk z2023-02774
Artikel 1 UAVG bepaalt: ' In deze wet en de daarop berustende bepalingen wordt verstaan onder: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Artikel 31 UAVG bepaalt: 'Onverminderd artikel 10 van de verordening mogen persoonsgegevens van strafrechtelijke aard alleen worden verwerkt voor zover dit krachtens de artikelen 32 en 33 is toegestaan.'
Artikel 33, vierde lid, aanhef en onder c, UAVG bepaalt: 'Persoonsgegevens van strafrechtelijke aard mogen ten behoeve van derden worden verwerkt:
## […]
c. indien de Autoriteit persoonsgegevens met inachtneming van het vijfde lid een vergunning voor de verwerking heeft verleend .'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Artikel 6, eerste lid, aanhef en onder f, AVG bepaalt: ' De verwerking is alleen rechtmatig indien en voor zover aan ten minste een van de onderstaande voorwaarden is voldaan: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betrokkene niet zwaarder wegen, rekening houdend met de redelijke verwachtingen van de betrokkene op basis van zijn verhouding met de verwerkingsverantwoordelijke. […] In elk geval is een zorgvuldige beoordeling geboden om te bepalen of sprake is van een gerechtvaardigd belang, alsook om te bepalen of een betrokkene op het tijdstip en in het kader van de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De verwerking van persoonsgegevens die strikt noodzakelijk is voor fraudevoorkoming is ook een gerechtvaardigd belang van de verwerkingsverantwoordelijke in kwestie. […]'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&lt;!-- image --&gt;
Datum
14 augustus 2023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verrichtte beoordeling.
12. Het conformeren aan het modelprotocol collectief winkelverbod en model-DPIA collectief winkelverbod (versie april 2020) leidt tot het op een AVG-conforme wijze bijhouden van enerzijds de opgelegde individuele winkelverboden (voor intern/eigen gebruik) en anderzijds het delen met derden van strafrechtelijke persoonsgegevens ten aanzien van opgelegde collectieve winkelverboden. In het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15. Daarnaast dienen voor het verkrijgen van een vergunning voor het voeren van en/of deelname aan de hiervoor genoemde registratie van personen aan wie een collectief winkelverbod is opgelegd, ook de aanvullende vergunningsvoorschriften (zie hieronder) in acht genomen te worden.
16. Zoals ook onder overweging 4 van dit besluit is aangegeven, zijn er aanvullende voorschriften verbonden aan deze vergunningen. De aanvullende voorschriften, zoals ook benoemd in de brief van de AP van 18 mei 2020 aan het CCV,  zijn, dat:
- a. de lokale ondernemers (gezamenlijke verwerkingsverantwoordelijken) jaarlijks - gecoördineerd door het CCV 1 - een evaluatie van het modelprotocol en model-DPIA 2 van het collectief winkelverbod dienen uit te voeren. De AP ontvangt op aanvraag een afschrift van deze evaluatie.
- b. in aansluiting op voorschrift b de verwerkingsverantwoordelijke bij deze jaarlijkse evaluatie in elk geval expliciet zal ingaan op:
3.  (de omvang van) de deelnemerslijst (ofwel: de lijst waarin de lokale ondernemers zijn opgesomd, die deelnemen aan het collectief winkelverbod in dat bepaalde winkelgebied). 3
4.  het aantal opgelegde individuele en collectieve winkelverboden en collectieve waarschuwingen.
1  Hierdoor kan een uniforme werkwijze voor alle bij het CCV aangesloten winkeliersverenigingen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3  Deze deelnemerslijst wordt door het CCV via een website actueel gehouden, zodat kenbaar is welke winkeliers deelnemen aan het collectief verbod in een bepaald gebied.
## Ons kenmerk
z2023-02774
&lt;!-- image --&gt;
## Datum
14 augustus 2023
## Ons kenmerk z2023-02774
-  het aantal (wegens verlopen van de looptijd of om andere redenen) verwijderde individuele en collectieve verboden en collectieve waarschuwingen.
-  de meldingen van eventuele bijzondere incidenten waarbij de aard en de omvang daarvan wordt beschreven, of van andere vermeldingswaardige bijzonderheden.
- c. de vergunning is  - behoudens ingrijpende wetswijzigingen of wijzigingen van de gegevensverwerking - geldig tot 31 maart 2027.
- d. de verwerkingsverantwoordelijke (lokale ondernemer) diens gegevens volledig conform het modelprotocol en model-DPIA zal verwerken. Dat wil zeggen dat de lokale ondernemer het modelprotocol en model-DPIA ongewijzigd overneemt en de gegevens van de opgelegde collectieve winkelverboden precies, zoals in het modelprotocol en model-DPIA omschreven wordt, gaat verwerken.
## 6 Conclusie
17. De AP is van oordeel dat de in de bijlage genoemde winkeliers - door zich te conformeren aan de reeds door de AP beoordeelde modelprotocol en model-DPIA (versie april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Den Haag, 14 augustus 2023
Autoriteit Persoonsgegevens, Overeenkomstig het door de Autoriteit Persoonsgegevens genomen besluit,
ir. C.M. Schut, MPA Directeur Systeemtoezicht, Beveiliging en Technologie
&lt;!-- image --&gt;
Datum
14 augustus 2023
Ons kenmerk
z2023-02774
## Bijlage:  36 deelnemende winkeliers - winkelgebied Breda Binnenstad
| Zaaknummer     | Naam aanvrager, eigenaar van:   | Adresgegevens:                    |
|----------------|---------------------------------|-----------------------------------|
| z2023-02774.1  | Aktie Sport                     | Ginnekenstraat 62, 4811 JJ Breda  |
| z2023-02774.2  | Albert Heijn Haagdijk           | Haagdijk 108, 4811 TW Breda       |
| z2023-02774.3  | Albert Heijn Nieuwstraat        | Nieuwstraat 45, 4811 WV Breda     |
| z2023-02774.4  | Albert Heijn Oude Vest          | Oude Vest 5, 4811 HR Breda        |
| z2023-02774.5  | Back to the Toys B.V.           | Tolbrugstraat 22, 4811 WN Breda   |
| z2023-02774.6  | Blokker                         | Ginnekenstraat 125, 4811 JG Breda |
| z2023-02774.7  | Brandfield                      | Houtmarkt 41, 4811 JC Breda       |
| z2023-02774.8  | C&amp;A                             | Concordiastraat 15, 4811 NA Breda |
| z2023-02774.9  | Casa B.V                        | Ginnekenstraat 38a, 4811 JH Breda |
| z2023-02774.10 | Claire's                        | Ginnekenstraat 31, 4811 JD Breda  |
| z2023-02774.11 | De Koopman                      | Karrestraat 8, 4811 WT Breda      |
| z2023-02774.12 | Douglas                         | Eindstraat 22, 4811 KL Breda      |
&lt;!-- image --&gt;
Datum
14 augustus 2023
## Ons kenmerk
z2023-02774
| z2023-02774.13   | Etos                    | De Barones 43, 4811 XZ Breda        |
|------------------|-------------------------|-------------------------------------|
| z2023-02774.14   | GSM Specialist          | Ginnekenstraat 120, 4811 JK Breda   |
| z2023-02774.15   | H&amp;M                     | Ginnekenstraat 30-32, 4811 JH Breda |
| z2023-02774.16   | Hare Majesteit Design   | Halstraat 14, 4811 HW Breda         |
| z2023-02774.17   | Hema B.V.               | Ginnekenstraat 38, 4811 JH Breda    |
| z2023-02774.18   | Holland and Barrett     | Ginnekenstraat 15, 4811 JD Breda    |
| z2023-02774.19   | ICI Paris XL            | Eindstraat 23, 4811 KK Breda        |
| z2023-02774.20   | Intertoys               | Karnemelkstraat 9, 4811 KJ Breda    |
| z2023-02774.21   | Just Brands             | Eindstraat 15-17, 4811 KK Breda     |
| z2023-02774.22   | Kruidvat Eindstraat     | Eindstraat 9-11, 4811 KK Breda      |
| z2023-02774.23   | Kruidvat Ginnekenstraat | Ginnekenstraat 44-46, 4811 JH Breda |
| z2023-02774.24   | Mango                   | Barones 31, 4811 XZ Breda           |
| z2023-02774.25   | Parels                  | Houtmarktpassage 33, 4811 JC Breda  |
&lt;!-- image --&gt;
Datum
14 augustus 2023
## Ons kenmerk
z2023-02774
| z2023-02774.26   | Perry Sport                        | Ginnekenstraat 38b, 4811 JH Breda   |
|------------------|------------------------------------|-------------------------------------|
| z2023-02774.27   | PVH Brands NL B.V.V Tommy Hilfiger | Ridderstraat 17, 4811 JA Breda      |
| z2023-02774.28   | Rituals Cosmetics                  | Ginnekenstraat 1, 4811 HV Breda     |
| z2023-02774.29   | Scotch &amp; Soda                      | Houtmarkt 1, 4811 JC Breda          |
| z2023-02774.30   | Snipes                             | Ginnekenstraat 13, 4811 JD Breda    |
| z2023-02774.31   | Solow                              | Ginnekenstraat 14, 4811 JH Breda.   |
| z2023-02774.32   | Søstrene Grene                     | Ginnekenstraat 117, 4811 JG Breda   |
| z2023-02774.33   | Superdry                           | Ginnekenstraat 3, 4811 JD Breda     |
| z2023-02774.34   | Van Lente Ossel VOF Gall &amp; Gall    | Torenstraat 10, 4811 XX Breda       |
| z2023-02774.35   | Van Uffelen Mode                   | Ginnekenstraat 26, 4811 JH Breda    |
| z2023-02774.36   | We Fashion                         | Ginnekenstraat 115, 4811 JE Breda   |</t>
  </si>
  <si>
    <t>verlenen [807:816]</t>
  </si>
  <si>
    <t>verlenen [807:815]</t>
  </si>
  <si>
    <t>[...] onale culturele infrastructuur te versterken. Het college van Gedeputeerde Staten heeft hiervoor een verdeling vastgesteld en heeft voor u een bedrag van € 75.000,00 per jaar gereserveerd voor de jaren 2021-2023. Wij verlenen u met deze beschikking een subsidie van maximaal € 150.000,00, uw deel van deze rijksgelden voor de jaren 2021 en 2022. Gelijk met deze beschikking ontvangt u ook een beschikking voor uw boekjaarsubsidie voor de jaren 20 [...]</t>
  </si>
  <si>
    <t>DRE_verlening_subsidie_stichting_veenomenaal_veenpark.txt::Rechtsobject</t>
  </si>
  <si>
    <t>subsidie [843:852]</t>
  </si>
  <si>
    <t>subsidie [843:851]</t>
  </si>
  <si>
    <t>[...] rsterken. Het college van Gedeputeerde Staten heeft hiervoor een verdeling vastgesteld en heeft voor u een bedrag van € 75.000,00 per jaar gereserveerd voor de jaren 2021-2023. Wij verlenen u met deze beschikking een subsidie van maximaal € 150.000,00, uw deel van deze rijksgelden voor de jaren 2021 en 2022. Gelijk met deze beschikking ontvangt u ook een beschikking voor uw boekjaarsubsidie voor de jaren 2021 en 2022, ook een bedrag van in to [...]</t>
  </si>
  <si>
    <t>DRE_verlening_subsidie_vereniging_circulair_friesland_geredigeerd.txt::Ontvanger</t>
  </si>
  <si>
    <t>DRE_verlening_subsidie_vereniging_circulair_friesland_geredigeerd.txt</t>
  </si>
  <si>
    <t>Vereniging Circulair Friesland</t>
  </si>
  <si>
    <t>vereniging circulair friesland</t>
  </si>
  <si>
    <t>Vereniging Circulair Friesland [54:84]</t>
  </si>
  <si>
    <t>www.provincie.drenthe.nl &lt;!-- image --&gt; Aan: Vereniging Circulair Friesland t.a.v. Turfmarkt 11 8911 KS LEEUWARDEN 8911KS11 Assen, 9 december 2025 Ons kenmerk: 202502081-01178171 Behandeld door Verplichtingennummer V014871 Onderwerp: Verlening subsidie Noord-Nederland v [...]</t>
  </si>
  <si>
    <t>DRE_verlening_subsidie_vereniging_circulair_friesland_geredigeerd.txt::Besluitvormend Orgaan</t>
  </si>
  <si>
    <t>Gedeputeerde Staten van Drenthe [8972:9003]</t>
  </si>
  <si>
    <t>[...] e website van de Europese Commissie. Namen van personen worden niet genoemd. ## Heeft u vragen? Als u vragen heeft, neem dan contact op met de heer J. Swijghuizen, telefoonnummer (0592) 36 5697. Hoogachtend, Gedeputeerde Staten van Drenthe, , voorzitter , secretaris ## Bezwaar Bent u het niet eens met dit besluit, dan kunt u binnen zes weken na de dag van verzending ervan hiertegen een bezwaarschrift indienen bij het college van Gedeputeerde Stat [...]</t>
  </si>
  <si>
    <t>DRE_verlening_subsidie_vereniging_circulair_friesland_geredigeerd.txt::Rechtshandeling</t>
  </si>
  <si>
    <t>verlenen [583:591]</t>
  </si>
  <si>
    <t>&lt;!-- image --&gt;
Datum
15 augustus 2023
## Ons kenmerk
z2023-01388
Bulkbesluit inzake de vergunningaanvragen voor de verwerking van gegevens van strafrechtelijke aard ten behoeve van derden van de verwerking 'Collectieve Horecaontzegging' door de in de bijlage genoemde horecaondernemers van het horecagebied Leidsebuurt z2023-01388
## 1 Inleiding: aanleiding vergunningaanvraag
1. Op 9 maart 2023 heeft Koninklijke Horeca Nederland (hierna: KHN) - ingevolge artikel 33, vierde lid, aanhef en onder c, van de Uitvoeringswet Algemene verordening gegevensbescherming (UAVG) - bij de Autoriteit Persoonsgegevens (AP) een bulkvergunningaanvraag ingediend namens de in de bijlage van het besluit genoemde horecaondernemers in het horecagebied Leidsebuurt. Ter onderbouwing van de aanvraag, heeft KHN een protocol en een gegevensbeschermingseffectbeoordeling (ook wel data protection impact assessment/DPIA genoemd) bijgevoegd. Bij deze aanvraag zijn ook de bijlagen van het protocol meegestuurd. De bijlagen zijn bij de eindbeoordeling op 24 augustus 2020 van het modelprotocol niet beoordeeld/goedgekeurd. Om die reden heeft de AP de bijlagen nu ook niet meegenomen in de beoordeling. Goedkeuring van het thans voorliggende besluit betekent dus niet dat de bijlagen daarmee zijn goedgekeurd. Het is de verantwoordelijkheid van de verwerkingsverantwoordelijke - in nauwe samenspraak met KHN-landelijk - om ervoor zorg te dragen dat de bijlagen niet strijdig zijn met het protocol, maar nadere uitwerkingen van het protocol vormen. En dat deze bijlagen vanzelfsprekend AVG-conform zijn. Deze aanvraag is bij de AP bekend onder het zaaknummer z2023-01388 en onder de zaaknaam 'Bulkvergunningaanvraag horecagebied Leidsebuurt'.
## Procesverloop
- -Op 8 juni 2023 heeft de AP geconstateerd dat de bulkvergunningaanvraag incompleet was en de AP heeft KHN op 8 juni 2023 verzocht om de bulkvergunningaanvraag aan te vullen.
- -Op 3 juli 2023 heeft KHN de ontbrekende informatie en documenten aangeleverd.
- -Op 25 juli 2023 heeft de AP opnieuw geconstateerd dat de bulkvergunningaanvraag incompleet was en de AP heeft KHN op 25 juli 2023 verzocht om de bulkvergunningaanvraag aan te vullen.
- -Op 1 augustus 2023 heeft KHN de ontbrekende informatie en documenten aangeleverd.
2. Op grond van artikel 33, vierde lid, aanhef en onder c, UAVG mogen persoonsgegevens van strafrechtelijke aard ten behoeve van derden worden verwerkt indien de AP een vergunning voor de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3. In het navolgende concludeert de AP dat er een bulkvergunning voor de verwerking van gegevens van strafrechtelijke aard ten behoeve van derden kan worden verleend aan de individuele horecaondernemers, genoemd in de bijlage, omdat voldoende is aangetoond dat de verwerking noodzakelijk is met het oog op
&lt;!-- image --&gt;
## Datum
15 augustus 2023
## Ons kenmerk
z2023-01388
een zwaarwegend belang van derden en bij de uitvoering is voorzien in zodanige waarborgen dat de persoonlijke levenssfeer van de betrokkene niet onevenredig wordt geschaad. Het vorenstaande is uitgewerkt in het aangeleverde protocol en de DPIA.
## 2 Procedureverloop
4. De AP heeft het Protocol (collectieve) horecaontzegging, versie augustus  2020 (hierna: modelprotocol collectieve horecaontzegging) en d e Data Protection Impact Assessment - Registratie en gebruik horecaontzeggingen, versie augustus  2020 (hierna: model-DPIA collectieve horecaontzegging) beoordeeld. De AP is op basis van de hiervoor genoemde documenten en de nadere toelichting die daarop is gegeven door KHN, tot de conclusie gekomen dat de AP in genoemde documenten geen strijdigheden ziet met de AVG en de UAVG. De AP heeft dit bevestigd in haar brief van 24 augustus 2020, waarbij is aangegeven dat aan de nog af te geven vergunningen in elk geval een aantal specifieke aanvullende voorschriften worden verbonden (zie onder overwegingen 12, 13, 14, 15 en 16 van dit besluit). Na afstemming met KHN (landelijk) heeft de AP per brief van 14 april 2022 aangegeven dat de geldigheidstermijn van het modelprotocol, model-DPIA collectieve horecaontzeggingen en alle bulkvergunningen loopt tot 21 april 2027.
5. De lokale ondernemers hebben schriftelijk verklaard dat zij het modelprotocol collectieve horecaontzegging (augustus 2020) en model-DPIA collectieve horecaontzegging (augustus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de horecaontzegging is om in de aangesloten horecabedrijven (inclusief de daarbij behorende erven/terrassen):
- de veiligheid van horecaondernemers, hun medewerkers en hun gasten te vergroten;
- overlast gevend gedrag te reduceren;
- criminaliteit te voorkomen en tegen te gaan.
7. Een verwerkingsverantwoordelijke kan een Individuele Horeca Ontzegging (IHO) uitreiken wanneer een persoon een of meerdere van de volgende gedragingen zoals vermeld in de artikel 4.1.1 tot en met 4.1.7 van het protocol in zijn horecabedrijf en/of op de daarbij behorende erven/terrassen vertoont. Als binnen een periode van zes maanden een tweede IHO ten aanzien van dezelfde betrokkene wordt ingevoerd in het registratiesysteem dan wordt de tweede IHO omgezet in een CHO van zes maanden. De subverwerker informeert de betrokkene hierover volgens het formulier 'Aanzegging CHO'. De subverwerker informeert de verwerkingsverantwoordelijke die de tweede IHO heeft uitgereikt over de omzetting van de tweede IHO in een CHO.
8. Een gast die zich niet houdt aan de huisregels en/of strafbare feiten pleegt kan worden gesommeerd het bedrijf te verlaten en een ondernemer kan (naast het doen van aangifte) ervoor kiezen om de betrokkene voor een bepaalde tijd de toegang tot het bedrijf te ontzeggen. Doet een ondernemer dat alleen voor zijn eigen bedrijf/bedrijven, dan is er sprake van een Individuele Horeca Ontzegging (IHO). Een IHO mag niet langer dan zes maanden duren.
&lt;!-- image --&gt;
## Datum
15 augustus 2023
## Ons kenmerk
z2023-01388
9. Een verwerkingsverantwoordelijke kan een CHO uitreiken wanneer een persoon zich aan een of meerdere van de in artikel 4.2.1 van het protocol genoemde gedragingen in het horecabedrijf van de verwerkingsverantwoordelijke en/of op de daarbij behorende erven/terrassen schuldig maakt. Bij de collectieve horecaontzegging slaan de gezamenlijke verwerkingsverantwoordelijken de handen ineen om gezamenlijk overlastgevers uit hun bedrijven te weren. Als een verwerkingsverantwoordelijke aan het Protocol CHO de betrokkene een CHO heeft opgelegd, dan geldt deze ontzegging ook meteen voor alle andere gezamenlijke verwerkingsverantwoordelijken. Met één ontzegging wordt een overlastgever dus meteen geweerd uit alle aangesloten bedrijven, zonder dat de persoon in kwestie overlast heeft veroorzaakt in die andere bedrijven.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Artikel 1 UAVG bepaalt: ' In deze wet en de daarop berustende bepalingen wordt verstaan onder: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Artikel 31 UAVG bepaalt: 'Onverminderd artikel 10 van de verordening mogen persoonsgegevens van strafrechtelijke aard alleen worden verwerkt voor zover dit krachtens de artikelen 32 en 33 is toegestaan.'
Artikel 33, vierde lid, aanhef en onder c, UAVG bepaalt: 'Persoonsgegevens van strafrechtelijke aard mogen ten behoeve van derden worden verwerkt:
## […]
c. indien de Autoriteit persoonsgegevens met inachtneming van het vijfde lid een vergunning voor de verwerking heeft verleend .'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Artikel 6, eerste lid, aanhef en onder f, AVG bepaalt: ' De verwerking is alleen rechtmatig indien en voor zover aan ten minste een van de onderstaande voorwaarden is voldaan: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&lt;!-- image --&gt;
## Datum
15 augustus 2023
## Ons kenmerk
z2023-01388
betrokkene niet zwaarder wegen, rekening houdend met de redelijke verwachtingen van de betrokkene op basis van zijn verhouding met de verwerkingsverantwoordelijke. […] In elk geval is een zorgvuldige beoordeling geboden om te bepalen of sprake is van een gerechtvaardigd belang, alsook om te bepalen of een betrokkene op het tijdstip en in het kader van de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De verwerking van persoonsgegevens die strikt noodzakelijk is voor fraudevoorkoming is ook een gerechtvaardigd belang van de verwerkingsverantwoordelijke in kwestie. […]'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verrichte beoordeling.
12. Het conformeren aan het modelprotocol collectieve horecaontzegging en model-DPIA collectieve horecaontzegging (versie augustus 2020) leidt tot het op een AVG-conforme wijze bijhouden van enerzijds de opgelegde individuele horecaontzeggingen (voor intern/eigen gebruik) en anderzijds het delen met derden van strafrechtelijke persoonsgegevens ten aanzien van opgelegde collectieve horecaontzeggingen. In het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15. Daarnaast dienen voor het verkrijgen van een vergunning voor het voeren van en/of deelname aan de hiervoor genoemde registratie van personen aan wie een collectieve horecaontzegging is opgelegd, ook de aanvullende vergunningsvoorschriften (zie hieronder) in acht genomen te worden.
16. Zoals ook onder overweging 2 van dit besluit is aangegeven, zijn er aanvullende voorschriften verbonden aan deze vergunningen. De aanvullende voorschriften, zoals ook benoemd in de brief van de AP van 24 augustus 2020 aan KHN,  zijn, dat:
&lt;!-- image --&gt;
## Datum
15 augustus 2023
## Ons kenmerk
z2023-01388
- a. de lokale horecaondernemers (gezamenlijke verwerkingsverantwoordelijken) dienen jaarlijks gecoördineerd door de KHN-afdeling Amsterdam 1 - een evaluatie van het modelprotocol en model-DPIA 2  van het collectieve horecaontzeggingen uit te voeren. De AP ontvangt op aanvraag een afschrift van deze evaluatie.
- b. in aansluiting op voorschrift a zal de beheerder namens de gezamenlijke verwerkingsverantwoordelijken bij deze jaarlijkse evaluatie in elk geval expliciet ingaan op:
3.  (de omvang van) de deelnemerslijst (ofwel: de lijst waarin de lokale horecaondernemers zijn opgesomd, die deelnemen aan de collectieve horecaontzeggingen in dat bepaalde horecagebied). 3
4.  het aantal opgelegde individuele en collectieve horecaontzeggingen.
5.  het aantal (wegens verlopen van de looptijd of om andere redenen) verwijderde individuele en collectieve horecaontzeggingen.
6.  de meldingen van eventuele bijzondere incidenten waarbij de aard en de omvang daarvan wordt beschreven, of van andere vermeldingswaardige bijzonderheden.
- c. de vergunning is - behoudens ingrijpende wetswijzigingen of wijziging van de gegevensverwerking - geldig tot 21 april 2027.
- d. de verwerkingsverantwoordelijke (lokale horecaondernemer) diens gegevens volledig conform het modelprotocol en model-DPIA zal verwerken. Dat wil zeggen dat de lokale horecaondernemer het modelprotocol en model-DPIA ongewijzigd overneemt en de gegevens van de opgelegde collectieve horecaontzeggingen precies, zoals in het modelprotocol en model-DPIA omschreven wordt, gaat verwerken.
## 6 Conclusie
17. De AP is van oordeel dat de in de bijlage genoemde horecaondernemingen - door zich te conformeren aan de reeds door de AP beoordeelde modelprotocol en model-DPIA (versie augustus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1  Hierdoor kan een uniforme werkwijze voor alle bij de lokale KHN-afdelingen aangesloten horecaondernemers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3  Deze deelnemerslijst wordt door de KHN [afdeling] via een website actueel gehouden, zodat kenbaar is welke horecaondernemers deelnemen aan het collectief verbod in een bepaald gebied.
&lt;!-- image --&gt;
Datum
15 augustus 2023
Den Haag, 15 augustus 2023
Autoriteit Persoonsgegevens, Overeenkomstig het door de Autoriteit Persoonsgegevens genomen besluit,
ir. C.M. Schut, MPA Directeur Systeemtoezicht, Beveiliging en Technologie
## Ons kenmerk
z2023-01388
&lt;!-- image --&gt;
Datum
15 augustus 2023
## Ons kenmerk
z2023-01388
## Bijlage:  44 deelnemende horecaondernemingen - horecagebied Leidsebuurt
| Zaaknummer     | Naam aanvrager, eigenaar van:   | Adresgegevens:                                |
|----------------|---------------------------------|-----------------------------------------------|
| z2023-01388.1  | Bar Leidse                      | Kleine Gartmanplatsoen 17, 1017 RP Amsterdam  |
| z2023-01388.2  | Bar Twenty Two                  | Leidseplein 22, 1017 PT Amsterdam             |
| z2023-01388.3  | Biblos                          | Lijnbaansgracht 243, 1017 PH Amsterdam        |
| z2023-01388.4  | Brasil Music Bar                | Lange Leidsedwarsstraat 70, 1017 NM Amsterdam |
| z2023-01388.5  | Bubbels                         | Lange Leidsedwarsstraat 90, 1017 NM Amsterdam |
| z2023-01388.6  | Café Candela                    | Korte Leidsedwarsstraat 87, 1017 PX Amsterdam |
| z2023-01388.7  | Café de Krul                    | Lijnbaansgracht 244, 1017 RK Amsterdam        |
| z2023-01388.8  | Café de Waard                   | Leidseplein 14, 1017 PT Amsterdam             |
| z2023-01388.9  | Café In the City                | Kleine Gartmanplantsoen 5, 1017 RR Amsterdam  |
| z2023-01388.10 | Café Kooper                     | Leidseplein 16, 1017 PT Amsterdam             |
| z2023-01388.11 | Café Mokum                      | Leidseplein 18, 1017 PT Amsterdam             |
| z2023-01388.12 | Café Reynders                   | Leidseplein 6, 1017 PT Amsterdam              |
&lt;!-- image --&gt;
Datum
15 augustus 2023
## Ons kenmerk
z2023-01388
| z2023-01388.13   | Chicago Social Club           | Leidseplein 12, 1017 PT Amsterdam              |
|------------------|-------------------------------|------------------------------------------------|
| z2023-01388.14   | Club Maia                     | Korte Leidsedwarsstraat 14, 1017 RC Amsterdam  |
| z2023-01388.15   | Club Noir                     | Lange Leidsedwarsstraat 45, 1017 NG Amsterdam  |
| z2023-01388.16   | Club Nova                     | Korte Leidsedwarsstraat 14, 1017 RC Amsterdam  |
| z2023-01388.17   | Club Rare                     | Korte Leidsedwarsstraat 77, 1017 PW Amsterdam  |
| z2023-01388.18   | Dan Murphy's                  | Leidseplein 24, 1017 PT Amsterdam              |
| z2023-01388.19   | Disco Dolly                   | Handboogstraat 11-13, 1012 XM Amsterdam        |
| z2023-01388.20   | El Punto Latino               | Lange Leidsedwarsstraat 35, 1017 NG Amsterdam  |
| z2023-01388.21   | Feest van Joop                | Lange Leidsedwarsstraat 39, 1017 NG Amsterdam  |
| z2023-01388.22   | Ganbei                        | Korte Leidsedwarsstraat 45H, 1017 PW Amsterdam |
| z2023-01388.23   | Hole in the Wall              | Leidseplein 8, 1017 PT Amsterdam               |
| z2023-01388.24   | Hoopman Bodega B.V. Irish Pub | Leidseplein 4, 1017 PT Amsterdam               |
| z2023-01388.25   | Hush Silent Disco             | Lange Leidsedwarsstraat 81, 1017 NH Amsterdam  |
&lt;!-- image --&gt;
Datum
15 augustus 2023
## Ons kenmerk
z2023-01388
| z2023-01388.26   | Jimmy Woo                     | Korte Leidsedwarsstraat 18, 1017 RC Amsterdam      |
|------------------|-------------------------------|----------------------------------------------------|
| z2023-01388.27   | Kleine Cooldown               | Lange Leidsedwarsstraat 116-118, 1017 NN Amsterdam |
| z2023-01388.28   | Kopstootbar                   | Marnixstraat 429, 1017 PK Amsterdam                |
| z2023-01388.29   | La Bastille                   | Lijnbaansgracht 245, 1017 RK Amsterdam             |
| z2023-01388.30   | Le Pub Leidseplein B.V.       | Leidseplein 2, 1017 PT Amsterdam                   |
| z2023-01388.31   | Lovelee                       | Lijnbaansgracht 238, 1017 PH Amsterdam             |
| z2023-01388.32   | Melkweg                       | Lijnbaansgracht 234A, 1017 PH Amsterdam            |
| z2023-01388.33   | Palladium                     | Kleine Gartmanplantsoen 7-9, 1017 RP Amsterdam     |
| z2023-01388.34   | Paradiso                      | Weteringschans 6-8, 1017 SG Amsterdam              |
| z2023-01388.35   | Pianobar Amsterdam            | Leidsekruisstraat 33-35, 1017 RG Amsterdam         |
| z2023-01388.36   | Satellite Sportscafé          | Leidseplein 11, 1017 PS Amsterdam                  |
| z2023-01388.37   | Sociëteit de Kring en Club Up | Kleine Gartmanplantsoen 7-9, 1017 RP Amsterdam     |
| z2023-01388.38   | Supper Club                   | Singel 460, 1017 AW Amsterdam                      |
&lt;!-- image --&gt;
Datum
15 augustus 2023
## Ons kenmerk
z2023-01388
| z2023-01388.39   | Surprise Bar      | Leidsekruisstraat 41-43, 1017 RG Amsterdam    |
|------------------|-------------------|-----------------------------------------------|
| z2023-01388.40   | ' t Lammetje      | Lange Leidsedwarsstraat 41, 1017 NG Amsterdam |
| z2023-01388.41   | Tapmarin Leidse   | Lange Leidsedwarsstraat 70, 1017 NM Amsterdam |
| z2023-01388.42   | The Chupitos Club | Korte Leidsedwarsstraat 28, 1017 RC Amsterdam |
| z2023-01388.43   | The Waterhole     | Korte Leidsedwarsstraat 49, 1017 PW Amsterdam |
| z2023-01388.44   | Villa Orange      | Kleine Gartmanplantsoen 25, 1017 RP Amsterdam |</t>
  </si>
  <si>
    <t>[...] 025 ontvingen wij uw subsidieaanvraag. U vraagt een cofinancieringsubsidie aan van € 250.000,00. In deze brief leest u ons besluit. ## U ontvangt een subsidie van maximaal € 250.000,00 Dit is de subsidie die wij u verlenen. U ontvangt de subsidie voor de uitvoering van het project NoordNederland verdient Circulair 2.0 . Met dit project wilt u het circulaire innovatie-ecosysteem in NoordNederland versterken en opschalen, met een specifieke [...]</t>
  </si>
  <si>
    <t>DRE_verlening_subsidie_vereniging_circulair_friesland_geredigeerd.txt::Rechtsobject</t>
  </si>
  <si>
    <t>subsidie [564:573]</t>
  </si>
  <si>
    <t>subsidie [564:572]</t>
  </si>
  <si>
    <t>[...] Op 13 oktober 2025 ontvingen wij uw subsidieaanvraag. U vraagt een cofinancieringsubsidie aan van € 250.000,00. In deze brief leest u ons besluit. ## U ontvangt een subsidie van maximaal € 250.000,00 Dit is de subsidie die wij u verlenen. U ontvangt de subsidie voor de uitvoering van het project NoordNederland verdient Circulair 2.0 . Met dit project wilt u het circulaire innovatie-ecosysteem in NoordNederland versterken en opschalen, [...]</t>
  </si>
  <si>
    <t>DRE_verlening_subsidie_wildlands_adventure_zoo_emmen_bv.txt::Ontvanger</t>
  </si>
  <si>
    <t>DRE_verlening_subsidie_wildlands_adventure_zoo_emmen_bv.txt</t>
  </si>
  <si>
    <t>Wildlands Adventure Zoo Emmen BV</t>
  </si>
  <si>
    <t>wildlands adventure zoo emmen bv</t>
  </si>
  <si>
    <t>Wildlands Adventure Zoo Emmen BV [55:87]</t>
  </si>
  <si>
    <t>www.drenthe.nl 0592- 36 55 55 Aan: het bestuur van Wildlands Adventure Zoo Emmen BV Postbus 1010 7801 BA EMMEN ## · l · I ·h 1 ··Il·1 1 1il· 1 1 1 1 1 · 1 1 1 · · 11·1 1 1 ··II Assen, 8 juli 2021 Onderwerp: Verlening subsidie project herinrichting Kompasplein Wildlands Ons kenmerk 20/5.4/ [...]</t>
  </si>
  <si>
    <t>DRE_verlening_subsidie_wildlands_adventure_zoo_emmen_bv.txt::Besluitvormend Orgaan</t>
  </si>
  <si>
    <t>Gedeputeerde Staten van Drenthe [7280:7311]</t>
  </si>
  <si>
    <t>[...] d met de interne markt. ## Nadere Informatie Mocht u nog vragen hebben, dan kunt u contact opnemen met- - -----­ telefoonnummer \_\_ ■· Wij wensen u veel succes bij de uitvoering van uw plannen. Hoogachtend, Gedeputeerde Staten van Drenthe, &lt;!-- image --&gt; md/coll. ## Bezwaar Bent u het niet eens met dit besluit, dan kunt u binnen zes weken na de dag van ver­ zending ervan, hiertegen een bezwaarschrift indienen bij het college van Gedeputeerde [...]</t>
  </si>
  <si>
    <t>DRE_verlening_subsidie_wildlands_adventure_zoo_emmen_bv.txt::Rechtshandeling</t>
  </si>
  <si>
    <t>&lt;!-- image --&gt;
Datum 15 augustus 2023
Ons kenmerk z2023-02775
Bulkbesluit inzake de vergunningaanvragen voor de verwerking van gegevens van strafrechtelijke aard ten behoeve van derden van de verwerking 'Collectieve Horecaontzegging' door de in de bijlage genoemde horecaondernemers van het horecagebied Zandvoort z2023-02775
## 1 Inleiding: aanleiding vergunningaanvraag
1. Op 17 mei 2023 heeft Koninklijke Horeca Nederland (hierna: KHN) - ingevolge artikel 33, vierde lid, aanhef en onder c, van de Uitvoeringswet Algemene verordening gegevensbescherming (UAVG) - bij de Autoriteit Persoonsgegevens (AP) een bulkvergunningaanvraag ingediend namens de in de bijlage van het besluit genoemde horecaondernemers in het horecagebied Zandvoort. Ter onderbouwing van de aanvraag, heeft KHN een protocol en een gegevensbeschermingseffectbeoordeling (ook wel data protection impact assessment/DPIA genoemd) bijgevoegd. Deze aanvraag is bij de AP bekend onder het zaaknummer z2023-02775 en onder de zaaknaam 'Bulkvergunningaanvraag horecagebied Zandvoort'.
## Procesverloop
- -Op 10 juli 2023 heeft de AP geconstateerd dat de bulkvergunningaanvraag incompleet was en de AP heeft KHN op 10 juli 2023 verzocht om  de bulkvergunningaanvraag aan te vullen.
- -Op 13 juli 2023 heeft KHN de ontbrekende informatie en documenten aangeleverd.
2. Op grond van artikel 33, vierde lid, aanhef en onder c, UAVG mogen persoonsgegevens van strafrechtelijke aard ten behoeve van derden worden verwerkt indien de AP een vergunning voor de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3. In het navolgende concludeert de AP dat er een bulkvergunning voor de verwerking van gegevens van strafrechtelijke aard ten behoeve van derden kan worden verleend aan de individuele horecaondernemers, genoemd in de bijlage, omdat voldoende is aangetoond dat de verwerking noodzakelijk is met het oog op een zwaarwegend belang van derden en bij de uitvoering is voorzien in zodanige waarborgen dat de persoonlijke levenssfeer van de betrokkene niet onevenredig wordt geschaad. Het vorenstaande is uitgewerkt in het aangeleverde protocol en de DPIA.
## 2 Procedureverloop
4. De AP heeft het Protocol (collectieve) horecaontzegging, versie augustus  2020 (hierna: modelprotocol collectieve horecaontzegging) en d e Data Protection Impact Assessment - Registratie en gebruik horecaontzeggingen, versie augustus  2020 (hierna: model-DPIA collectieve horecaontzegging) beoordeeld. De AP is op basis van de hiervoor genoemde documenten en de nadere toelichting die daarop is gegeven door
&lt;!-- image --&gt;
## Datum
15 augustus 2023
## Ons kenmerk
z2023-02275
KHN, tot de conclusie gekomen dat de AP in genoemde documenten geen strijdigheden ziet met de AVG en de UAVG. De AP heeft dit bevestigd in haar brief van 24 augustus 2020, waarbij is aangegeven dat aan de nog af te geven vergunningen in elk geval een aantal specifieke aanvullende voorschriften worden verbonden (zie onder overwegingen 12, 13, 14, 15 en 16 van dit besluit). Na afstemming met KHN (landelijk) heeft de AP per brief van 14 april 2022 aangegeven dat de geldigheidstermijn van het modelprotocol, model-DPIA collectieve horecaontzeggingen en alle bulkvergunningen loopt tot 21 april 2027.
5. De lokale ondernemers hebben schriftelijk verklaard dat zij het modelprotocol collectieve horecaontzegging (augustus 2020) en model-DPIA collectieve horecaontzegging (augustus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de horecaontzegging is om in de aangesloten horecabedrijven (inclusief de daarbij behorende erven/terrassen):
- de veiligheid van horecaondernemers, hun medewerkers en hun gasten te vergroten;
- overlast gevend gedrag te reduceren;
- criminaliteit te voorkomen en tegen te gaan.
7. Een verwerkingsverantwoordelijke kan een Individuele Horeca Ontzegging (IHO) uitreiken wanneer een persoon een of meerdere van de volgende gedragingen zoals vermeld in de artikel 4.1.1 tot en met 4.1.7 van het protocol in zijn horecabedrijf en/of op de daarbij behorende erven/terrassen vertoont. Als binnen een periode van zes maanden een tweede IHO ten aanzien van dezelfde betrokkene wordt ingevoerd in het registratiesysteem dan wordt de tweede IHO omgezet in een CHO van zes maanden. De subverwerker informeert de betrokkene hierover volgens het formulier 'Aanzegging CHO'. De subverwerker informeert de verwerkingsverantwoordelijke die de tweede IHO heeft uitgereikt over de omzetting van de tweede IHO in een CHO.
8. Een gast die zich niet houdt aan de huisregels en/of strafbare feiten pleegt kan worden gesommeerd het bedrijf te verlaten en een ondernemer kan (naast het doen van aangifte) ervoor kiezen om de betrokkene voor een bepaalde tijd de toegang tot het bedrijf te ontzeggen. Doet een ondernemer dat alleen voor zijn eigen bedrijf/bedrijven, dan is er sprake van een Individuele Horeca Ontzegging (IHO). Een IHO mag niet langer dan zes maanden duren.
9. Een verwerkingsverantwoordelijke kan een CHO uitreiken wanneer een persoon zich aan een of meerdere van de in artikel 4.2.1 van het protocol genoemde gedragingen in het horecabedrijf van de verwerkingsverantwoordelijke en/of op de daarbij behorende erven/terrassen schuldig maakt. Bij de collectieve horecaontzegging slaan de gezamenlijke verwerkingsverantwoordelijken de handen ineen om gezamenlijk overlastgevers uit hun bedrijven te weren. Als een verwerkingsverantwoordelijke aan het Protocol CHO de betrokkene een CHO heeft opgelegd, dan geldt deze ontzegging ook meteen voor alle andere gezamenlijke verwerkingsverantwoordelijken. Met één ontzegging wordt een overlastgever dus meteen geweerd uit alle aangesloten bedrijven, zonder dat de persoon in kwestie overlast heeft veroorzaakt in die andere bedrijven.
&lt;!-- image --&gt;
## Datum
15 augustus 2023
## Ons kenmerk
z2023-02275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Artikel 1 UAVG bepaalt: ' In deze wet en de daarop berustende bepalingen wordt verstaan onder:
##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Artikel 31 UAVG bepaalt: 'Onverminderd artikel 10 van de verordening mogen persoonsgegevens van strafrechtelijke aard alleen worden verwerkt voor zover dit krachtens de artikelen 32 en 33 is toegestaan.'
Artikel 33, vierde lid, aanhef en onder c, UAVG bepaalt: 'Persoonsgegevens van strafrechtelijke aard mogen ten behoeve van derden worden verwerkt:
## […]
c. indien de Autoriteit persoonsgegevens met inachtneming van het vijfde lid een vergunning voor de verwerking heeft verleend .'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Artikel 6, eerste lid, aanhef en onder f, AVG bepaalt: ' De verwerking is alleen rechtmatig indien en voor zover aan ten minste een van de onderstaande voorwaarden is voldaan:
##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betrokkene niet zwaarder wegen, rekening houdend met de redelijke verwachtingen van de betrokkene op basis van zijn verhouding met de verwerkingsverantwoordelijke. […] In elk geval is een zorgvuldige beoordeling geboden om te bepalen of sprake is van een gerechtvaardigd belang, alsook om te bepalen of een betrokkene op het tijdstip en in het kader van de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De verwerking van persoonsgegevens die strikt noodzakelijk is voor fraudevoorkoming is ook een gerechtvaardigd belang van de verwerkingsverantwoordelijke in kwestie. […]'
&lt;!-- image --&gt;
## Datum
15 augustus 2023
## Ons kenmerk
z2023-02275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verrichte beoordeling.
12. Het conformeren aan het modelprotocol collectieve horecaontzegging en model-DPIA collectieve horecaontzegging (versie augustus 2020) leidt tot het op een AVG-conforme wijze bijhouden van enerzijds de opgelegde individuele horecaontzeggingen (voor intern/eigen gebruik) en anderzijds het delen met derden van strafrechtelijke persoonsgegevens ten aanzien van opgelegde collectieve horecaontzeggingen. In het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15. Daarnaast dienen voor het verkrijgen van een vergunning voor het voeren van en/of deelname aan de hiervoor genoemde registratie van personen aan wie een collectieve horecaontzegging is opgelegd, ook de aanvullende vergunningsvoorschriften (zie hieronder) in acht genomen te worden.
16. Zoals ook onder overweging 2 van dit besluit is aangegeven, zijn er aanvullende voorschriften verbonden aan deze vergunningen. De aanvullende voorschriften, zoals ook benoemd in de brief van de AP van 24 augustus 2020 aan KHN,  zijn, dat:
- a. de lokale horecaondernemers (gezamenlijke verwerkingsverantwoordelijken) dienen jaarlijks gecoördineerd door de KHN-afdeling Zandvoort 1 - een evaluatie van het modelprotocol en model-DPIA 2  van het collectieve horecaontzeggingen uit te voeren. De AP ontvangt op aanvraag een afschrift van deze evaluatie.
1  Hierdoor kan een uniforme werkwijze voor alle bij de lokale KHN-afdelingen aangesloten horecaondernemers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&lt;!-- image --&gt;
## Datum
15 augustus 2023
## Ons kenmerk
z2023-02275
- b. in aansluiting op voorschrift a zal de beheerder namens de gezamenlijke verwerkingsverantwoordelijken bij deze jaarlijkse evaluatie in elk geval expliciet ingaan op:
2.  (de omvang van) de deelnemerslijst (ofwel: de lijst waarin de lokale horecaondernemers zijn opgesomd, die deelnemen aan de collectieve horecaontzeggingen in dat bepaalde horecagebied). 3
3.  het aantal opgelegde individuele en collectieve horecaontzeggingen.
4.  het aantal (wegens verlopen van de looptijd of om andere redenen) verwijderde individuele en collectieve horecaontzeggingen.
5.  de meldingen van eventuele bijzondere incidenten waarbij de aard en de omvang daarvan wordt beschreven, of van andere vermeldingswaardige bijzonderheden.
- c. de vergunning is - behoudens ingrijpende wetswijzigingen of wijziging van de gegevensverwerking - geldig tot 21 april 2027.
- d. de verwerkingsverantwoordelijke (lokale horecaondernemer) diens gegevens volledig conform het modelprotocol en model-DPIA zal verwerken. Dat wil zeggen dat de lokale horecaondernemer het modelprotocol en model-DPIA ongewijzigd overneemt en de gegevens van de opgelegde collectieve horecaontzeggingen precies, zoals in het modelprotocol en model-DPIA omschreven wordt, gaat verwerken.
## 6 Conclusie
17. De AP is van oordeel dat de in de bijlage genoemde horecaondernemingen - door zich te conformeren aan de reeds door de AP beoordeelde modelprotocol en model-DPIA (versie augustus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3  Deze deelnemerslijst wordt door de KHN-afdeling Zandvoort via een website actueel gehouden, zodat kenbaar is welke horecaondernemers deelnemen aan het collectief verbod in een bepaald gebied.
&lt;!-- image --&gt;
Datum
15 augustus 2023
Den Haag, 15 augustus 2023
Autoriteit Persoonsgegevens, Overeenkomstig het door de Autoriteit Persoonsgegevens genomen besluit,
ir. C.M. Schut, MPA Directeur Systeemtoezicht, Beveiliging en Technologie
## Ons kenmerk
z2023-02275
&lt;!-- image --&gt;
Datum
15 augustus 2023
## Ons kenmerk
z2023-02275
## Bijlage: 9 deelnemende horecaondernemingen - horecagebied Zandvoort
| Zaaknummer    | Naam aanvrager, eigenaar van:   | Adresgegevens:                        |
|---------------|---------------------------------|---------------------------------------|
| z2023-02775.1 | Café Anders                     | Haltestraat 28, 2042 LN Zandvoort     |
| z2023-02775.2 | Café De Klikspaan               | Haltestraat 19, 2042 LJ Zandvoort     |
| z2023-02775.3 | Café Fier                       | Haltestraat 32, 2042 LN Zandvoort     |
| z2023-02775.4 | Café Laurel &amp; Hardy             | Haltestraat 46, 2042 LN Zandvoort     |
| z2023-02775.5 | Grandcafé XL                    | Kerkplein 8, 2042 JH Zandvoort        |
| z2023-02775.6 | Het Plein                       | Kerkplein 12, 2042 JH Zandvoort       |
| z2023-02775.7 | Hunter's                        | Stationstraat 9-11, 2042 LD Zandvoort |
| z2023-02775.8 | Mollie &amp; Co                     | Haltestraat 75, 2042 LL Zandvoort     |
| z2023-02775.9 | Wapen van Zandvoort             | Gasthuisplein 10, 2042 JM Zandvoort   |</t>
  </si>
  <si>
    <t>verlenen [1466:1474]</t>
  </si>
  <si>
    <t>[...] langrijk dat dit aanbod zich blijft ontwikkelen, vernieuwen en verduur­ zamen om zo aan te blijven sluiten bij de wensen van de bezoekers. ## Besluit Wij hebben besloten u een subsidie van maximaal € 625.000,-- te verlenen. De gemeente Emmen draagt eveneens bij met een subsidie van€ 250.000,--. ## Voorschot Wij hebben besloten u een voorschot te verstrekken van€ 500.000,--, zijnde 80% van de verleende subsidie. Dit voorschot maken w [...]</t>
  </si>
  <si>
    <t>DRE_verlening_subsidie_wildlands_adventure_zoo_emmen_bv.txt::Rechtsobject</t>
  </si>
  <si>
    <t>subsidie [1428:1437]</t>
  </si>
  <si>
    <t>subsidie [1428:1436]</t>
  </si>
  <si>
    <t>[...] en klimaatadaptatie. Wij vinden het belangrijk dat dit aanbod zich blijft ontwikkelen, vernieuwen en verduur­ zamen om zo aan te blijven sluiten bij de wensen van de bezoekers. ## Besluit Wij hebben besloten u een subsidie van maximaal € 625.000,-- te verlenen. De gemeente Emmen draagt eveneens bij met een subsidie van€ 250.000,--. ## Voorschot Wij hebben besloten u een voorschot te verstrekken van€ 500.000,--, zijnde 80% van de verl [...]</t>
  </si>
  <si>
    <t>DRE_verleningsbeschikking_sng_geredigeerd.txt::Ontvanger</t>
  </si>
  <si>
    <t>DRE_verleningsbeschikking_sng_geredigeerd.txt</t>
  </si>
  <si>
    <t>Stichting Nationaal Gevangenismuseum</t>
  </si>
  <si>
    <t>stichting nationaal gevangenismuseum</t>
  </si>
  <si>
    <t>Stichting Nationaal Gevangenismuseum [5:41]</t>
  </si>
  <si>
    <t>Aan: Stichting Nationaal Gevangenismuseum t.a.v. het bestuur Oude Gracht 1 9341 AA VEENHUIZEN ## 9341 AA1 Assen, 12 december 2023 Ons kenmerk 202301512-01102845 Behandeld door Verplichtingennummer 82933 Onderwerp: Verlening subsidie activiteiten [...]</t>
  </si>
  <si>
    <t>DRE_verleningsbeschikking_sng_geredigeerd.txt::Besluitvormend Orgaan</t>
  </si>
  <si>
    <t>Gedeputeerde Staten van Drenthe [9178:9209]</t>
  </si>
  <si>
    <t>[...] sie' ook in 2024 op de agenda te zetten en hieraan zoveel mogelijk invulling te geven bij al uw activiteiten. ## Heeft u vragen? Als u vragen heeft neem dan contact op met . &lt;!-- image --&gt; Hoogachtend, Gedeputeerde Staten van Drenthe, namens dezen, Themamanager a.i. Inkoop &amp;amp; Subsidies &lt;!-- image --&gt; ## Bezwaar Bent u het niet eens met dit besluit, dan kunt u binnen zes weken na de dag van verzending ervan hiertegen een bezwaarschrift [...]</t>
  </si>
  <si>
    <t>DRE_verleningsbeschikking_sng_geredigeerd.txt::Rechtshandeling</t>
  </si>
  <si>
    <t>verlenen [523:531]</t>
  </si>
  <si>
    <t>[...] 16 oktober 2023 ontvingen wij uw subsidieaanvraag. U vraagt een begrotingssubsidie aan van € 116.241,00. In deze brief leest u ons besluit. ## U ontvangt een subsidie van € 116.241,00 Dit is de subsidie die wij u verlenen. U ontvangt de subsidie voor de activiteiten van het museum in het boekjaar 2024. Uw museum staat in de huidige cultuurnota genoemd als museum van provinciaal belang vanwege de nationale gevangenisgeschiedenis, de gesch [...]</t>
  </si>
  <si>
    <t>DRE_verleningsbeschikking_sng_geredigeerd.txt::Rechtsobject</t>
  </si>
  <si>
    <t>subsidie [504:513]</t>
  </si>
  <si>
    <t>subsidie [504:512]</t>
  </si>
  <si>
    <t>[...] acht bestuur, Op 16 oktober 2023 ontvingen wij uw subsidieaanvraag. U vraagt een begrotingssubsidie aan van € 116.241,00. In deze brief leest u ons besluit. ## U ontvangt een subsidie van € 116.241,00 Dit is de subsidie die wij u verlenen. U ontvangt de subsidie voor de activiteiten van het museum in het boekjaar 2024. Uw museum staat in de huidige cultuurnota genoemd als museum van provinciaal belang vanwege de nationale gevangenisgesc [...]</t>
  </si>
  <si>
    <t>KSA__https___kansspelautoriteit.nl_sites_default_files_01_061_945_last_onder_dwangsom_openbare_versie.txt::Ontvanger</t>
  </si>
  <si>
    <t>KSA__https___kansspelautoriteit.nl_sites_default_files_01_061_945_last_onder_dwangsom_openbare_versie.txt</t>
  </si>
  <si>
    <t>Chance Publications Malta Ltd</t>
  </si>
  <si>
    <t>chance publications malta ltd</t>
  </si>
  <si>
    <t>&lt;!-- image --&gt;
Politie Nederland t.a.v. de korpschef, de heer mr. H.P. van Essen Postbus 17107 2502 CC  DEN HAAG
## Datum
17 november 2022
Ons kenmerk z2021-17798
Contactpersoon [VERTROUWELIJK]
## Onderwerp
mobiele camera-auto's Rotterdam - besluit tot boeteoplegging
## Geachte heer Van Essen,
De Autoriteit Persoonsgegevens (hierna: AP) heeft besloten om aan de korpschef  een bestuurlijke boete van € 50.000,-- op te leggen voor overtreding van artikel 4c, eerste lid, van de Wet politiegegevens (hierna: Wpg). Dit omdat de korpschef heeft nagelaten om voorafgaand aan de voorgenomen verwerking van politiegegevens - namelijk het maken van camerabeelden met behulp van twee zogeheten mobiele camera auto's in Rotterdam -  een gegevensbeschermingseffectbeoordeling uit te voeren, terwijl die verwerking van politiegegevens waarschijnlijk een hoog risico voor de rechten en vrijheden van personen inhield.
In dit besluit wordt de bestuurlijke boete toegelicht. Hiertoe wordt achtereenvolgens ingegaan op (1) de aanleiding en het procesverloop, (2) de vastgestelde feiten, (3) de overtreding en (4) de hoogte van de boete. Tot slot volgen (onder 5) het dictum en de rechtsmiddelenclausule.
## Autoriteit Persoonsgegevens
Postbus 93374, 2509 AJ  Den Haag Hoge Nieuwstraat 8, 2514 EL  Den Haag T 070 8888 500 - F 070 8888 501 autoriteitpersoonsgegevens.nl
&lt;!-- image --&gt;
Datum
17 november 2022
Ons kenmerk
z2021-17798
## 1 Aanleiding en procesverloop
- 1 In het voorjaar van 2020 kreeg Nederland te maken met de COVID-19 pandemie. Het kabinet kondigde toen maatregelen aan om de verspreiding van het virus tegen te gaan. Deze maatregelen werden op lokaal niveau vastgelegd in noodverordeningen. Ook in de gemeente Rotterdam werd een noodverordening met coronamaatregelen van kracht (hierna: 'noodverordening') 1 . Onder deze maatregelen vielen onder andere het samenscholingsverbod en de verplichting voor mensen om (in de openbare ruimte) 1,5 meter afstand te houden. Om naleving van de coronamaatregelen te monitoren en te handhaven zijn in de gemeente Rotterdam vanaf 10 april 2020 twee auto's ingezet met op het dak een camera gemonteerd, ook wel mobiele camera auto's (hierna: 'MCA's') genoemd.
- 2 Naar aanleiding van berichten in de media heeft de AP contact opgenomen met de gemeente Rotterdam. Er bleken in de periode van 10 april 2020 tot en met 17 april 2020 inderdaad twee MCA's te zijn ingezet, maar deze inzet werd op verzoek van de politie na een week alweer gestaakt. 2 Op het moment dat de AP signalen ontving dat de MCA's vanaf 26 april 2020 weer werden ingezet heeft de AP besloten om een onderzoek te starten. De AP heeft hierbij onder andere onderzocht of de korpschef in strijd heeft gehandeld met de verplichting tot het tijdig uitvoeren van een gegevensbeschermingseffectbeoordeling (hierna ook: 'GEB') als bedoeld in artikel 4c van de Wpg. Aangezien de AP geen bevoegdheid heeft om overtredingen van artikel 3 van de Wpg met een boete te sanctioneren, laat de AP zich in dit besluit niet uit over het antwoord op de vraag of de korpschef in overeenstemming met artikel 3 van de Wpg heeft gehandeld. Dit leidt er om die reden ook toe dat de AP zich in dit besluit niet uitlaat over het antwoord op de vraag of artikel 3 van de Politiewet 2012 (hierna: Politiewet) kan dienen als grondslag voor de inzet van de MCA's.
- 3 Het onderzoek heeft ertoe geleid dat de Directie Klantcontact en Controlerend onderzoek van de AP op 26 november 2021 een rapport van bevindingen heeft vastgesteld (hierna: onderzoeksrapport). In het onderzoeksrapport is, voor zover hier van belang, geconcludeerd dat de korpschef verplicht was om een GEB uit te voeren voorafgaand aan het verwerken van de camerabeelden met behulp van de MCA's en dat hij dit heeft nagelaten door pas tijdens de verwerkingen een GEB uit te voeren, waarmee de korpschef in strijd met artikel 4c van de Wpg heeft gehandeld.
- 4 Bij brief van 16 december 2021 heeft de AP aan de korpschef een voornemen tot handhaving verzonden. De korpschef heeft op 21 januari 2022 een schriftelijke zienswijze ingediend over dit voornemen en het daaraan ten grondslag gelegde onderzoeksrapport. Op 22 februari 2022 heeft een zienswijzezitting plaatsgevonden waarbij de korpschef zijn schriftelijke zienswijze mondeling nader heeft toegelicht.
1  Gemeenteblad 2020, 85971. Officieel afgekondigd op 30 maart 2020: https://www.rijnmondveilig.nl/lichameijkenoodsituatie/noodverordening-covid-19-30-maart-2020/
2  De politie bleek niet formeel betrokken te zijn geweest bij het besluit om de MCA's in te zetten.
&lt;!-- image --&gt;
Datum
17 november 2022
Ons kenmerk
z2021-17798
## 2 Feitelijke bevindingen
- 5 Hierna volgt een samenvatting van de in het onderzoeksrapport vastgestelde relevante feiten. De korpschef heeft de in het onderzoeksrapport neergelegde feiten niet weersproken.
## 2.1 De inzet van MCA's
- 6 In mei 2020 zou in Rotterdam het Eurovisie Songfestival hebben plaatsgevonden. In het kader van de voorbereidingen van de veiligheidsmaatregelen rond dit evenement, is de wens ontstaan om MCA's in te zetten. Vervolgens heeft de afdeling Toezicht en Handhaving van Stadsbeheer van de gemeente Rotterdam voor de periode 1 april tot 1 juni 2020 de huur van twee MCA's gerealiseerd. Daags nadat de gemeente Rotterdam de huurofferte had ondertekend werd het Eurovisie Songfestival vanwege de COVID-19 pandemie geannuleerd.
- 7 Vervolgens is het plan opgevat om de twee gehuurde MCA's in te zetten in het kader van de handhaving van de coronamaatregelen. Bij memo van 1 april 2020 is de burgemeester van de gemeente Rotterdam door de Directie Veiligheid schriftelijk op de hoogte gesteld van het voornemen van de inzet van de MCA's. In het desbetreffende memo is uiteengezet dat de coronamaatregelen om veel inzet van handhavers en politie zou vragen terwijl de capaciteit schaars was. De MCA's zouden deze partijen kunnen ondersteunen bij het uitvoeren van hun taken. Daarnaast is in het memo uiteengezet dat de bevoegdheid om mobiel cameratoezicht in te zetten ter handhaving van de openbare orde bij een (dreigende) verstoring van de openbare orde is gebaseerd op artikel 3 van de Politiewet en dat de MCA's op deze grondslag en voor dit doel tijdelijk ingezet zouden worden, namelijk zolang de noodverordening van toepassing was in de Veiligheidsregio Rotterdam-Rijnmond.
- 8 Vanaf 10 april 2020 zijn de twee MCA's daadwerkelijk ingezet. Op verzoek van de politie zijn de MCA's op 17 april 2020 echter stilgezet, omdat de inzet ervan had plaatsgevonden zonder betrokkenheid van de politie.
- 9 Vervolgens hebben de politie en de gemeente Rotterdam gezamenlijk een inzetkader opgesteld voor de inzet van de MCA's. Het inzetkader bevat een beschrijving van het doel waarvoor de MCA's werden ingezet, het juridisch kader en de praktische werkwijze die diende te worden gevolgd.
- 10 Volgens het inzetkader werd met de inzet van de MCA's een meervoudig doel beoogd. De MCA's werden ingezet om een actueel beeld van de situatie ter plaatse te verkrijgen en op basis daarvan de inzet van capaciteit van buitengewoon opsporingsambtenaren en politiemedewerkers te kunnen bepalen. Daarnaast zou er van de MCA's een preventieve werking uitgaan en zou de aanwezigheid van cameratoezicht een de-escalerend effect kunnen hebben. 3
3  Volgens het inzetkader zijn geweldsincidenten bij de handhaving van de regels uit de noodverordening, mede aanleiding geweest voor inzet van de twee MCA's.
&lt;!-- image --&gt;
Datum
17 november 2022
Ons kenmerk
z2021-17798
- 11 Uit het inzetkader volgt voorts dat de MCA's als flexibel cameratoezicht zijn ingezet op grond van artikel 3 van de Politiewet, dat de verantwoordelijkheid voor de inzet van de twee MCA's lag bij de politie en dat de inzet van de MCA's in ieder geval zou duren zolang de noodverordening van kracht was.
- 12 Daarnaast volgt uit het inzetkader dat de twee MCA's vanaf 26 april 2020 werden bestuurd door een medewerker van Toezicht en Handhaving van de gemeente Rotterdam met een boa-certificering. De bestuurder kreeg bij aanvang van de dienst een lijst met vooraf aangewezen gebieden en locaties. 4 De camera mocht pas op de aangewezen locatie worden aangezet wanneer sprake was van groepsvorming of een andere waarneembare overtreding van de noodverordening. De camera mocht tijdens de rit van locatie A naar locatie B niet worden aangezet. In uitzonderingsgevallen mochten de MCA's camerabeelden blijven maken van de inzet van eenheden vanwege de de-escalerende werking.
- 13 Op 25 april 2020 hebben de leden van de driehoek Rotterdam 5 het inzetkader goedgekeurd, op voorwaarde dat nog enkele aanpassingen werden gedaan. De twee MCA's zijn de daaropvolgende dag, dus vanaf 26 april 2020, weer ingezet tussen 12:oo en 23:00 uur. 6 Uit onder andere de evaluatie van de politie blijkt dat de MCA's dagelijks hebben gereden tot en met 31 mei 2020.
## 2.2 Het verzamelen, ontvangen, uitkijken en doorzenden van camerabeelden
- 14 Uit de huurofferte van de MCA's blijkt dat beide auto's waren uitgerust met een zogeheten 'Rooftop Unit' waarmee camerabeelden konden worden gemaakt door middel van een zogeheten 'Panorama Video Subsysteem'. Uit de systeemspecificaties volgt dat sprake was van HD megapixel beeldformaat en dat de panoramische camera's 2 megapixel kleurensensoren bevatten en een goed beeld met voldoende detail konden geven. Ook volgt uit de huurofferte dat elk van de MCA's camerabeelden kon maken van één tot tien meter rondom het voertuig. Uit de nadere toelichting over het 'Panorama Video  Subsysteem' blijkt dat aan beide zijden van het voertuig camerabeelden konden worden gemaakt met een grote openingshoek. Volgens de huurofferte konden de MCA's bij een snelheid van vijftig kilometer per uur scherpe camerabeelden maken.
- 15 Uit de door toezichthouders van de AP uitgekeken camerabeelden volgt dat deze veel detail laten zien en de camera's ook rijdend scherpe camerabeelden hebben gemaakt. Met de camera's werden vanuit vier hoeken beelden gemaakt: links voor, rechts voor, links achter en rechts achter. Dit geeft samen een 360 graden totaalbeeld van de situatie rondom het voertuig. Uit de gevorderde en uitgekeken camerabeelden volgt dat er tot ver buiten het voertuig camerabeelden werden gemaakt. De camerabeelden laten parken,
4  Deze gebieden en locaties werden bepaald door de Staf Grootschalig en Bijzonder Optreden Corona. De Hoofd Officier van Dienst van de politie kon hierop, met tussenkomst van het Operationeel Centrum van de politie, aanvullingen geven.
5  De driehoek van een bepaald gebied is het overlegorgaan tussen de burgemeester, de (hoofd)officier van justitie en politiechef of teamchef van politie van het team waar de betreffende gemeente onder valt - in deze zaak de gemeente Rotterdam.
6  Stadsbeheer Toezicht, Politie en directie Veiligheid, Evaluatie Pilot inzet mobiele camera auto d.d. 15 juli 2020, p. 5 (dossierstuk 43).
&lt;!-- image --&gt;
Datum
17 november 2022
## Ons kenmerk
z2021-17798
openbare wegen, woonwijken, winkelgebieden, stranden, boulevards en parkeerplaatsen zien, waarbij volwassen personen en kinderen herkenbaar in beeld komen.
- 16 Op elk van de twee MCA's was een beeldverwerkingssysteem gemonteerd, het zogeheten ScanGenius SLIM systeem. In het onderzoeksrapport is vastgesteld dat vanaf 26 april 2020 - de startdatum van de inzet van MCA's - de camerabeelden die door de twee MCA's werden gemaakt rechtstreeks werden verzonden naar de zogeheten 'meldkamer Handhaving': de centrale meldkamer van de dienst Handhaving van de gemeente Rotterdam, die zich bevindt op de locatie Kleinpolderplein 7 .
- 17 Deze in de meldkamer Handhaving binnengekomen camerabeelden werden vervolgens via een datalijn doorgestuurd naar de zogeheten 'uitkijkruimte cameratoezicht', die zich op dezelfde locatie bevindt. De camerabeelden kwamen hier binnen in het programma 'Genetec' en vervolgens met het programma 'Coppweb' live door geautoriseerde operators van de gemeente Rotterdam uitgekeken onder supervisie van de politie. 8
- 18 De camerabeelden konden - eveneens met behulp van het programma 'Coppweb' - verder worden doorgestuurd naar enkele andere onderdelen van de politie. 9 In het onderzoeksrapport is vastgesteld dat de camerabeelden ook enkele keren daadwerkelijk zijn d0orgezonden naar andere politielocaties. 10
## 2.3 Het bewaren en vernietigen van camerabeelden
- 19 De camerabeelden van de MCA's die geen incidenten bevatten werden zeven dagen bewaard en vervolgens vernietigd. Bij incidenten werden de camerabeelden conform de Wpg bij de uitkijkruimte cameratoezicht bewaard. In de op 26 mei 2020 vastgestelde GEB is aanbevolen om de bewaartermijn voor camerabeelden van de MCA's zonder incidenten van zeven dagen terug te brengen naar nul dagen. In de evaluatie is deze aanbeveling herhaald en is voorts opgemerkt dat de camerabeelden onnodig zijn bewaard.
- 20 Verder is in de GEB vermeld dat de bewaarde camerabeelden in lijn met artikel 14 van de Wpg via een geautomatiseerd ingericht proces werden vernietigd, met inbegrip van back ups.
7  Een 4G-simkaart in de processing unit van het beeldverwerkingssysteem zorgde voor de koppeling.
8  Bij het uitkijkcentrum cameratoezicht worden camerabeelden automatisch opgenomen in het basisprogramma Genetec. Het programma Coppweb maakt het mogelijk vanuit Genetec beelden live te bekijken.
9  De supervisor kon eventueel besluiten om de camerabeelden door te schakelen naar het Operationeel Centrum van de politie. Vervolgens konden de camerabeelden vanuit het Operationeel Centrum eventueel verder worden doorgezet naar het Politie Coördinatie Centrum op een politiebureau of naar de daarvoor bedoelde schermen in de ruimte van het Team Districtelijke Aanpak van de politie.
10  In het onderzoeksrapport is vastgesteld dat constateringen gedaan met behulp de MCA's - na een beoordeling door een supervisor in de uitkijkruimte Kleinpolderplein en het Operationeel Centrum van de politie - enkele keren hebben geleid tot inzet van de politie.
&lt;!-- image --&gt;
Datum
17 november 2022
Ons kenmerk
z2021-17798
## 2.4 Het uitvoeren van een gegevensbeschermingseffectbeoordeling
- 21 In het onderzoeksrapport is vastgesteld dat [VERTROUWELIJK] de politie een zogeheten pre-GEB heeft opgesteld, die op 10 mei 2020 is vastgesteld. Volgens de pre-GEB is dit document bedoeld om te beoordelen of het uitvoeren van een GEB vereist is. In de pre-GEB is geconcludeerd dat dit niet noodzakelijk was voor de inzet van MCA's.
- 22 Volgens de pre-GEB zou er bij de inzet van MCA's onder andere geen sprake zijn van stelselmatige en grootschalige monitoring in de openbare ruimte, omdat het ging om een beperkt aantal locaties waar camerabeelden konden worden gemaakt en waarbij de camera enkel aan zou gaan indien daartoe aanleiding was. Ook was volgens de pre-GEB geen sprake van een grootschalige verwerking, omdat er geen camerabeelden van grote groepen personen zouden worden gemaakt. De grootte van de groep personen was volgens de pre-GEB afhankelijk van de mate waarin het toegestane aantal personen op basis van de noodverordening werd overschreden. Volgens de pre-GEB was bovendien geen sprake van een nieuwe technologie, omdat ook camera's die op grond van artikel 151c van Gemeentewet zijn opgehangen vanuit meerdere hoeken camerabeelden kunnen opnemen.
- 23 Uit de evaluatie volgt dat naar aanleiding van vragen van de gemeenteraad Rotterdam en vragen van de AP de politie en de gemeente Rotterdam alsnog gezamenlijk een GEB hebben opgesteld. Uit de GEB volgt dat de GEB op 26 mei 2020 definitief is vastgesteld en goedgekeurd door [VERTROUWELIJK] de gemeente Rotterdam en de politie [VERTROUWELIJK].
## 2.5 Conclusie
- 24 Uit het voorgaande volgt dat vanaf 26 april 2020 de MCA's zijn ingezet, en dat de politie en de gemeente Rotterdam op 26 mei 2020 een definitieve GEB hebben vastgesteld.
## 3 Beoordeling
- 3.1 Toepasselijkheid Wet politiegegevens en bevoegdheid Autoriteit Persoonsgegevens
## 3.1.1 Juridisch kader
- 25 De Algemene verordening gegevensbescherming (hierna: AVG) bevat een algemene regeling voor de bescherming van persoonsgegevens die rechtstreeks van toepassing is in alle lidstaten van de EU. Voor de bescherming van persoonsgegevens die worden verwerkt door politie en justitie in het kader van hun taakuitvoering is Richtlijn 2016/680 tot stand gebracht (hierna: de Richtlijn 11 ). Lidstaten dienen deze
11  Richtlijn 2016/680 betreffende de bescherming van natuurlijke personen in verband met de verwerking van persoonsgegevens door bevoegde autoriteiten met het oog op de voorkoming, het onderzoek, de opsporing en de vervolging van strafbare feiten of de tenuitvoerlegging van straffen, en betreffende het vrije verkeer van die gegevens en tot intrekking van Kaderbesluit 2008/977/JBZ.
&lt;!-- image --&gt;
## Datum
17 november 2022
## Ons kenmerk
z2021-17798
Richtlijn in hun nationale recht te implementeren. Nederland heeft de Richtlijn geïmplementeerd in de Wpg. 12
- 26 Uit artikel 2, tweede lid, aanhef en onder d, van de AVG volgt dat de AVG niet van toepassing is op de verwerkingen die onder de reikwijdte van de Richtlijn vallen. De AVG en de Richtlijn - zoals in Nederland geïmplementeerd in de Wpg - sluiten elkaar dus uit.
- 27 Artikel 2, eerste lid, van de Wpg bepaalt dat de Wpg van toepassing is op de verwerking van politiegegevens door een bevoegde autoriteit die in een bestand zijn opgenomen of die bestemd zijn daarin te worden opgenomen.
- 28 Artikel 1, aanhef en onder l, van de Wpg definieert een bevoegde autoriteit als iedere overheidsinstantie die bevoegd is voor de taken, bedoeld in onderdeel a, of ieder ander orgaan dat of iedere andere entiteit die is gemachtigd openbaar gezag en openbare bevoegdheden uit te oefenen met het oog op de taken, bedoeld in onderdeel a.
- 29 Op grond van artikel 1, aanhef en onder a, van de Wpg is een politiegegeven 'elk persoonsgegeven dat wordt verwerkt in het kader van de uitvoering van de politietaak, bedoeld in de artikelen 3 en 4 van de Politiewet 2012'.
- 30 Ingevolge artikel 3 van de Politiewet heeft de politie tot taak te zorgen voor de daadwerkelijke handhaving van de rechtsorde en het verlenen van hulp aan hen die deze behoeven. De daadwerkelijke handhaving van de rechtsorde valt uiteen in strafrechtelijke handhaving van de rechtsorde en handhaving van de openbare orde. 13
- 31 Uit artikel 35 van de Wpg volgt dat de AP bevoegd is om toe te zien op de verwerking van persoonsgegevens overeenkomstig het bij en krachtens de Wpg bepaalde.
## 3.1.2 Beoordeling
- 32 Uit de vastgestelde feiten volgt dat het cameratoezicht met de inzet van MCA's in de onderzoeksperiode heeft plaatsgevonden door een bevoegde autoriteit, namelijk de politie. In het inzetkader is bepaald dat de politie verantwoordelijk was voor de inzet van de MCA's. Verder blijkt uit vastgestelde feiten dat de politie de regie had over het uitkijken en eventueel doorzenden van de camerabeelden. Daarnaast werden de MCA's ingezet met het oog op de handhaving van de openbare orde, als onderdeel van de politietaak. Zoals hiervoor is uiteengezet is in het inzetkader bepaald dat de inzet van de MCA's plaatsvond op grond van
12 Stb. 2018, 401.
13 Artikelen 11 en 12 van de Politiewet.
&lt;!-- image --&gt;
Datum
17 november 2022
## Ons kenmerk
z2021-17798
artikel 3 van de Politiewet, namelijk om de coronamaatregelen efficiënter en gerichter te kunnen handhaven.
- 33 Verder volgt uit de vastgestelde feiten dat de camerabeelden werden opgenomen in een bestand. De camerabeelden kwamen binnen in het programma 'Genetec' en konden worden uitgekeken en eventueel doorgezonden met behulp van het programma 'Coppweb'. Ook blijkt uit de vastgestelde feiten dat camerabeelden zeven dagen werden bewaard.
## 3.1.3 Conclusie
- 34 De AP concludeert dat het cameratoezicht met de inzet van MCA's in de onderzoeksperiode heeft plaatsgevonden door een bevoegde autoriteit in het kader van de uitvoering van de politietaak en dat de camerabeelden werden opgenomen in een bestand. Voor zover hierbij sprake was van het verwerken van politiegegevens (zie paragraaf 3.2 van dit besluit), valt deze verwerking onder de reikwijdte van de Wpg en is de AP bevoegd hierop toezicht uit te oefenen en handhavend op te treden.
## 3.2 Verwerking van politiegegevens en verwerkingsverantwoordelijkheid
## 3.2.1 Juridisch kader
- 35 Op grond van artikel 1, aanhef en onder a, van de Wpg is een politiegegeven 'elk persoonsgegeven dat wordt verwerkt in het kader van de uitvoering van de politietaak, bedoeld in de artikel 3 en 4 van de Politiewet 2012'.
- 36 Artikel 1, aanhef en onder b, van de Wpg definieert een persoonsgegeven als 'alle informatie over een geïdentificeerde of identificeerbare natuurlijke persoon'.
- 37 Artikel 1, aanhef en onder c, van de Wpg bepaalt dat onder het verwerken van politiegegevens wordt verstaan 'elke bewerking of elk geheel van bewerkingen met betrekking tot politiegegevens of een geheel van politiegegevens, al dan niet uitgevoerd op geautomatiseerde wijze, zoals het verzamelen, vastleggen, ordenen, structureren, opslaan, bijwerken of wijzigen, opvragen, raadplegen, gebruiken, verstrekken door middel van doorzending, verspreiden of op andere wijze ter beschikking stellen, samenbrengen, met elkaar in verband brengen, afschermen of vernietigen van politiegegevens.
- 38 Artikel 1, aanhef en onder f, onderdeel 1, van de Wpg bepaalt dat de verwerkingsverantwoordelijke voor de verwerking van persoonsgegevens bij de politie de korpschef is, als bedoeld in artikel 27 van de Politiewet 2012.
&lt;!-- image --&gt;
## Datum
17 november 2022
## Ons kenmerk
z2021-17798
## 3.2.2 Beoordeling
## Persoonsgegevens
- 39 Uit de vastgestelde feiten volgt dat er met de MCA's camerabeelden werden gemaakt waarop geïdentificeerde of identificeerbare natuurlijke personen waarneembaar waren. Uit de technische specificaties blijkt dat er met een 'Rooftop Unit' camerabeelden konden worden gemaakt. Daarnaast blijkt uit de in het onderzoeksrapport vastgestelde feiten er met de twee MCA's camerabeelden werden gemaakt waarop personen herkenbaar in beeld waren dat dat het ook de bedoeling was om personen te kunnen identificeren. Om deze reden werd er bijvoorbeeld geen 'blurring' toegepast.
## Politiegegevens
- 40 Uit de vastgestelde feiten blijkt dat deze persoonsgegevens worden verwerkt in het kader van de uitvoering van de politietaak. Zoals hiervoor is uiteengezet, is handhaving van de openbare orde onderdeel van de politietaak als bedoeld in artikel 3 van de Politiewet. De camerabeelden die met de MCA's werden gemaakt werden gebruikt voor handhaving van de openbare orde, meer specifiek voor het handhaven van de coronamaatregelen.
## Verwerking
- 41 Hiervoor is uiteengezet hoe de camerabeelden werden verzameld, verzonden, ontvangen, uitgekeken, doorgezonden, bewaard en vernietigd. Tevens staat vast dat er met de twee MCA's ook daadwerkelijk camerabeelden werden verzameld tijdens de inzet. De camerabeelden werden vanuit de MCA's rechtstreeks doorgezonden naar de meldkamer Handhaving. De ontvangen camerabeelden werden vervolgens via een datalijn naar de uitkijkruimte cameratoezicht doorgestuurd en daar onder regie van de politie uitgekeken. Daarnaast is vastgesteld dat de camerabeelden verder konden worden doorgezonden naar andere politielocaties, hetgeen ook enkele keren heeft plaatsgevonden. Verder staat vast dat de camerabeelden werden bewaard en na zeven dagen werden vernietigd.
## Verwerkingsverantwoordelijke
- 42 Hiervoor is uiteengezet dat de leden van de driehoek Rotterdam op 25 april 2020 onder voorwaarde van enkele aanpassingen akkoord is gegaan met het inzetkader, waarna op 26 april 2020 de MCA's op grond van artikel 3 Politiewet onder verantwoordelijkheid van de politie zijn ingezet. Uit het juridisch kader volgt dat de korpschef bij wet is aangewezen als verwerkingsverantwoordelijke voor het verwerken van politiegegevens bij de politie. De AP concludeert daarom dat de korpschef kwalificeert als verwerkingsverantwoordelijke voor het verwerken van camerabeelden met behulp van de MCA's.
## Zienswijze korpschef
- 43 De korpschef merkt op dat de uitvoering van zowel de GEB als de pre-GEB een gezamenlijk proces is geweest van de gemeente en de politie. Besluitvorming over de inzet van de MCA's lag immers bij de driehoek Rotterdam en rond cameratoezicht -  zowel op grond van artikel 151c van de Gemeentewet als op grond van artikel 3 van de Politiewet - bestond bij de gemeente de indruk dat sprake was van gezamenlijke
&lt;!-- image --&gt;
## Datum
17 november 2022
## Ons kenmerk
z2021-17798
verwerkingsverantwoordelijkheid. Dat was mede ingegeven door de tekst op de website van de AP op dat moment.
## Reactie AP
- 44 De AP ziet de bestuurlijke context binnen de driehoek Rotterdam en situatie waarin de politie als de gemeente Rotterdam zich bevonden, alsmede de omstandigheid dat ten tijde van de voorgenomen verwerking bij de gemeente Rotterdam onduidelijkheid kon bestaan over de vraag wie als verwerkingsverantwoordelijke had te gelden bij verwerkingen van camerabeelden op grond van artikel 151c van de Gemeentewet. In dat kader is voorstelbaar dat zowel de politie als de gemeente Rotterdam zich verantwoordelijk hebben gevoeld om te streven naar een gezamenlijk gedragen analyse van de mogelijke effecten van de (voorgenomen) verwerkingen van de camerabeelden op de bescherming van persoonsgegevens.
- 45 Uit onder andere het memo van 1 april 2020 van de Directie Veiligheid aan de burgemeester en het door de driehoek Rotterdam op 25 april 2020 vastgestelde inzetkader blijkt echter dat de MCA's als flexibel cameratoezicht niet zijn ingezet op grond van artikel 151c van de Gemeentewet, maar op grond van artikel 3 van de Politiewet. Ook blijkt uit het inzetkader dat de verantwoordelijkheid voor de inzet van de MCA's lag bij de politie.  Over de grondslag en verantwoordelijkheid voor de inzet van dit middel bestond dan ook geen onduidelijkheid bij de gemeente Rotterdam. Uit het hiervoor uiteengezette juridisch kader volgt onomstotelijk dat sprake was van verwerking van de politiegegevens waarvoor de korpschef verwerkingsverantwoordelijke is. Dat de gemeente hierover mogelijk twijfelde kan hieraan niet afdoen. In ieder geval kan de op dat moment luidende tekst van de website van de AP geen concrete aanleiding hiervoor hebben gevormd, aangezien die tekst enkel betrekking had op artikel 151c van de Gemeentewet en niet op artikel 3 van de Politiewet.
## 3.2.3 Conclusie
- 46 Op basis van het voorgaande concludeert de AP dat de camerabeelden informatie bevatten over geïdentificeerde of identificeerbare natuurlijke personen en dat daarmee sprake was van persoonsgegevens in de zin van artikel 1, aanhef en onder b, van de Wpg. Deze persoonsgegevens werden verwerkt in het kader van de uitvoering van de politietaak en daarmee was sprake van politiegegevens als bedoeld in artikel 1, aanhef en onder a, van de Wpg. Het verzamelen, verzenden, ontvangen, uitkijken, doorzenden, bewaren en vernietigen van politiegegevens waren verwerkingen van politiegegevens als bedoeld in artikel 1, aanhef en onder c, van de Wpg. De korpschef kwalificeert als verwerkingsverantwoordelijke voor het verwerken van camerabeelden met de MCA's, als bedoeld in artikel 1, aanhef en onder f, onderdeel 1, van de Wpg.
&lt;!-- image --&gt;
Datum
17 november 2022
Ons kenmerk
z2021-17798
## 3.3 Het uitvoeren van een gegevensbeschermingseffectbeoordeling
## 3.3.1 Juridisch kader
- 47 Artikel 4c, eerste lid, van de Wpg bepaalt dat in het geval een soort verwerking, in het bijzonder een verwerking waarbij nieuwe technologieën worden gebruikt, gelet op de aard, de omvang, de context of doelen ervan, waarschijnlijk een hoog risico voor de rechten en vrijheden van personen oplevert, de verwerkingsverantwoordelijke voorafgaande aan de verwerking een beoordeling uitvoert van het effect van de voorgenomen verwerkingsactiviteiten op de bescherming van persoonsgegevens.
## 3.3.2 Beoordeling
- 48 Artikel 4c van de Wpg voorziet in de verplichting om op verwerkingen van politiegegevens die waarschijnlijk een hoog risico inhouden voor de rechten en vrijheden van personen een GEB uit te voeren. Dit geldt met name voor verwerkingen waarbij nieuwe technologieën worden ingezet. Artikel 35, eerste lid, eerste volzin van de AVG bevat een identiek geformuleerde verplichting voor verwerkingen van persoonsgegevens die vallen onder de reikwijdte van de AVG.
## Waarschijnlijk hoog risico
- 49 Uit de vastgestelde feiten blijkt dat sprake is van een innovatieve toepassing van nieuwe technologie of organisatorische oplossingen. Gelet op de aard, de omvang, de context en de doelen van de verwerking van camerabeelden met behulp van de twee MCA's, leverde de verwerking waarschijnlijk een hoog risico op voor de rechten en vrijheden van personen. De AP licht dit hierna toe.
- 50 Uit randnummers 47 en 48 van dit besluit volgt dat de verplichting om een GEB uit te voeren met name in zicht komt bij verwerkingen waarbij nieuwe technologieën worden ingezet. Het gebruik van dergelijke technologieën kan immers nieuwe vormen van gegevensverzameling en -gebruik inhouden, mogelijk met een hoog risico voor de rechten en vrijheden van natuurlijke personen. 14
- 51 Hiervoor is vastgesteld dat op het dak van de twee MCA's camera's waren gemonteerd waarmee 360 graden camerabeelden konden worden gemaakt. Deze camera's waren bedoeld om een goed beeld met voldoende detail te geven tot tien meter rondom het voertuig. Zelfs bij een snelheid van vijftig kilometer per uur maken deze camera's scherpe beelden. Tevens is vastgesteld dat met de camera's personen, waaronder kinderen, herkenbaar in beeld werden gebracht. Hoewel de techniek van het maken van 360 graden camerabeelden op zichzelf niet nieuw is, is het gebruik  van dergelijke camera's op (snel) rijdende auto's dat wel.  Onder deze omstandigheden met deze camera's scherpe beelden maken van personen is naar het oordeel van de AP een innovatief gebruik van deze technologie. Anders dan bijvoorbeeld bij het
14  Vergelijk overwegingen 89 en 90 van de AVG, alsmede Richtsnoeren voor gegevensbeschermingseffectbeoordelingen en bepaling of een verwerking 'waarschijnlijk een hoog risico inhoudt' in de zin van Verordening 2016/679 (WP 248 rev.01), p. 12.
&lt;!-- image --&gt;
Datum
17 november 2022
## Ons kenmerk
z2021-17798
gebruik van 360 gradencamera's bij vast cameratoezicht of op een mobiele mast, maakt het gebruik van dergelijke camera's op een rijdende auto het bijvoorbeeld mogelijk om personen te volgen en daarvan camerabeelden te maken.
- 52 Ook was sprake van monitoring van openbaar toegankelijke ruimte, waarbij persoonsgegevens worden verzameld van zowel volwassen personen als kinderen, in omstandigheden waarin zij mogelijk niet weten dat gegevens  worden verzameld en evenmin hoe deze worden gebruikt. Bovendien kan het voor personen onmogelijk zijn om te voorkomen dat zij in een openbare (of openbaar toegankelijke) ruimte aan een dergelijke verwerking worden onderworpen. 15 De MCA's hebben ook daadwerkelijk tijdens de inzetperiode camerabeelden gemaakt in, onder andere, woonwijken, winkelgebieden, parken, recreatiegebieden en bij stranden.
- 53 Daarnaast was een van de doelen van de inzet van de mobiele camera's om gedurende de noodverordening een actueel beeld te krijgen in gebieden ' waarvan bekend [was] dat er tijdens bepaalde periodes per dag meer personen samen kwamen dan [was] toegestaan ' 16 . Gelet daarop  had de politie - anders dan in de pre-GEB is gebeurd - rekening moeten houden met de mogelijkheid dat dus (ook) van grote groepen  camerabeelden gemaakt zouden gaan worden en dat dat het karakter van incidentele monitoring zou kunnen ontstijgen.
- 54 Gelet op het voorgaande en op de gevoelige aard van de monitoring van de openbare ruimte resulteerde de verwerking van de camerabeelden met behulp van de MCA's waarschijnlijk in een hoog risico voor de rechten en vrijheden van personen.
- 55 Voorts dragen de context waarin en het doel waarvoor de camerabeelden werden gemaakt bij aan een verhoogd risico voor de rechten en vrijheden van personen. Het doel van het maken van de camerabeelden was immers gelegen in de efficiëntere en gerichtere handhaving van de coronamaatregelen in de noodverordening door handhavers en politie. Vast staat dat ook werd beoogd om personen te identificeren en dat een overtre</t>
  </si>
  <si>
    <t>Chance Publications Malta Ltd [16445:16474]</t>
  </si>
  <si>
    <t>[...] 4. De Kansspelautoriteit stelt de hoogte van de dwangsom vast op € 1.500,- per dag of gedeelte van een dag met een maximum van € 21.000,-. ## Besluit 35. Namens de raad van bestuur van de Kansspelautoriteit leg ik Chance Publications Malta Ltd de volgende last onder dwangsom op: 2. -Chance Publications Malta Ltd dient uiterlijk binnen 48 uur na dagtekening van dit besluit de overtreding van artikel 1, eerste lid, onder b, van de Wok te staken en gestaakt te [...]</t>
  </si>
  <si>
    <t>KSA__https___kansspelautoriteit.nl_sites_default_files_01_061_945_last_onder_dwangsom_openbare_versie.txt::Besluitvormend Orgaan</t>
  </si>
  <si>
    <t>De raad van bestuur van de Kansspelautoriteit</t>
  </si>
  <si>
    <t>de Raad van Bestuur van de Kansspelautoriteit</t>
  </si>
  <si>
    <t>De raad van bestuur van de Kansspelautoriteit [17355:17400]</t>
  </si>
  <si>
    <t>de Raad van Bestuur van de Kansspelautoriteit [27:72]</t>
  </si>
  <si>
    <t>&lt;!-- image --&gt;
## Aangetekend
Coöperatie Menzis U.A. Voorzitter Raad van Bestuur De heer drs. R. Wenselaar Postbus 75000 7500 KC Enschede
Datum 15 februari 2018
Ons kenmerk [VERTROUWELIJK]
Uw kenmerk 20171025/RvB/jd
Contactpersoon [VERTROUWELIJK] 070 8888 500
## Onderwerp
Last onder dwangsom en definitieve bevindingen
## Geachte heer Wenselaar,
Hieronder treft u het besluit aan van de Autoriteit Persoonsgegevens (AP) tot oplegging van een last onder dwangsom aan Coöperatie Menzis U.A. (Menzis). Dit besluit maakt onderdeel uit van het nieuwe besluit van heden op het bezwaar van Burgerrechtenvereniging Vrijbit (Vrijbit). Dit nieuwe besluit op bezwaar is genomen na het onderzoek dat de AP heeft uitgevoerd naar aanleiding van de tussenuitspraak van de rechtbank Midden Nederland (de rechtbank) van 7 juli 2017, ECLI:NL:RBMNE:2017:3421 (de tussenuitspraak). Deze zaak is aangevangen met een handhavingsverzoek dat Vrijbit bij het College bescherming persoonsgegevens (CBP) heeft ingediend.
Het handhavingsverzoek van Vrijbit heeft betrekking op de wijze waarop Nederlandse zorgverzekeraars op dit moment persoonsgegevens betreffende de gezondheid verwerken. Volgens Vrijbit is deze werkwijze in strijd met de Wet bescherming persoonsgegevens (Wbp), het Handvest van de grondrechten van de Europese Unie (het Handvest) en artikel 8 van het Verdrag voor de rechten van de mens en de fundamentele vrijheden (EVRM). Vrijbit legt hieraan samengevat ten grondslag dat zorgverzekeraars nog altijd werken volgens de Gedragscode Verwerking Persoonsgegevens Zorgverzekeraars (de gedragscode), terwijl de AP aan die gedragscode alsnog haar goedkeuring heeft onthouden naar aanleiding van een uitspraak van de rechtbank Amsterdam uit 2013. 1
Het verloop van de procedure tussen Vrijbit en de AP, het wettelijk kader, de uitspraak van de rechtbank Amsterdam, de tussenuitspraak, het oorspronkelijke besluit op bezwaar van 1 juni 2016, de opzet van het onderzoek en het verloop van het onderzoek zijn uiteengezet in het nieuwe besluit op bezwaar. De AP verwijst hier kortheidshalve naar.
1  Rechtbank Amsterdam 13 november 2013, ECLI:NL:RBAMS:2013:7480.
Autoriteit Persoonsgegevens Postbus 93374, 2509 AJ Den Haag Bezuidenhoutseweg 30, 2594 AV Den Haag T 070 8888 500 - F 070 8888 501 autoriteitpersoonsgegevens.nl
&lt;!-- image --&gt;
Datum
15 februari 2018
Ons kenmerk [VERTROUWELIJK]
## Bevindingen
- 1 Als bijlage bij dit besluit tot oplegging van de last onder dwangsom zijn de bevindingen van de AP gevoegd. Hierin komt allereerst de gedragscode en het door Menzis gehanteerde privacybeleid aan de orde (1). Daarna wordt ingegaan op de aspecten digitale declaratie zonder diagnose-informatie (2), doelbinding (3), ongeautoriseerde toegang tot persoonsgegevens (4), bewerkers (5) en medisch beroepsgeheim (6).
## Overtreding
- 2 In de bevindingen komt de AP tot de conclusie dat Menzis artikel 13 van de Wbp overtreedt. De AP heeft in dat kader het volgende geconstateerd:
- -Menzis heeft haar bedrijfscultuur organisatorisch zo ingericht dat uitsluitend medewerkers toegang mogen hebben tot persoonsgegevens betreffende de gezondheid voor zover dat noodzakelijk is voor het doeleinde waarvoor de medewerkers de persoonsgegevens verwerken. Zo is onder meer door Menzis vastgelegd dat marketingmedewerkers geen persoonsgegevens betreffende de gezondheid mogen verwerken.
- -Uit het onderzoek van de AP blijkt echter dat marketingmedewerkers van Menzis feitelijk wel toegang hebben tot persoonsgegevens betreffende de gezondheid. Het kunnen raadplegen van persoonsgegevens is ingevolge artikel 1, aanhef en onder b, van de Wbp aan te merken als het verwerken van persoonsgegevens.
- -Menzis beschikt dan ook niet over afdoende technische middelen waarmee wordt geborgd dat medewerkers geen toegang hebben tot persoonsgegevens die niet noodzakelijk zijn voor het doeleinde waarvoor zij worden verwerkt. In dat kader wijst de AP erop dat Menzis bijvoorbeeld geen logbestanden bijhoudt over de toegang tot persoonsgegevens, waaronder bijzondere persoonsgegevens.
- -Het voorgaande leidt tot de conclusie dat Menzis niet beschikt over passende technologische maatregelen als bedoeld in artikel 13 van de Wbp. De AP heeft uit onderliggende stukken die weergeven op welke wijze een marketingactie bij Menzis wordt uitgevoerd overigens geen aanwijzingen aangetroffen voor de conclusie dat marketingmedewerkers daadwerkelijk persoonsgegevens betreffende de gezondheid verwerken voor een marketingactie. Dat doet evenwel niet af aan de conclusie dat artikel 13 van de Wbp is overtreden, omdat de technologische maatregelen die Menzis heeft getroffen, niet passend zijn.
## Beginselplicht tot handhaving
- 3 Uit artikel 65 van de Wbp, in samenhang bezien met artikel 5:32, eerste lid, van de Algemene wet bestuursrecht (Awb) volgt dat de AP bevoegd is om een last onder dwangsom op te leggen bij overtreding van artikel 13 van de Wbp.
- Ingevolge artikel 5:2, eerste lid, aanhef en onder b, van de Awb is de last onder dwangsom gericht op het beëindigen van de geconstateerde overtreding en het voorkomen van herhaling.
- 4 Gelet op het algemeen belang dat is gediend met handhaving, zal de AP in geval van een overtreding van een wettelijk voorschrift in de regel van haar handhavende bevoegdheid gebruik moeten maken. Bijzondere omstandigheden in verband waarmee van handhavend optreden moet worden afgezien, doen zich in dit geval niet voor.
&lt;!-- image --&gt;
Datum
15 februari 2018
Ons kenmerk [VERTROUWELIJK]
## Last onder dwangsom en begunstigingstermijn
- 5 De AP gelast Menzis haar systeem op zodanige wijze in te richten dat ongeautoriseerde toegang tot persoonsgegevens wordt voorkomen.
Zij dient daartoe in ieder geval:
1. De autorisatiematrix en bijbehorende documenten waarin zij de logische toegangsbeveiliging van haar van systemen heeft vastgelegd, dienen te worden aangepast. Deze documenten dienen zodanig te worden aangepast of opnieuw opgesteld dat hieruit duidelijk volgt welke toegangsrechten medewerkers hebben. De autorisatiematrix dient een inzichtelijk overzicht te bieden van de autorisaties en raadpleegrollen die bij een functie of rol horen door middel van onder meer een eenduidig gebruik van terminologie. Hierbij dient Menzis vast te leggen voor welke functie of rol het verwerken van persoonsgegevens betreffende de gezondheid noodzakelijk is en voor welk doeleinde en dit document indien nodig aan herziene bedrijfsinzichten aan te passen. Voorts dienen de autorisaties van medewerkers van Menzis daarmee blijvend feitelijk in overeenstemming te worden gebracht.
2. Zorg te dragen voor adequate technologische controlesystemen op basis waarvan zij borgt dat medewerkers uitsluitend toegang hebben tot bijzondere persoonsgegevens, waaronder persoonsgegevens betreffende de gezondheid, wanneer die toegang noodzakelijk is voor de werkzaamheden van een medewerker. Het gaat hierbij in ieder geval om logging van toegang en mutaties, zodat - al dan niet naar aanleiding van incidenten - gecontroleerd kan worden of medewerkers toegang hebben verkregen terwijl de toegang tot deze gegevens niet noodzakelijk is voor hun werkzaamheden. Tevens betekent dit dat de autorisaties periodiek dienen te worden gecontroleerd en onverwijld aangepast wanneer uit een controle blijkt dat een medewerker ten onrechte is geautoriseerd om inzage te hebben tot persoonsgegevens, waaronder persoonsgegevens betreffende de gezondheid.
3. Menzis dient voorts te zorgen voor een periodieke schriftelijke terugkoppeling - die ten minste eenmaal per half jaar plaatsvindt - door de Functionaris voor de Gegevensbescherming en de Compliance officer(s) aan de directie waaruit blijkt of zich incidenten hebben voorgedaan en zo ja, welke maatregelen zijn getroffen:
- a. ten aanzien van het vermelde onder 1;
- b. ten aanzien van het vermelde onder 2.
6. -begunstigingstermijn en hoogte dwangsom t.a.v. onderdelen 2 en 3b
7. 6 Gelet op hetgeen Menzis naar voren heeft gebracht over haar wens om haar systeem zo in te richten dat technisch en grotendeels geautomatiseerd wordt geborgd dat medewerkers geen toegang hebben tot meer persoonsgegevens dan noodzakelijk is voor hun werkzaamheden, verbindt de AP aan onderdeel 2 en onderdeel 3b van deze last een begunstigingstermijn die eindigt op 31 december 2018.
8. 7 Indien Menzis niet vóór het einde van de onder 6 vermelde begunstigingstermijn aan de last voldoet, verbeurt zij een dwangsom. De AP stelt de hoogte van deze dwangsom vast op een bedrag van € 150.000,00 voor iedere (gehele) week, na afloop van de laatste dag van de gestelde termijn, waarop Menzis nalaat aan onderdeel 2 en onderdeel 3b van de last te voldoen, tot een maximum van € 750.000,00. Gelet op het feit dat de dwangsom een prikkel dient te zijn tot naleving van de last, de hoogte van de omzet
&lt;!-- image --&gt;
Datum
15 februari 2018
Ons kenmerk [VERTROUWELIJK]
van Menzis, het grote aantal verzekerden en de ernst van de overtreding, acht de AP de hoogte van deze dwangsom passend.
- -begunstigingstermijn en hoogte dwangsom t.a.v. onderdelen 1 en 3a
- 8 Wat betreft onderdeel 1. van deze last is de AP van oordeel dat met de uitvoering daarvan minder inspanningen gemoeid zijn. De AP verbindt daarom aan onderdeel 1 en onderdeel 3a van de last een begunstigingstermijn die eindigt op 26 mei 2018.
- 9 Indien Menzis niet vóór het einde van de onder 0 vermelde begunstigingstermijn aan de last voldoet, verbeurt zij een dwangsom. De AP stelt de hoogte van deze dwangsom vast op een bedrag van € 50.000,00 voor iedere (gehele) week, na afloop van de laatste dag van de gestelde termijn, waarop Menzis nalaat aan onderdeel 1 en onderdeel 3a van de last te voldoen, tot een maximum van € 250.000,00. Gelet op het feit dat de dwangsom een prikkel dient te zijn tot naleving van de last, de hoogte van de omzet van Menzis, het grote aantal verzekerden en de ernst van de overtreding, acht de AP de hoogte van deze dwangsom passend.
## -tussentijdse rapportage
- 10 De AP raadt Menzis aan om aan de hand van een concrete planning - eenmaal per kwartaal - mededeling te doen aan de AP over de voortgang van de maatregelen die zij neemt om te kunnen voldoen aan de opgelegde last.
## -nacontrole
- 11 De AP verzoekt Menzis tijdig vóór het einde van de begunstigingstermijn bewijsstukken aan de AP toe te zenden waaruit blijkt dat tijdig en volledig aan de last wordt voldaan. Het tijdig overleggen van bewijsstukken laat overigens onverlet dat de AP bevoegd is om een onderzoek, waaronder een onderzoek ter plaatse, in te stellen indien het dit dienstig voorkomt.
## Toelichting op de last
- 12 Ter toelichting merkt de AP het volgende op.
- 13 In het document 'CBP Richtsnoeren. Beveiliging van persoonsgegevens' ( Stcrt. 2013, 5174, hierna ook: de richtsnoeren) is invulling gegeven aan de vraag wanneer beveiligingsmaatregelen 'passend' in de zin van artikel 13 van de Wbp zijn. In de richtsnoeren wordt duidelijk gemaakt dat voor die beoordeling allereerst moet worden gekeken naar de te stellen betrouwbaarheidseisen. Hierbij moet aan de hand van de aard van de te beschermen gegevens worden vastgesteld wat een passend beschermingsniveau is. De aard van de persoonsgegevens is hierbij van belang. Ook de hoeveelheid verwerkte persoonsgegevens per persoon en het doel waarvoor de persoonsgegevens worden verwerkt, moet hierbij worden meegewogen.
- 14 In dit geval gaat het om de verwerking van gegevens betreffende de gezondheid, zijnde bijzondere persoonsgegevens. Dat betekent dat de gevolgen van een onrechtmatige verwerking van die gegevens, voor betrokkenen ernstig kunnen zijn. Als gevolg hiervan is voor de verwerking van persoonsgegevens door Menzis een hoog beveiligingsniveau vereist.
&lt;!-- image --&gt;
Datum 15 februari 2018
Ons kenmerk
[VERTROUWELIJK]
- 15 Na het vaststellen van de betrouwbaarheidseisen moet de verantwoordelijke passende beveiligingsmaatregelen treffen, die waarborgen dat aan de betrouwbaarheidseisen wordt voldaan, zo staat in de richtsnoeren. Beveiligingsstandaarden geven houvast bij het daadwerkelijk treffen van passende maatregelen om de risico's af te dekken. Een zeer veel gebruikte beveiligingsstandaard is de Code voor Informatiebeveiliging, NEN-ISO/IEC 27002+C1(2014)+C2 (2015). Hierin zijn concrete beveiligingsmaatregelen opgenomen. Beveiligingsstandaarden geven houvast bij het daadwerkelijk treffen van passende maatregelen om de risico's af te dekken. Welke beveiligingsstandaarden voor een bepaalde verwerking relevant zijn en welke beveiligingsmaatregelen op grond van deze beveiligingsstandaarden moeten worden getroffen, moet echter van geval tot geval worden bepaald.
- 16 In de Code voor Informatiebeveiliging zijn de volgende in dit verband relevante maatregelen genoemd: 9.4.1 Beperking toegang tot informatie
- Toegang tot informatie en systeemfuncties van toepassingen behoort te worden beperkt in overeenstemming met het beleid voor toegangsbeveiliging.
- 12.4.1 Gebeurtenissen registreren
- Logbestanden van gebeurtenissen die gebruikersactiviteiten, uitzonderingen en informatiebeveiligingsgebeurtenissen registreren, behoren te worden gemaakt, bewaard en regelmatig te worden beoordeeld.
- 17 Los van de inrichting van het beleid voor toegangsbeveiliging rechtvaardigt de aard van de persoonsgegevens die een zorgverzekeraar als Menzis verwerkt en de omvang van die verwerking, dat ten minste op zodanige wijze logbestanden worden bijgehouden dat in ieder geval een reactieve controle van de logbestanden mogelijk is. In het bijzonder gaat het de AP erom dat handelingen in de vorm van raadplegingen of mutaties in de systemen waartoe medewerkers geautoriseerd zijn met betrekking tot (bijzondere) persoonsgegevens niet worden gelogd, als gevolg waarvan een controle op de toegang tot die gegevens - bijvoorbeeld naar aanleiding van incidenten - thans niet mogelijk is.
- 18 De AP heeft, zoals hiervoor is opgemerkt, tijdens het onderzoek geconstateerd dat marketingmedewerkers van Menzis feitelijk toegang hebben tot persoonsgegevens betreffende de gezondheid, terwijl door Menzis is vastgelegd dat dit niet de bedoeling is. Menzis heeft in haar reactie op het voornemen tot handhaving de juistheid van deze bevindingen erkend en verklaard zich te committeren aan het oordeel van de AP dat dit leidt tot een overtreding van artikel 13 van de Wbp. Menzis heeft verklaard dat zij zo spoedig mogelijk de nodige maatregelen wil nemen om de overtreding te beëindigen. Zij heeft daartoe de AP een planning verstrekt van de maatregelen die zij voornemens is te treffen. Deze planning komt de AP realistisch voor. De AP heeft daarom de hiervoor vermelde begunstigingstermijnen voor de onderscheiden onderdelen van de last onder dwangsom afgestemd op de planning van Menzis.
&lt;!-- image --&gt;
Datum
15 februari 2018
Ons kenmerk [VERTROUWELIJK]
## Ter voorlichting van partijen
- 19 Het besluit op bezwaar van heden met kenmerk z2016-12335 en het onderhavige besluit tot oplegging van de last onder dwangsom en vormen tezamen het besluit van de AP op het bezwaar van Vrijbit. Tegen dit besluit staat beroep open bij de rechtbank.
Een afschrift van deze brief zal worden verzonden naar de Functionaris voor de Gegevensbescherming van Menzis [VERTROUWELIJK].
Hoogachtend, Autoriteit Persoonsgegevens,
w.g.
mr. A. Wolfsen Voorzitter
## Rechtsmiddel
Indien u het niet eens bent met dit besluit kunt u binnen zes weken na de datum van verzending van het besluit ingevolge de Algemene wet bestuursrecht een beroepschrift indienen bij de rechtbank Midden-Nederland, waar reeds deze procedure aanhangig is. U dient een afschrift van dit besluit mee te zenden. Het indienen van een beroepschrift schort de werking van dit besluit niet op.</t>
  </si>
  <si>
    <t>## OPENBAAR Besluit van de Raad van Bestuur van de Kansspelautoriteit als bedoeld in artikel 35 van de Wet op de kansspelen. Datum: 22 juli 2019 Kenmerk: 01.060.278 Openbaar gemaakt onder kenmerk: 01.061.945 ## Besluit ## Samenvatting 1. De Kansspelautoriteit heeft vastgesteld dat Chance Publications Malta Ltd reclame maakt voor het kansspelen waarvoor geen vergunning op grond van de Wet op de Kansspelen (hierna: Wok) is verleend. Daarmee handelt Chance Publications Malta Ltd in strijd met de Wok. De Kansspelautoriteit draagt Chance Publications Malta Ltd op het maken van reclame voor kansspelen waarvoor geen vergunning ingevolge de Wok is verleend (overtreding van artikel 1, eerste lid, onder b, van de Wok), te staken en gestaakt te houden door middel van het opleggen van een last onder dwangsom. ## Handhaving van de Wet op de kansspelen 2. De Kansspelautoriteit is belast met het toezicht op de naleving van het bepaalde in de Wok. In de Wok is onder andere bepaald dat het in Nederland verboden is gelegenheid te geven tot deelname aan kansspelen, tenzij daarvoor ingevolge de Wok vergunning is verleend (artikel 1, eerste lid, onder a, Wok). Daarnaast is het ingevolge artikel 1, eerste lid, onder b, van de Wok eveneens verboden de deelneming aan een kansspel, waarvoor geen vergunning is verleend, te ## Kansspelautoriteit - bevorderen. 3. De Wok voorziet niet in de mogelijkheid vergunningen te verlenen voor kansspelen online. Binnen het huidige wettelijke kader kan voor kansspelen online onvoldoende vorm worden gegeven aan de doelstellingen van het kansspelbeleid: het voorkomen van kansspelverslaving, het beschermen van de consument en het tegengaan van mogelijke fraude en criminaliteit. 4. De Kansspelautoriteit acht het aanbieden van kansspelen online zonder daartoe strekkende vergunning zeer ernstig. 1 De doelstellingen van het kansspelbeleid worden - door het zonder vergunning aanbieden van kansspelen online omzeild. De kansspelsector is bovendien geen gewone economische sector maar extra gevoelig voor fraude, bedrog en verslaving waarvan de consument de dupe kan worden. Deelnemers aan dergelijke kansspelen lopen daarbij risico's omdat er geen garantie is dat het spel betrouwbaar is, het betalingsverkeer veilig verloopt en gewonnen prijzen daadwerkelijk worden uitgekeerd. 5. Naast aanbieders van kansspelen online hebben tussenpersonen, bevorderaars, ook een belangrijke rol bij de deelname van consumenten aan - en het in stand houden van - dit soort kansspelaanbod. Zonder hun diensten wordt het voor de kansspelaanbieders immers ook moeilijker om hun aanbod aan de consument aan te bieden en voor de consument om daaraan deel te nemen. De Kansspelautoriteit neemt daarom ook andere maatregelen om het kansspelaanbod online zonder vergunning te frustreren, bijvoorbeeld door het opwerpen van barrières bij tussenpersonen in de reclamebranche. Doel hiervan is dat deze tussenpersonen hun diensten niet meer ter beschikking stellen aan aanbieders van kansspelen online zonder vergunning. Dit zorgt ervoor dat het voor deze aanbieders onaantrekkelijk en wellicht onmogelijk wordt om kansspelen aan te bieden en voor consumenten om bij deze aanbieders te spelen. 6. Het bestrijden van kansspelen online zonder vergunning vergt ook dat de Kansspelautoriteit bestuurlijk handhavend optreedt tegen het bevorderen van kansspelaanbod waarvoor geen vergunning is verleend. Artikel 1, eerste lid, onder b, van de Wok biedt daarvoor een grondslag. 1 Sanctiebesluiten genomen door de raad van bestuur van de Kansspelautoriteit. (zie: http://www.kansspelautoriteit.nl/besluiten/sanctiebesluiten OPENBAAR Kansspelautoriteit 22 juli 2019 Kenmerk 01.060.278 7. Als onderdeel van haar toezichthoudende taak heeft de Kansspelautoriteit onderzoek gedaan naar partijen die illegale online kansspelen bevorderen in de vorm van het (doen) plaatsen van reclame-uitingen voor kansspelaanbod online waarvoor geen vergunning is verleend. Genoemde partijen handelen daarmee in strijd met het in artikel 1, eerste lid, onder b, van de Wok bepaalde. ## Juridisch kader 8. Op grond van artikel 1, eerste lid, onder a, van de Wok is het verboden om gelegenheid te geven tot deelname aan een kansspel waarvoor geen vergunning ingevolge de Wok is verleend. 9. Op grond van artikel 1, eerste lid, onder b, van de Wok, is het verboden om de deelneming aan een kansspel waarvoor geen vergunning is verleend, te bevorderen. 10. Naar het oordeel van de Kansspelautoriteit staat vast dat het (doen) plaatsen van reclame-uitingen valt onder 'bevorderen' als bedoeld in artikel 1, eerste lid, onder b, van de Wok. Naar algemeen taalgebruik wordt onder bevorderen verstaan: vooruithelpen. In relatie tot het gelegenheid geven van deelname aan een kansspel zonder vergunning wordt onder bevorderen verstaan: het ontplooien van activiteiten die het organiseren van kansspelen zonder vergunning helpen, ondersteunen, vergemakkelijken of beter laten verlopen, daartoe bijdragen of daartoe voorzieningen aanbieden of beschikbaar stellen. Het (doen) plaatsen van reclame-uitingen vormt een wezenlijke activiteit voor het succesvol en winstgevend aanbieden en verkopen van (online) producten of diensten. Immers, door reclame worden (potentiële) afnemers geattendeerd op dat aanbod en gestimuleerd daaraan deel te nemen. 11. Op grond van artikel 33b van de Wok heeft de Kansspelautoriteit onder meer tot taak het toezicht op de naleving van de toepasselijke wet- en regelgeving en de vergunningen, alsmede de handhaving daarvan. De Kansspelautoriteit is op grond van artikel 35 van de Wok bevoegd tot het opleggen van een last onder bestuursdwang wegens overtreding van de voorschriften van de Wok. Artikel 5:32, eerste lid, van de Algemene wet bestuursrecht (hierna: Awb) bepaalt dat een bestuursorgaan dat bevoegd is een last onder bestuursdwang op te leggen, in plaats daarvan aan de overtreder een last onder dwangsom kan opleggen. ## Bevindingen 12. Bij besluit van 31 juli 2018 heeft de Kansspelautoriteit vastgesteld dat de onderneming Corona Limited artikel 1, eerste lid, onder a, van de Wok heeft overtreden. 2 Daarmee staat vast dat in het geval van Corona Limited sprake is van aanbod van kansspelen waarvoor geen vergunning is verleend. 13. In het kader van het toezichtonderzoek naar bevorderaars van kansspelen online, waarvoor geen vergunning is verleend, heeft de Kansspelautoriteit onder meer onderzoek gedaan naar websites waarop reclame werd gemaakt voor het hiervoor genoemde kansspelaanbod online en de daarbij betrokken websites. 14. Op 24 en 31 oktober 2018 heeft een toezichthouder van de Kansspelautoriteit (hierna: toezichthouder) geconstateerd dat er op de website casinotop10.nl (URL: www.casinotop10.nl) verschillende aanklikbare reclame-uitingen dan wel reclame-uitingen en/of reviews (recensies) met aanklikbare links te zien waren voor de websites Betsson Casino (URL: www.betsson.com), Kroon Casino (URL: www.krooncasino.com), Oranje Casino (URL: www.oranjecasino.com), Mr Green (URL: www.mrgreen.com), Mr Play, Karamba Casino, BetChan Casino, Playamo Casino, EuroGrand Casino, Slotssons.com, OmniSlots, Ladbrokes Casino, Playamo Casino, Magic Red Casino, Bob Casino, Slotsons.com, Luckland Casino, SlotJerry, Eskimo Casino, SlotsMillion Casino, Bethard Casino, PlayClub Casino, Casino Heroes, William Hill casino, NetBet.com. Na het aanklikken van deze reclame-uitingen (naam en/of logo) dan wel aanklikbare links werd de toezichthouder rechtstreeks doorgeleid naar de betreffende online kansspelwebsites. 15. De toezichthouder heeft geconstateerd dat bij de opsommingen van en recensies over voornoemde online casino's een knop aanwezig was met 'PAK BONUS' of ' KRIJG BONUS' of 'SPEEL NU' . Door hierop te klikken werd de toezichthouder rechtstreeks doorgeleid naar desbetreffende website, waaronder onder meer Betsson Casino, Kroon Casino, Oranje Casino en Mr Green. Door op '&amp;gt;Bezoek dit casino&amp;lt;' knoppen bij recensies/reviews te klikken werd de toezichthouder tevens rechtstreeks doorgeleid naar de websites. [2 https://kansspelautoriteit.nl/besluiten/sanctiebesluiten/sanctiebesluiten/coronalimited/](https://kansspelautoriteit.nl/besluiten/sanctiebesluiten/sanctiebesluiten/corona-limited/) 16. Op 28 februari 2019 heeft een toezichthouder nogmaals geconstateerd dat er op de website casinotop10.nl (URL: www.casinotop10.nl) verschillende aanklikbare reclame-uitingen dan wel reclame-uitingen en/of reviews (recensies) met aanklikbare links te zien waren voor onder meer de websites Mr Play, Karamba Casino, Spinia Casino, BetChan Casino, OmniSlots, Dreamz.com, Magic Red Casino, Bob Casino, Turbo Casino, Slotsons.com, Eskimo Casino, SlotJerry en Unique Casino. Na het aanklikken van deze reclame-uitingen (naam en/of logo) dan wel aanklikbare links werd de toezichthouder rechtstreeks doorgeleid naar online kansspelwebsites. 17. De toezichthouder heeft geconstateerd dat bij de opsommingen van en recensies over voornoemde online casino's een knop aanwezig was met 'PAK BONUS' of ' KRIJG BONUS' of 'SPEEL NU' . Door hierop te klikken werd de toezichthouder rechtstreeks doorgeleid naar desbetreffende website. Door op knoppen bij recensies/reviews te klikken werd de toezichthouder tevens rechtstreeks doorgeleid naar de websites. Tijdens dit onderzoek zijn geen recensies/reviews met aanklikbare links over de online casino's Oranje Casino en Mr Green geconstateerd. Voorts is geconstateerd dat via de reviews van Betsson Casino en Kroon Casino niet werd doorgeleid naar deze websites, de '&amp;gt;Bezoek dit casino&amp;lt;' knoppen ontbraken. 18. De toezichthouder heeft tijdens bovenstaande onderzoeken geconstateerd dat op casinotop10.nl op de meeste pagina's advertenties staan van Bob Casino. Daarnaast staat onderaan de pagina's het volgende: ' Onze favoriete partners: Mr Play, Karamba Casino, Spinia Casino, BetChan Casino, OmniSlots, Dreamz.com, Magic Red Casino, Bob Casino, Turbo Casino, Slotsons.com. ' 19. De onderzoeken van de toezichthouder zijn vastgelegd in bijgaande verslagen. 3 20. De tijdens het onderzoek vastgelegde uitingen kwalificeren zich naar het oordeel van de Kansspelautoriteit als bevorderen. Een deel van bovengenoemde kansspelwebsites worden aangeboden door Corona Limited. Daarmee staat ook vast dat het maken van reclame voor dit aanbod is te beschouwen als het bevorderen van dit aanbod, wat een overtreding is van artikel 1, eerste lid, onder b, van de Wok. 3 Bijlage met kenmerken 01.051.340 en 01.051.342 21. Chance Publications Malta Ltd, eigenaar/houder van de website casinotop10.nl , is bij brief van 27 maart 2019 geïnformeerd over de geconstateerde overtreding. 4 In deze brief is Chance Publications Malta Ltd in de gelegenheid gesteld om voor 10 april 2019 de overtreding te staken en gestaakt te houden en daartoe de nodige maatregelen te treffen om ervoor te zorgen dat geen reclame meer wordt gemaakt voor kansspelen die geen vergunning hebben. Naar aanleiding van deze brief heeft de Kansspelautoriteit niets van Chance Publications Malta Ltd vernomen. 22. Op 19 april 2019 heeft de toezichthouder de website casinotop10.nl opnieuw onderzocht. De toezichthouder heeft tijdens het onderzoek op 19 april 2019 op de website casinotop10.nl verschillende aanklikbare reclame-uitingen dan wel reclame-uitingen en/of reviews met aanklikbare links voor onder meer de voornoemde advertenties van Mr. Play, Karamba Casino, Spinia Casino, BetChan Casino, Omnislots, Magic Red Casino, Bob Casino, Turbo Casino, Slotsons.com, Eskimo Casino, SlotJerry, Unique Casino opnieuw aangetroffen. Door te klikken op de logo's en/of namen en op de knoppen 'PAK BONUS' of 'SPEEL NU' werd de toezichthouder rechtstreeks doorgeleid naar de websites van de online casino's. 23. De toezichthouder heeft tijdens het onderzoek geconstateerd dat na te klikken op reviews van Betsson Casino en Kroon Casino doorgeleid werd naar een algemene review pagina. 24. Ten tijde van dit onderzoek heeft de toezichthouder voorts geconstateerd dat zijn er reclame-uitingen bijgekomen van de volgende casino's: Fruits4Real Casino, 21.Com, N1 Casino, Casinojefe en Casino Euro. 25. Het volledige onderzoek van de toezichthouder is vastgelegd in bijgaand verslag. 5 ## Overtreding van de Wet op de kansspelen 26. De tijdens het (nader) onderzoek vastgelegde uitingen kwalificeren zich naar het oordeel van de Kansspelautoriteit als bevorderen. Een deel van bovengenoemde kansspelwebsites worden aangeboden door Corona Limited. Daarmee staat ook 4 Brief met kenmerk 01.053.298 5 Bijlage met kenmerk 01.055.860 - vast dat het maken van reclame voor dit aanbod is te beschouwen als het bevorderen van dit aanbod, wat een overtreding is van artikel 1, eerste lid, onder b, van de Wok. De overtreding is na de brief van 27 maart 2019 niet opgeheven. 27. Op grond van het voorgaande staat naar het oordeel van de Kansspelautoriteit vast dat Chance Publications Malta Ltd reclame-uitingen heeft geplaatst voor verschillende aanbieders van online kansspelen. Tevens staat vast dat deze aanbieders in onder meer Nederland gelegenheid geven tot deelname aan een kansspel waarvoor geen vergunning is verleend. 28. Op grond van het voorgaande stelt de Kansspelautoriteit vast dat Chance Publications Malta Ltd, als eigenaar/houder van de genoemde website, artikel 1, eerste lid, onder b, van de Wok heeft overtreden. ## Gelegenheid tot zienswijze 29. Bij brief van 21 mei 2019 heeft de Kansspelautoriteit een voornemen tot het opleggen last onder dwangsom 6 gestuurd naar Chance Publications Malta Ltd te Malta. Op 10 juni 2019 heeft Chance Publications Malta Ltd dit document met bijlagen ontvangen. In deze brief is Chance Publications Malta Ltd in de gelegenheid gesteld een zienswijze in te dienen. Hiervan is geen gebruik gemaakt. ## Overwegingen tot oplegging last 30. Handhavend optreden tegen aanbieders van kansspelen waarvoor geen vergunning is verleend, is noodzakelijk. Naast het opleggen van boetes aan dergelijke aanbieders, is het tevens noodzakelijk dat zij hun aanbod daadwerkelijk beëindigen. In combinatie met handhaving jegens de betreffende aanbieder acht de Kansspelautoriteit het noodzakelijk dat ook een partij die het kansspelaanbod zonder vergunning bevordert haar dienstverlening aan dergelijk kansspelaanbod dient te staken en gestaakt dient te houden. 6 Bijlage 13001/01.056.485 22 juli 2019 Kenmerk 01.060.278 31. Gelet op het belang om reclamemakers ertoe te brengen hun activiteiten tot bevordering van kansspelaanbod waarvoor geen vergunning is verleend daadwerkelijk te staken, acht de Kansspelautoriteit het opleggen van een last onder dwangsom aan deze dienstverleners daarom noodzakelijk. De Kansspelautoriteit biedt - in het geval van een overtreding - deze dienstverleners c.q. reclamemakers, zo ook Chance Publications Malta Ltd in dit geval, de mogelijkheid om de overtreding te beëindigen en daarmee om het verbeuren van een dwangsom te voorkomen. Met het oog op het evenredigheidsbeginsel van artikel 3:4, tweede lid, van de Awb is de Kansspelautoriteit van oordeel dat de belangen van de betrokkenen - in dit geval het belang van Chance Publications Malta Ltd - derhalve niet onevenredig worden geschaad door dit besluit en het daarmee gediende belang. ## Hoogte van de dwangsom 32. Ten aanzien van de hoogte van de dwangsom, bepaalt artikel 5:32b, derde lid van de Awb dat de hoogte ervan in redelijke verhouding dient te staan tot de zwaarte van het geschonden belang en tot de beoogde werking van de dwangsom. Daarnaast moet van de hoogte van de dwangsom voldoende (financiële) prikkel uitgaan voor de overtreder om de overtreding te beëindigen. 33. Handhaving van de regels in de kansspelsector en voorkomen van illegaal kansspelaanbod is noodzakelijk, gelet op de belangen van een betrouwbaar spelaanbod en veilig betalingsverkeer. De kansspelsector is extra gevoelig voor fraude, bedrog en verslaving waarvan de consument de dupe kan worden. Het zijn deze te beschermen - en in beginsel geschonden - belangen die de Kansspelautoriteit heeft meegewogen bij de vaststelling van de hoogte van de dwangsom. 34. De Kansspelautoriteit stelt de hoogte van de dwangsom vast op € 1.500,- per dag of gedeelte van een dag met een maximum van € 21.000,-. ## Besluit 35. Namens de raad van bestuur van de Kansspelautoriteit leg ik Chance Publications Malta Ltd de volgende last onder dwangsom op: 2. -Chance Publications Malta Ltd dient uiterlijk binnen 48 uur na dagtekening van dit besluit de overtreding van artikel 1, eerste lid, onder b, van de Wok te staken en gestaakt te houden. Chance Publications Malta Ltd kan dit doen door alle reclame- en wervingsuitingen voor kansspelen, waarvoor geen vergunning ingevolge de Wet op de kansspelen is verleend, te beëindigen en beëindigd te houden. 3. -Voor iedere dag of gedeelte van de dag na het verstrijken van de hiervoor genoemde begunstigingstermijn waarop Chance Publications Malta Ltd haar dienstverlening ten behoeve van kansspelen, waarvoor geen vergunning ingevolge de Wet op de kansspelen is verleend, voortzet, verbeurt Chance Publications Malta Ltd een dwangsom van € 1.500, - per dag of gedeelte van een dag, tot een maximum van € 21.000, -. 's-Gravenhage, 22 juli 2019 De raad van bestuur van de Kansspelautoriteit, namens deze, w.g. mr. Marc P.P.M. Merx Hoofd afdeling Handhaving Kansspelautoriteit 22 juli 2019 Kenmerk 01.060.278 ## Bezwaar maken U kunt tegen deze beslissing bezwaar maken door een gemotiveerd bez [...]</t>
  </si>
  <si>
    <t>KSA__https___kansspelautoriteit.nl_sites_default_files_01_061_945_last_onder_dwangsom_openbare_versie.txt::Rechtshandeling</t>
  </si>
  <si>
    <t>leg</t>
  </si>
  <si>
    <t>leg [16438:16442]</t>
  </si>
  <si>
    <t>leg [16438:16441]</t>
  </si>
  <si>
    <t>[...] som. 34. De Kansspelautoriteit stelt de hoogte van de dwangsom vast op € 1.500,- per dag of gedeelte van een dag met een maximum van € 21.000,-. ## Besluit 35. Namens de raad van bestuur van de Kansspelautoriteit leg ik Chance Publications Malta Ltd de volgende last onder dwangsom op: 2. -Chance Publications Malta Ltd dient uiterlijk binnen 48 uur na dagtekening van dit besluit de overtreding van artikel 1, eerste lid, onder b, van [...]</t>
  </si>
  <si>
    <t>KSA__https___kansspelautoriteit.nl_sites_default_files_01_061_945_last_onder_dwangsom_openbare_versie.txt::Rechtsobject</t>
  </si>
  <si>
    <t>last onder dwangsom [16487:16506]</t>
  </si>
  <si>
    <t>&lt;!-- image --&gt;
Datum 25 januari 2022
Ons kenmerk z2021-17385
Bulkbesluit inzake de vergunningaanvragen voor de verwerking van gegevens van strafrechtelijke aard ten behoeve van derden van de verwerking 'Collectief Winkelverbod' door de in de bijlage genoemde winkeliers van het winkelgebied De Gaard Utrecht z2021-17385
## 1 Inleiding: aanleiding vergunningaanvraag
1. Op 29 november 2021 heeft het Centrum voor Criminaliteitspreventie en Veiligheid (hierna: het CCV) ingevolge artikel 33, vierde lid, aanhef en onder c, van de Uitvoeringswet Algemene verordening gegevensbescherming (UAVG) - bij de Autoriteit Persoonsgegevens (AP) een bulkvergunningaanvraag ingediend namens de in de bijlage van het besluit genoemde winkeliers in het winkelgebied De Gaard in Utrecht. Ter onderbouwing van de aanvraag, heeft het CCV een protocol en een gegevensbeschermingseffectbeoordeling (ook wel data protection impact assessment/DPIA genoemd) bijgevoegd. Op 24 december 2021 heeft de AP geconstateerd dat de vergunningaanvraag incompleet was. Op 10 januari 2022 heeft het CCV de ontbrekende gegevens naar ons toegestuurd. Deze aanvraag is bij de AP bekend onder zaaknummer z2021-173885 en onder de zaaknaam 'Bulkvergunningaanvraag winkelgebied De Gaard Utrecht' .
2. Op grond van artikel 33, vierde lid, aanhef en onder c, UAVG mogen persoonsgegevens van strafrechtelijke aard ten behoeve van derden worden verwerkt indien de AP een vergunning voor de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3. In het navolgende concludeert de AP dat er een bulkvergunning voor de verwerking van gegevens van strafrechtelijke aard ten behoeve van derden kan worden verleend aan de individuele winkeliers, genoemd in de bijlage, omdat voldoende is aangetoond dat de verwerking noodzakelijk is met het oog op een zwaarwegend belang van derden en bij de uitvoering is voorzien in zodanige waarborgen dat de persoonlijke levenssfeer van de betrokkene niet onevenredig wordt geschaad. Het vorenstaande is uitgewerkt in het aangeleverde protocol en de DPIA.
## 2 Procedureverloop
4. De AP heeft het Protocol (collectief) winkelverbod, versie april 2020 (hierna: modelprotocol collectief winkelverbod) en d e Data Protection Impact Assessment - Registratie en gebruik winkelverboden, versie april 2020 (hierna: model-DPIA collectief winkelverbod) beoordeeld. De AP is op basis van de hiervoor genoemde documenten en de nadere toelichting die daarop is gegeven door het CCV, tot de conclusie gekomen dat de AP in genoemde documenten geen strijdigheden ziet met de AVG en de UAVG. De AP heeft dit bevestigd in haar brief van 18 mei 2020, waarbij is aangegeven dat aan de nog af te geven vergunningen in elk geval
&lt;!-- image --&gt;
Datum
25 januari 2022
## Ons kenmerk
z2021-17385
een aantal specifieke aanvullende voorschriften worden verbonden (zie onder overwegingen 12, 13, 14, 15 en 16 van dit besluit).
5. De lokale ondernemers hebben schriftelijk verklaard dat zij het modelprotocol collectief winkelverbod (april 2020) en model-DPIA collectief winkelverbod (april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het winkelverbod is om de criminele derving, agressie en geweld tegen te gaan binnen de detailhandel.
7. In eerste instantie krijgt iemand na een strafbaar feit een collectieve waarschuwing voor een jaar. Gedurende dit jaar kunnen de winkels nog steeds worden bezocht. Wanneer betrokkene in deze periode nogmaals in de fout gaat, wordt gedurende één of twee jaar de toegang ontzegd tot alle deelnemende ondernemingen in het betreffende winkelgebied, dan wel (wanneer sprake is van een winkelgebied met één eigenaar) tot het winkelcentrum zelf. Andere winkelgebieden en winkels van niet-deelnemende ondernemingen blijven dus toegankelijk. Uiteraard kan ook nog steeds gebruik worden gemaakt van bezorgdiensten, zodat niemand de mogelijkheid wordt ontzegd om aan de eerste levensbehoeften te komen.
8. Een individueel winkelverbod is bedoeld om een overlastgever uit een specifieke winkel te weren. Deze verboden worden (alleen zichtbaar voor de betreffende winkel en de beheerder) wel in het systeem opgenomen. Hiermee wordt het mogelijk om, wanneer blijkt dat het iemand betreft die in meerdere winkels overlast veroorzaakt, het individueel verbod te wijzigen in een collectief verbod.
9. Een collectief winkelverbod (waar eventueel een waarschuwing aan voorafgaat) levert een belangrijke bijdrage aan het tegengaan van criminele derving, agressie en geweld binnen de detailhandel. Om een collectief winkelverbod te handhaven is samenwerking tussen winkelondernemers, waarbij personen die zich schuldig maken aan overlast en/of strafbare feiten in een systeem worden geregistreerd, noodzakelijk.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Artikel 1 UAVG bepaalt: ' In deze wet en de daarop berustende bepalingen wordt verstaan onder: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Artikel 31 UAVG bepaalt: 'Onverminderd artikel 10 van de verordening mogen persoonsgegevens van strafrechtelijke aard alleen worden verwerkt voor zover dit krachtens de artikelen 32 en 33 is toegestaan.'
&lt;!-- image --&gt;
## Datum
25 januari 2022
## Ons kenmerk z2021-17385
Artikel 33, vierde lid, aanhef en onder c, UAVG bepaalt: 'Persoonsgegevens van strafrechtelijke aard mogen ten behoeve van derden worden verwerkt:
## […]
c. indien de Autoriteit persoonsgegevens met inachtneming van het vijfde lid een vergunning voor de verwerking heeft verleend .'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Artikel 6, eerste lid, aanhef en onder f, AVG bepaalt: ' De verwerking is alleen rechtmatig indien en voor zover aan ten minste een van de onderstaande voorwaarden is voldaan: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betrokkene niet zwaarder wegen, rekening houdend met de redelijke verwachtingen van de betrokkene op basis van zijn verhouding met de verwerkingsverantwoordelijke. […] In elk geval is een zorgvuldige beoordeling geboden om te bepalen of sprake is van een gerechtvaardigd belang, alsook om te bepalen of een betrokkene op het tijdstip en in het kader van de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De verwerking van persoonsgegevens die strikt noodzakelijk is voor fraudevoorkoming is ook een gerechtvaardigd belang van de verwerkingsverantwoordelijke in kwestie. […]'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verrichtte beoordeling.
12. Het conformeren aan het modelprotocol collectief winkelverbod en model-DPIA collectief winkelverbod (versie april 2020) leidt tot het op een AVG-conforme wijze bijhouden van enerzijds de opgelegde individuele winkelverboden (voor intern/eigen gebruik) en anderzijds het delen met derden van strafrechtelijke persoonsgegevens ten aanzien van opgelegde collectieve winkelverboden. In het
&lt;!-- image --&gt;
Datum
25 januari 2022
## Ons kenmerk
z2021-17385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15. Daarnaast dienen voor het verkrijgen van een vergunning voor het voeren van en/of deelname aan de hiervoor genoemde registratie van personen aan wie een collectief winkelverbod is opgelegd, ook de aanvullende vergunningsvoorschriften (zie hieronder) in acht genomen te worden.
16. Zoals ook onder overweging 4 van dit besluit is aangegeven, zijn er aanvullende voorschriften verbonden aan deze vergunningen. De aanvullende voorschriften, zoals ook benoemd in de brief van de AP van 18 mei 2020 aan het CCV,  zijn, dat:
- a. de lokale ondernemers (gezamenlijke verwerkingsverantwoordelijken) jaarlijks - gecoördineerd door het CCV 1 - een evaluatie van het modelprotocol en model-DPIA 2 van het collectief winkelverbod dienen uit te voeren. De AP ontvangt op aanvraag een afschrift van deze evaluatie.
- b. in aansluiting op voorschrift b de verwerkingsverantwoordelijke bij deze jaarlijkse evaluatie in elk geval expliciet zal ingaan op:
7.  (de omvang van) de deelnemerslijst (ofwel: de lijst waarin de lokale ondernemers zijn opgesomd, die deelnemen aan het collectief winkelverbod in dat bepaalde winkelgebied). 3
8.  het aantal opgelegde individuele en collectieve winkelverboden en collectieve waarschuwingen.
9.  het aantal (wegens verlopen van de looptijd of om andere redenen) verwijderde individuele en collectieve verboden en collectieve waarschuwingen.
10.  de meldingen van eventuele bijzondere incidenten waarbij de aard en de omvang daarvan wordt beschreven, of van andere vermeldingswaardige bijzonderheden.
- c. de vergunning - behoudens ingrijpende wetswijzigingen of wijzigingen van de gegevensverwerking - een geldigheidstermijn zal hebben van vijf jaar, waarbij expliciet in de af te geven vergunning wordt aangegeven dat telkens aan de op dat moment geldende versie van het modelprotocol en model-DPIA moet worden voldaan.
- d. de verwerkingsverantwoordelijke (lokale ondernemer) diens gegevens volledig conform het modelprotocol en model-DPIA zal verwerken. Dat wil zeggen dat de lokale ondernemer het
1  Hierdoor kan een uniforme werkwijze voor alle bij het CCV aangesloten winkeliersverenigingen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3  Deze deelnemerslijst wordt door het CCV via een website actueel gehouden, zodat kenbaar is welke winkeliers deelnemen aan het collectief verbod in een bepaald gebied.
&lt;!-- image --&gt;
Datum
25 januari 2022
## Ons kenmerk
z2021-17385
modelprotocol en model-DPIA ongewijzigd overneemt en de gegevens van de opgelegde collectieve winkelverboden precies, zoals in het modelprotocol en model-DPIA omschreven wordt, gaat verwerken.
## 6 Conclusie
17. De AP is van oordeel dat de in de bijlage genoemde winkeliers - door zich te conformeren aan de reeds door de AP beoordeelde modelprotocol en model-DPIA (versie april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Den Haag, 25 januari 2022
Autoriteit Persoonsgegevens, Overeenkomstig het door de Autoriteit Persoonsgegevens genomen besluit,
ir. C.M. Schut, MPA Directeur Systeemtoezicht, Beveiliging en Technologie Datum
&lt;!-- image --&gt;
25 januari 2022
## Ons kenmerk
z2021-17385
## Bijlage:  25 deelnemende winkeliers - winkelgebied De Gaard Utrecht
| Zaaknummer     | Naam aanvrager, eigenaar van:   | Adresgegevens:                     |
|----------------|---------------------------------|------------------------------------|
| z2021-17385.1  | Albert Heijn                    | Troosterhof 14, 3571 NC, Utrecht   |
| z2021-17385.2  | Anastasia Fashion               | Troosterhof 26, 3571 NC, Utrecht   |
| z2021-17385.3  | Bakkerij Neplenbroek            | Troosterhof 32, 3571 NC, Utrecht   |
| z2021-17385.4  | Bloemenshop Wiemelink           | Troosterhof 27, 3571 NC, Utrecht   |
| z2021-17385.5  | Boekhandel De Gaard             | Troosterhof 25, 3571 NC, Utrecht   |
| z2021-17385.6  | Buurten in de Gaard             | Troosterhof 4, 3571 NC, Utrecht    |
| z2021-17385.7  | Cafetaria Shi                   | Troosterhof 24, 3571 NC, Utrecht   |
| z2021-17385.8  | De Ridder BBQ &amp; Bites           | Troosterhof 17, 3571 NC, Utrecht   |
| z2021-17385.9  | Etos                            | Troosterhof 10, 3571 NC, Utrecht   |
| z2021-17385.10 | Foto Romp                       | Troosterhof 16, 3571 NC, Utrecht   |
| z2021-17385.11 | Gall &amp; Gall                     | Troosterhof 19, 3571 NC, Utrecht   |
| z2021-17385.12 | HEMA                            | Troosterhof 8/8a, 3571 NC, Utrecht |
&lt;!-- image --&gt;
Datum
25 januari 2022
## Ons kenmerk
z2021-17385
| z2021-17385.13   | Hizi Hair                             | Troosterhof 5, 3571 NC, Utrecht   |
|------------------|---------------------------------------|-----------------------------------|
| z2021-17385.14   | Kaasspecialist De Alexanderhoeve      | Troosterhof 15, 3571 NC, Utrecht  |
| z2021-17385.15   | Kipatelier                            | Kapteynlaan 9, 3571 XK, Utrecht   |
| z2021-17385.16   | Kris Kringle Chocolaterie &amp; Zoetwaren | Troosterhof 29, 3571 NC, Utrecht  |
| z2021-17385.17   | Kruidvat                              | Troosterhof 11, 3571 NC, Utrecht  |
| z2021-17385.18   | PEARLE                                | Troosterhof 9, 3571 NC, Utrecht   |
| z2021-17385.19   | Primera                               | Troosterhof 12, 3571 NC, Utrecht  |
| z2021-17385.20   | R. van de Mheen                       | Troosterhof 30, 3571 NC, Utrecht  |
| z2021-17385.21   | Sportschool LEF030                    | Obbinklaan 78D, 3571 NJ, Utrecht  |
| z2021-17385.22   | Sushi Toyama                          | Troosterhof 1, 3571 NC, Utrecht   |
| z2021-17385.23   | Uniek Tweewielers                     | Kapteynlaan 7, 3571 XK, Utrecht   |
| z2021-17385.24   | Univé                                 | Obbinklaan 78E, 3571 NJ, Utrecht  |
| z2021-17385.25   | Vleeschmeester Harry van Schaik       | Troosterhof 28, 3571 NC, Utrecht  |</t>
  </si>
  <si>
    <t>[...] an de dwangsom vast op € 1.500,- per dag of gedeelte van een dag met een maximum van € 21.000,-. ## Besluit 35. Namens de raad van bestuur van de Kansspelautoriteit leg ik Chance Publications Malta Ltd de volgende last onder dwangsom op: 2. -Chance Publications Malta Ltd dient uiterlijk binnen 48 uur na dagtekening van dit besluit de overtreding van artikel 1, eerste lid, onder b, van de Wok te staken en gestaakt te houden. Chance Publications Malt [...]</t>
  </si>
  <si>
    <t>&lt;!-- image --&gt;
Datum 6 juli 2022
Ons kenmerk z2022-03808
Bulkbesluit inzake de vergunningaanvragen voor de verwerking van gegevens van strafrechtelijke aard ten behoeve van derden van de verwerking 'Collectief Winkelverbod' door de in de bijlage genoemde winkeliers van het winkelgebied Elzas Passage - z2022-03808
## 1 Inleiding: aanleiding vergunningaanvraag
1. Op 20 juni 2022 heeft het Centrum voor Criminaliteitspreventie en Veiligheid (hierna: het CCV) ingevolge artikel 33, vierde lid, aanhef en onder c, van de Uitvoeringswet Algemene verordening gegevensbescherming (UAVG) - bij de Autoriteit Persoonsgegevens (AP) een bulkvergunningaanvraag ingediend namens de in de bijlage van het besluit genoemde winkeliers in het winkelgebied Elzas Passage. Ter onderbouwing van de aanvraag, heeft het CCV een protocol en een
gegevensbeschermingseffectbeoordeling (ook wel data protection impact assessment/DPIA genoemd) bijgevoegd. Deze aanvraag is bij de AP bekend onder het zaaknummer z2022-03808 en onder de zaaknaam 'Bulkvergunningaanvraag winkelgebied Elzas Passage'. Op 20 juni 2022 heeft de AP u laten weten dat er nog een aantal gegevens ontbreken. Op 30 juni 2022 heeft de AP deze ontbrekende gegevens ontvangen. Tevens heeft u op 30 juni 2022 twee nieuwe aanvragers toegevoegd aan deze bulkvergunning.
2. Op grond van artikel 33, vierde lid, aanhef en onder c, UAVG mogen persoonsgegevens van strafrechtelijke aard ten behoeve van derden worden verwerkt indien de AP een vergunning voor de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3. In het navolgende concludeert de AP dat er een bulkvergunning voor de verwerking van gegevens van strafrechtelijke aard ten behoeve van derden kan worden verleend aan de individuele winkeliers, genoemd in de bijlage, omdat voldoende is aangetoond dat de verwerking noodzakelijk is met het oog op een zwaarwegend belang van derden en bij de uitvoering is voorzien in zodanige waarborgen dat de persoonlijke levenssfeer van de betrokkene niet onevenredig wordt geschaad. Het vorenstaande is uitgewerkt in het aangeleverde protocol en de DPIA.
## 2 Procedureverloop
4. De AP heeft het Protocol (collectief) winkelverbod, versie april 2020 (hierna: modelprotocol collectief winkelverbod) en d e Data Protection Impact Assessment - Registratie en gebruik winkelverboden, versie april 2020 (hierna: model-DPIA collectief winkelverbod) beoordeeld. De AP is op basis van de hiervoor genoemde documenten en de nadere toelichting die daarop is gegeven door het CCV, tot de conclusie gekomen dat de AP in genoemde documenten geen strijdigheden ziet met de AVG en de UAVG. De AP heeft dit bevestigd in haar brief van 18 mei 2020, waarbij is aangegeven dat aan de nog af te geven vergunningen in elk geval een aantal specifieke aanvullende voorschriften worden verbonden (zie onder overwegingen 12, 13, 14, 15 en 16 van dit besluit). Na afstemming met het CCV (landelijk) heeft de AP per brief van 14 april 2022
&lt;!-- image --&gt;
## Datum
6 juli 2022
## Ons kenmerk
z2022-03808
aangegeven dat de geldigheidstermijn van het modelprotocol, model-DPIA collectief winkelverbod en alle bulkvergunningen loopt tot 31 maart 2027.
5. De lokale ondernemers hebben schriftelijk verklaard dat zij het modelprotocol collectief winkelverbod (april 2020) en model-DPIA collectief winkelverbod (april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het winkelverbod is om de criminele derving, agressie en geweld tegen te gaan binnen de detailhandel.
7. In eerste instantie krijgt iemand na een strafbaar feit een collectieve waarschuwing voor een jaar. Gedurende dit jaar kunnen de winkels nog steeds worden bezocht. Wanneer betrokkene in deze periode nogmaals in de fout gaat, wordt gedurende één of twee jaar de toegang ontzegd tot alle deelnemende ondernemingen in het betreffende winkelgebied, dan wel (wanneer sprake is van een winkelgebied met één eigenaar) tot het winkelcentrum zelf. Andere winkelgebieden en winkels van niet-deelnemende ondernemingen blijven dus toegankelijk. Uiteraard kan ook nog steeds gebruik worden gemaakt van bezorgdiensten, zodat niemand de mogelijkheid wordt ontzegd om aan de eerste levensbehoeften te komen.
8. Een individueel winkelverbod is bedoeld om een overlastgever uit een specifieke winkel te weren. Deze verboden worden (alleen zichtbaar voor de betreffende winkel en de beheerder) wel in het systeem opgenomen. Hiermee wordt het mogelijk om, wanneer blijkt dat het iemand betreft die in meerdere winkels overlast veroorzaakt, het individueel verbod te wijzigen in een collectief verbod.
9. Een collectief winkelverbod (waar eventueel een waarschuwing aan voorafgaat) levert een belangrijke bijdrage aan het tegengaan van criminele derving, agressie en geweld binnen de detailhandel. Om een collectief winkelverbod te handhaven is samenwerking tussen winkelondernemers, waarbij personen die zich schuldig maken aan overlast en/of strafbare feiten in een systeem worden geregistreerd, noodzakelijk.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Artikel 1 UAVG bepaalt: ' In deze wet en de daarop berustende bepalingen wordt verstaan onder: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Artikel 31 UAVG bepaalt: 'Onverminderd artikel 10 van de verordening mogen persoonsgegevens van strafrechtelijke aard alleen worden verwerkt voor zover dit krachtens de artikelen 32 en 33 is toegestaan.'
&lt;!-- image --&gt;
## Datum
6 juli 2022
## Ons kenmerk z2022-03808
Artikel 33, vierde lid, aanhef en onder c, UAVG bepaalt: 'Persoonsgegevens van strafrechtelijke aard mogen ten behoeve van derden worden verwerkt:
[…]
c. indien de Autoriteit persoonsgegevens met inachtneming van het vijfde lid een vergunning voor de verwerking heeft verleend .'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Artikel 6, eerste lid, aanhef en onder f, AVG bepaalt: ' De verwerking is alleen rechtmatig indien en voor zover aan ten minste een van de onderstaande voorwaarden is voldaan: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betrokkene niet zwaarder wegen, rekening houdend met de redelijke verwachtingen van de betrokkene op basis van zijn verhouding met de verwerkingsverantwoordelijke. […] In elk geval is een zorgvuldige beoordeling geboden om te bepalen of sprake is van een gerechtvaardigd belang, alsook om te bepalen of een betrokkene op het tijdstip en in het kader van de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De verwerking van persoonsgegevens die strikt noodzakelijk is voor fraudevoorkoming is ook een gerechtvaardigd belang van de verwerkingsverantwoordelijke in kwestie. […]'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verrichtte beoordeling.
12. Het conformeren aan het modelprotocol collectief winkelverbod en model-DPIA collectief winkelverbod (versie april 2020) leidt tot het op een AVG-conforme wijze bijhouden van enerzijds de opgelegde individuele winkelverboden (voor intern/eigen gebruik) en anderzijds het delen met derden van strafrechtelijke persoonsgegevens ten aanzien van opgelegde collectieve winkelverboden. In het
&lt;!-- image --&gt;
Datum
6 juli 2022
## Ons kenmerk
z2022-03808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15. Daarnaast dienen voor het verkrijgen van een vergunning voor het voeren van en/of deelname aan de hiervoor genoemde registratie van personen aan wie een collectief winkelverbod is opgelegd, ook de aanvullende vergunningsvoorschriften (zie hieronder) in acht genomen te worden.
16. Zoals ook onder overweging 4 van dit besluit is aangegeven, zijn er aanvullende voorschriften verbonden aan deze vergunningen. De aanvullende voorschriften, zoals ook benoemd in de brief van de AP van 18 mei 2020 aan het CCV,  zijn, dat:
- a. de lokale ondernemers (gezamenlijke verwerkingsverantwoordelijken) jaarlijks - gecoördineerd door het CCV 1 - een evaluatie van het modelprotocol en model-DPIA 2 van het collectief winkelverbod dienen uit te voeren. De AP ontvangt op aanvraag een afschrift van deze evaluatie.
- b. in aansluiting op voorschrift b de verwerkingsverantwoordelijke bij deze jaarlijkse evaluatie in elk geval expliciet zal ingaan op:
7.  (de omvang van) de deelnemerslijst (ofwel: de lijst waarin de lokale ondernemers zijn opgesomd, die deelnemen aan het collectief winkelverbod in dat bepaalde winkelgebied). 3
8.  het aantal opgelegde individuele en collectieve winkelverboden en collectieve waarschuwingen.
9.  het aantal (wegens verlopen van de looptijd of om andere redenen) verwijderde individuele en collectieve verboden en collectieve waarschuwingen.
10.  de meldingen van eventuele bijzondere incidenten waarbij de aard en de omvang daarvan wordt beschreven, of van andere vermeldingswaardige bijzonderheden.
- c. de vergunning is  - behoudens ingrijpende wetswijzigingen of wijzigingen van de gegevensverwerking - geldig tot 31 maart 2027.
- d. de verwerkingsverantwoordelijke (lokale ondernemer) diens gegevens volledig conform het modelprotocol en model-DPIA zal verwerken. Dat wil zeggen dat de lokale ondernemer het modelprotocol en model-DPIA ongewijzigd overneemt en de gegevens van de opgelegde
1  Hierdoor kan een uniforme werkwijze voor alle bij het CCV aangesloten winkeliersverenigingen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3  Deze deelnemerslijst wordt door het CCV via een website actueel gehouden, zodat kenbaar is welke winkeliers deelnemen aan het collectief verbod in een bepaald gebied.
&lt;!-- image --&gt;
## Datum
6 juli 2022
## Ons kenmerk z2022-03808
collectieve winkelverboden precies, zoals in het modelprotocol en model-DPIA omschreven wordt, gaat verwerken.
## 6 Conclusie
17. De AP is van oordeel dat de in de bijlage genoemde winkeliers - door zich te conformeren aan de reeds door de AP beoordeelde modelprotocol en model-DPIA (versie april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Den Haag, 6 juli  2022
Autoriteit Persoonsgegevens, Overeenkomstig het door de Autoriteit Persoonsgegevens genomen besluit,
ir. C.M. Schut, MPA Directeur Systeemtoezicht, Beveiliging en Technologie
&lt;!-- image --&gt;
Datum
6 juli 2022
## Ons kenmerk
z2022-03808
## Bijlage:  31 deelnemende winkeliers - winkelgebied Elzas Passage
| Zaaknummer     | Naam aanvrager, eigenaar van:   | Adresgegevens:                        |
|----------------|---------------------------------|---------------------------------------|
| z2022-03808.1  | 3 Vosjes                        | Elzas Passage 54, 5701 RX, Helmond    |
| z2022-03808.2  | Arnani                          | Elzas passage 23, 5701 RW, Helmond    |
| z2022-03808.3  | ARO-Trend V.O.F.                | Elzas Passage 11, 5701 RW, Helmond    |
| z2022-03808.4  | Barrows                         | Elzas Passage 38, 5701 RX, Helmond    |
| z2022-03808.5  | Basta Fashion                   | Elzas Passage 9, 5701 RW, Helmond     |
| z2022-03808.6  | Been &amp; Ondermode BV.            | Elzas Passage 8, 5701 RW, Helmond     |
| z2022-03808.7  | Bracket                         | Elzas Passage 4, 5701 RW, Helmond     |
| z2022-03808.8  | C&amp;A Helmond                     | Markt 37, 5701 RJ, Helmond            |
| z2022-03808.9  | Chocolaterie Boulanger          | Elzas Passage 53, 5701 RW, Helmond    |
| z2022-03808.10 | Code Oranje Outlet              | Elzas Passage 31, 5701 RW, Helmond    |
| z2022-03808.11 | Coenen &amp; Co                     | Elzas Passage 17-19, 5701 RW, Helmond |
| z2022-03808.12 | De Stadskamer                   | Elzas Passage 15, 5701 RW, Helmond    |
&lt;!-- image --&gt;
Datum
6 juli 2022
## Ons kenmerk z2022-03808
| z2022-03808.13   | Delifrance Helmond                  | Elzas Passage 41, 5701 RW, Helmond    |
|------------------|-------------------------------------|---------------------------------------|
| z2022-03808.14   | Douglas                             | Elzas Passage 20/24, 5701 RX, Helmond |
| z2022-03808.15   | Durlinger                           | Elzas Passage 40, 5701 RX, Helmond    |
| z2022-03808.16   | Femme Helmond                       | Elzas Passage 2 , 5701 RX, Helmond    |
| z2022-03808.17   | Jack en Jones                       | Elzas Passage 47, 5701 RW, Helmond    |
| z2022-03808.18   | Livera                              | Elzas Passage 6, 5701 RX, Helmond     |
| z2022-03808.19   | Lunchcafé Kop Of Munt               | Elzas Passage 3, 5701 RW, Helmond     |
| z2022-03808.20   | M.R.C. Van Deursen Communicatie BV. | Elzas Passage 15a, 5701 RW, Helmond   |
| z2022-03808.21   | Mango Helmond                       | Elzas Passage 52, 5701 RX, Helmond    |
| z2022-03808.22   | MixedRetail Concepts BV.            | Elzas Passage 15a, 5701 RW, Helmond   |
| z2022-03808.23   | Muziekhandel Willems BV.            | Elzas Passage 27, 5701 RW, Helmond    |
| z2022-03808.24   | Norah Helmond                       | Elzas Passage 12, 5701 RX, Helmond    |
| z2022-03808.25   | Pearle Helmond BV                   | Elzas Passage 45, 5701 RW, Helmond    |
&lt;!-- image --&gt;
Datum
6 juli 2022
## Ons kenmerk
z2022-03808
| z2022-03808.26   | Phone Store Helmond   | Elzas Passage 34, 5701 RX, Helmond    |
|------------------|-----------------------|---------------------------------------|
| z2022-03808.27   | Schijvens Mode        | Elzas Passage 56-58, 5701 RX, Helmond |
| z2022-03808.28   | Van Uffelen Mode      | Elzas Passage 37, 5701 RW, Helmond    |
| z2022-03808.29   | Vero Moda/Vila        | Elzas Passage 24-26, 5701 RW, Helmond |
| z2022-03808.30   | KPN Helmond           | Elzas Passage 42, 5701 RW, Helmond    |
| z2022-03808.31   | Xenos                 | Elzas Passage 49-51, 5701 RW, Helmond |</t>
  </si>
  <si>
    <t>KSA__https___kansspelautoriteit.nl_sites_default_files_7970_sanctiebesluit_call_internet_city.txt::Rechtshandeling</t>
  </si>
  <si>
    <t>&lt;!-- image --&gt;
Datum 6 oktober 2022
Ons kenmerk z2022-04098
Bulkbesluit inzake de vergunningaanvragen voor de verwerking van gegevens van strafrechtelijke aard ten behoeve van derden van de verwerking 'Collectieve Horecaontzegging' door de in de bijlage genoemde horecaondernemers van het horecagebied Almelo - z202204098
## 1 Inleiding: aanleiding vergunningaanvraag
1. Op 30 juni 2022 heeft Koninklijke Horeca Nederland (hierna: KHN) - ingevolge artikel 33, vierde lid, aanhef en onder c, van de Uitvoeringswet Algemene verordening gegevensbescherming (UAVG) - bij de Autoriteit Persoonsgegevens (AP) een bulkvergunningaanvraag ingediend namens de in de bijlage van het besluit genoemde horecaondernemers in het horecagebied Almelo. Ter onderbouwing van de aanvraag, heeft KHN een protocol en een gegevensbeschermingseffectbeoordeling (ook wel data protection impact assessment/DPIA genoemd) bijgevoegd. Op 4 juli 2022 heeft de AP een verzoek tot uitstel gedaan voor het aanvangen van de behandeling van de bulkvergunningaanvraag. Op 5 juli 2022 is KHN akkoord gegaan met het aanvangen van de behandeling van de bulkvergunningaanvraag per 15 augustus 2022. Op 19 augustus 2022 heeft de AP geconstateerd dat de vergunningaanvraag incompleet was en de AP heeft op 19 augustus 2022 verzocht om de vergunningaanvraag aan te vullen. Vervolgens heeft KHN op 26 september 2022 de ontbrekende informatie en documenten aangeleverd. Deze aanvraag is bij de AP bekend onder het zaaknummer z2022-04098 en onder de zaaknaam 'Bulkvergunningaanvraag horecagebied Almelo'.
2. Op grond van artikel 33, vierde lid, aanhef en onder c, UAVG mogen persoonsgegevens van strafrechtelijke aard ten behoeve van derden worden verwerkt indien de AP een vergunning voor de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3. In het navolgende concludeert de AP dat er een bulkvergunning voor de verwerking van gegevens van strafrechtelijke aard ten behoeve van derden kan worden verleend aan de individuele horecaondernemers, genoemd in de bijlage, omdat voldoende is aangetoond dat de verwerking noodzakelijk is met het oog op een zwaarwegend belang van derden en bij de uitvoering is voorzien in zodanige waarborgen dat de persoonlijke levenssfeer van de betrokkene niet onevenredig wordt geschaad. Het vorenstaande is uitgewerkt in het aangeleverde protocol en de DPIA.
## 2 Procedureverloop
4. De AP heeft het Protocol (collectieve) horecaontzegging, versie augustus  2020 (hierna: modelprotocol collectieve horecaontzegging) en d e Data Protection Impact Assessment - Registratie en gebruik horecaontzeggingen, versie augustus  2020 (hierna: model-DPIA collectieve horecaontzegging) beoordeeld. De AP is op basis van de hiervoor genoemde documenten en de nadere toelichting die daarop is gegeven door KHN, tot de conclusie gekomen dat de AP in genoemde documenten geen strijdigheden ziet met de AVG
&lt;!-- image --&gt;
Datum
6 oktober 2022
## Ons kenmerk
z2022-04098
en de UAVG. De AP heeft dit bevestigd in haar brief van 24 augustus 2020, waarbij is aangegeven dat aan de nog af te geven vergunningen in elk geval een aantal specifieke aanvullende voorschriften worden verbonden (zie onder overwegingen 12, 13, 14, 15 en 16 van dit besluit). Na afstemming met KHN (landelijk) heeft de AP per brief van 14 april 2022 aangegeven dat de geldigheidstermijn van het modelprotocol, model-DPIA collectieve horecaontzeggingen en alle bulkvergunningen loopt tot 21 april 2027.
5. De lokale ondernemers hebben schriftelijk verklaard dat zij het modelprotocol collectieve horecaontzegging (augustus 2020) en model-DPIA collectieve horecaontzegging (augustus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de horecaontzegging is om in de aangesloten horecabedrijven (inclusief de daarbij behorende erven/terrassen):
- de veiligheid van horecaondernemers, hun medewerkers en hun gasten te vergroten;
- overlast gevend gedrag te reduceren;
- criminaliteit te voorkomen en tegen te gaan.
7. Een verwerkingsverantwoordelijke kan een Individuele Horeca Ontzegging (IHO) uitreiken wanneer een persoon een of meerdere van de volgende gedragingen zoals vermeld in de artikel 4.1.1 tot en met 4.1.7 van het protocol in zijn horecabedrijf en/of op de daarbij behorende erven/terrassen vertoont. Als binnen een periode van zes maanden een tweede IHO ten aanzien van dezelfde betrokkene wordt ingevoerd in het registratiesysteem dan wordt de tweede IHO omgezet in een CHO van zes maanden. De subverwerker informeert de betrokkene hierover volgens het formulier 'Aanzegging CHO'. De subverwerker informeert de verwerkingsverantwoordelijke die de tweede IHO heeft uitgereikt over de omzetting van de tweede IHO in een CHO.
8. Een gast die zich niet houdt aan de huisregels en/of strafbare feiten pleegt kan worden gesommeerd het bedrijf te verlaten en een ondernemer kan (naast het doen van aangifte) ervoor kiezen om de betrokkene voor een bepaalde tijd de toegang tot het bedrijf te ontzeggen. Doet een ondernemer dat alleen voor zijn eigen bedrijf/bedrijven, dan is er sprake van een Individuele Horeca Ontzegging (IHO). Een IHO mag niet langer dan zes maanden duren.
9. Een verwerkingsverantwoordelijke kan een CHO uitreiken wanneer een persoon zich aan een of meerdere van de in artikel 4.2.1 van het protocol genoemde gedragingen in het horecabedrijf van de verwerkingsverantwoordelijke en/of op de daarbij behorende erven/terrassen schuldig maakt. Bij de collectieve horecaontzegging slaan de gezamenlijke verwerkingsverantwoordelijken de handen ineen om gezamenlijk overlastgevers uit hun bedrijven te weren. Als een verwerkingsverantwoordelijke aan het Protocol CHO de betrokkene een CHO heeft opgelegd, dan geldt deze ontzegging ook meteen voor alle andere gezamenlijke verwerkingsverantwoordelijken. Met één ontzegging wordt een overlastgever dus meteen geweerd uit alle aangesloten bedrijven, zonder dat de persoon in kwestie overlast heeft veroorzaakt in die andere bedrijven.
&lt;!-- image --&gt;
Datum 6 oktober 2022
## Ons kenmerk z2022-04098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Artikel 1 UAVG bepaalt: ' In deze wet en de daarop berustende bepalingen wordt verstaan onder:
##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Artikel 31 UAVG bepaalt: 'Onverminderd artikel 10 van de verordening mogen persoonsgegevens van strafrechtelijke aard alleen worden verwerkt voor zover dit krachtens de artikelen 32 en 33 is toegestaan.'
Artikel 33, vierde lid, aanhef en onder c, UAVG bepaalt: 'Persoonsgegevens van strafrechtelijke aard mogen ten behoeve van derden worden verwerkt:
## […]
c. indien de Autoriteit persoonsgegevens met inachtneming van het vijfde lid een vergunning voor de verwerking heeft verleend .'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Artikel 6, eerste lid, aanhef en onder f, AVG bepaalt: ' De verwerking is alleen rechtmatig indien en voor zover aan ten minste een van de onderstaande voorwaarden is voldaan:
##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betrokkene niet zwaarder wegen, rekening houdend met de redelijke verwachtingen van de betrokkene op basis van zijn verhouding met de verwerkingsverantwoordelijke. […] In elk geval is een zorgvuldige beoordeling geboden om te bepalen of sprake is van een gerechtvaardigd belang, alsook om te bepalen of een betrokkene op het tijdstip en in het kader van de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De verwerking van persoonsgegevens die strikt noodzakelijk is voor fraudevoorkoming is ook een gerechtvaardigd belang van de verwerkingsverantwoordelijke in kwestie. […]'
&lt;!-- image --&gt;
Datum
6 oktober 2022
## Ons kenmerk
z2022-04098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verrichtte beoordeling.
12. Het conformeren aan het modelprotocol collectieve horecaontzegging en model-DPIA collectieve horecaontzegging (versie augustus 2020) leidt tot het op een AVG-conforme wijze bijhouden van enerzijds de opgelegde individuele horecaontzeggingen (voor intern/eigen gebruik) en anderzijds het delen met derden van strafrechtelijke persoonsgegevens ten aanzien van opgelegde collectieve horecaontzeggingen. In het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15. Daarnaast dienen voor het verkrijgen van een vergunning voor het voeren van en/of deelname aan de hiervoor genoemde registratie van personen aan wie een collectieve horecaontzegging is opgelegd, ook de aanvullende vergunningsvoorschriften (zie hieronder) in acht genomen te worden.
16. Zoals ook onder overweging 2 van dit besluit is aangegeven, zijn er aanvullende voorschriften verbonden aan deze vergunningen. De aanvullende voorschriften, zoals ook benoemd in de brief van de AP van 24 augustus 2020 aan KHN,  zijn, dat:
- a. de lokale horecaondernemers (gezamenlijke verwerkingsverantwoordelijken) dienen jaarlijks gecoördineerd door de KHN-afdeling Almelo 1 - een evaluatie van het modelprotocol en modelDPIA 2  van het collectieve horecaontzeggingen uit te voeren. De AP ontvangt op aanvraag een afschrift van deze evaluatie.
- b. in aansluiting op voorschrift a zal de beheerder namens de gezamenlijke verwerkingsverantwoordelijken bij deze jaarlijkse evaluatie in elk geval expliciet ingaan op:
1  Hierdoor kan een uniforme werkwijze voor alle bij de lokale KHN-afdelingen aangesloten horecaondernemers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&lt;!-- image --&gt;
Datum 6 oktober 2022
## Ons kenmerk z2022-04098
-  (de omvang van) de deelnemerslijst (ofwel: de lijst waarin de lokale horecaondernemers zijn opgesomd, die deelnemen aan de collectieve horecaontzeggingen in dat bepaalde horecagebied). 3
-  het aantal opgelegde individuele en collectieve horecaontzeggingen.
-  het aantal (wegens verlopen van de looptijd of om andere redenen) verwijderde individuele en collectieve horecaontzeggingen.
-  de meldingen van eventuele bijzondere incidenten waarbij de aard en de omvang daarvan wordt beschreven, of van andere vermeldingswaardige bijzonderheden.
- c. de vergunning is - behoudens ingrijpende wetswijzigingen of wijziging van de gegevensverwerking - geldig tot 21 april 2027.
- d. de verwerkingsverantwoordelijke (lokale horecaondernemer) diens gegevens volledig conform het modelprotocol en model-DPIA zal verwerken. Dat wil zeggen dat de lokale horecaondernemer het modelprotocol en model-DPIA ongewijzigd overneemt en de gegevens van de opgelegde collectieve horecaontzeggingen precies, zoals in het modelprotocol en model-DPIA omschreven wordt, gaat verwerken.
## 6 Conclusie
17. De AP is van oordeel dat de in de bijlage genoemde horecaondernemingen - door zich te conformeren aan de reeds door de AP beoordeelde modelprotocol en model-DPIA (versie augustus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Den Haag, 6  oktober 2022
Autoriteit Persoonsgegevens,
Overeenkomstig het door de Autoriteit Persoonsgegevens genomen besluit,
ir. C.M. Schut, MPA
Directeur Systeemtoezicht, Beveiliging en Technologie
3  Deze deelnemerslijst wordt door de KHN [afdeling] via een website actueel gehouden, zodat kenbaar is welke horecaondernemers deelnemen aan het collectief verbod in een bepaald gebied.
&lt;!-- image --&gt;
Datum 6 oktober 2022
## Ons kenmerk
z2022-04098
## Bijlage:  17 deelnemende horecaondernemingen - horecagebied Almelo
| Zaaknummer     | Naam aanvrager, eigenaar van:   | Adresgegevens:                   |
|----------------|---------------------------------|----------------------------------|
| z2022-04098.1  | Café Brandpunt                  | Kerkstraat 8, 7607 BS Almelo     |
| z2022-04098.2  | Taveerne 't Wetshuys            | Grotestraat 80, 7607 CT Almelo   |
| z2022-04098.3  | Café de Stam                    | Grotestraat 129, 7607 CH Almelo  |
| z2022-04098.4  | Café 't Hookhoes                | Grotestraat 126, 7607 CW Almelo  |
| z2022-04098.5  | Proeflokaal België              | Schuttenstraat 2, 7607 JA Almelo |
| z2022-04098.6  | Irish Pub the Shamrock          | Grotestraat 135, 7607 CH Almelo  |
| z2022-04098.7  | Bar Biertje                     | Grotestraat 87, 7607 CE Almelo   |
| z2022-04098.8  | Willem de Vierde                | Amaliaplein 1, 7607 JP Almelo    |
| z2022-04098.9  | Crazy Frog                      | Amaliaplein 1a, 7607 JP Almelo   |
| z2022-04098.10 | Gaudi                           | Grotestraat 133, 7607 CH Almelo  |
| z2022-04098.11 | Ibiza-Almelo                    | Amaliaplein 4, 7607 JP Almelo    |
| z2022-04098.12 | Nielz Café                      | Marktplein 31, 7607 HM Almelo    |
&lt;!-- image --&gt;
Datum
6 oktober 2022
## Ons kenmerk
z2022-04098
| z2022-04098.13   | Preston Palace             | Laan van Iserlohn 1, 7607 PT Almelo   |
|------------------|----------------------------|---------------------------------------|
| z2022-04098.14   | Mc Donalds (Oost)          | Laan van Iserlohn 2, 7607 PR Almelo   |
| z2022-04098.15   | Mc Donalds (Woonboulevard) | Woonboulevard 2, 7607 JA Almelo       |
| z2022-04098.16   | BCA                        | Adastraat 39a, 7607 HA Almelo         |
| z2022-04098.17   | Café Flashback             | Grotestraat 153, 7607 CJ Almelo       |</t>
  </si>
  <si>
    <t>legt [24293:24298]</t>
  </si>
  <si>
    <t>legt [24293:24297]</t>
  </si>
  <si>
    <t>[...] het aanwezig hebben van een speelautomaat (gokzuil) van een niet toegelaten model en niet voorzien van een bijbehorend merkteken, op een voor het publiek toegankelijke plaats, te weten een belwinkel/internetcafé; - b. legt aan de eigenaar een boete op van € 20.000,-. 's-Gravenhage, 21 november 2013 De Raad van Bestuur van de Kansspelautoriteit w.g. - J.J.H. Suyver ## Bezwaar Tegen dit besluit kan degene wiens belang recht [...]</t>
  </si>
  <si>
    <t>KSA__https___kansspelautoriteit.nl_sites_default_files_7970_sanctiebesluit_call_internet_city.txt::Rechtsobject</t>
  </si>
  <si>
    <t>boete</t>
  </si>
  <si>
    <t>boete [24318:24324]</t>
  </si>
  <si>
    <t>boete [24318:24323]</t>
  </si>
  <si>
    <t>[...] een speelautomaat (gokzuil) van een niet toegelaten model en niet voorzien van een bijbehorend merkteken, op een voor het publiek toegankelijke plaats, te weten een belwinkel/internetcafé; - b. legt aan de eigenaar een boete op van € 20.000,-. 's-Gravenhage, 21 november 2013 De Raad van Bestuur van de Kansspelautoriteit w.g. - J.J.H. Suyver ## Bezwaar Tegen dit besluit kan degene wiens belang rechtstreeks bij dit besluit is [...]</t>
  </si>
  <si>
    <t>KSA__https___kansspelautoriteit.nl_sites_default_files_18052_01-330-227_sanctiebesluit_optdeck-ov.txt::Ontvanger</t>
  </si>
  <si>
    <t>KSA__https___kansspelautoriteit.nl_sites_default_files_18052_01-330-227_sanctiebesluit_optdeck-ov.txt</t>
  </si>
  <si>
    <t>Optdeck Service Limited</t>
  </si>
  <si>
    <t>optdeck service limited</t>
  </si>
  <si>
    <t>Optdeck Service Limited [37647:37670]</t>
  </si>
  <si>
    <t>[...] t een BSN het register te raadplegen aan de hand van dat BSN en daardoor aanmeldingen van spelers toe te staan terwijl niet correct was vastgesteld dat die spelers niet waren ingeschreven in het register; - b. legt aan Optdeck Service Limited een boete op van € 400.000,-. 's -Gravenhage, 3 december 2024 De raad van bestuur van de Kansspelautoriteit, w.g. mr. drs. M.C.J. Groothuizen voorzitter VERZONDEN OP 5 december 2024 Bezwaar ## OPENB [...]</t>
  </si>
  <si>
    <t>KSA__https___kansspelautoriteit.nl_sites_default_files_18052_01-330-227_sanctiebesluit_optdeck-ov.txt::Besluitvormend Orgaan</t>
  </si>
  <si>
    <t>de raad van bestuur van de Kansspelautoriteit</t>
  </si>
  <si>
    <t>De raad van bestuur van de Kansspelautoriteit [37739:37784]</t>
  </si>
  <si>
    <t>de raad van bestuur van de Kansspelautoriteit [116:161]</t>
  </si>
  <si>
    <t>&lt;!-- image --&gt;
Vertrouwelijk/Aangetekend Transavia Airlines C.V. t.a.v. de directie Piet Guilonardweg 15 1117 EE Schiphol
Datum
23 september 2021
Ons kenmerk [VERTROUWELIJK]
Contactpersoon [VERTROUWELIJK]
## Onderwerp
Besluit tot het opleggen van een boete
## Geachte heer, mevrouw,
De Autoriteit Persoonsgegevens (AP) heeft besloten om aan Transavia Airlines C.V. een bestuurlijke boete van € 400.000 op te leggen. De AP komt is tot de conclusie gekomen dat Transavia geen passende maatregelen getroffen heeft om een op het risico afgestemd beveiligingsniveau te waarborgen. Hierdoor heeft Transavia in strijd gehandeld met artikel 32, eerste en tweede lid, van de Algemene verordening gegevensbescherming.
De AP licht het besluit hierna nader toe. Hoofdstuk 1 betreft een inleiding en hoofdstuk 2 bevat de feiten. De AP beoordeelt in hoofdstuk 3 of er sprake is van verwerking van persoonsgegevens, de verwerkingsverantwoordelijkheid en de overtreding. In hoofdstuk 4 wordt de (hoogte van de) bestuurlijke boete uitgewerkt en hoofdstuk 5 bevat het dictum en de rechtsmiddelenclausule.
## Autoriteit Persoonsgegevens
Postbus 93374, 2509 AJ  Den Haag Bezuidenhoutseweg 30, 2594 AV  Den Haag T 070 8888 500 - F 070 8888 501 autoriteitpersoonsgegevens.nl
&lt;!-- image --&gt;
## Datum
23 september 2021
Ons kenmerk
[VERTROUWELIJK]
## 1. Inleiding
## 1.1 Betrokken organisatie
Dit besluit heeft betrekking op Transavia Airlines C.V. (hierna: Transavia), gevestigd aan de Piet Guilonardweg 15, 1117 EE te Schiphol. Het bedrijf staat ingeschreven in het handelsregister onder nummer: 34069081. 1 Als luchtvaarmaatschappij verzorgt Transavia vluchten voor zakelijke reizigers en consumenten binnen Europa.
Op 24 oktober 2019 heeft de AP een melding ontvangen van Transavia over een inbreuk op de beveiliging van persoonsgegevens als bedoeld in artikel 33 van de AVG. In deze melding is door Transavia aangegeven dat een kwaadwillende derde partij ongeautoriseerd toegang heeft gehad tot systemen van Transavia. Naar aanleiding hiervan heeft de AP ambtshalve onderzocht of de technische maatregelen bij Transavia met betrekking tot de toegang tot persoonsgegevens passend waren als bedoeld in artikel 5, lid 1, sub f  jo. artikel 32 van de AVG. Specifiek richtte dit onderzoek zich op de toegang tot bepaalde gebruikers-accounts bij Transavia, alsmede de rechten en mogelijkheden die deze gebruikers-accounts hadden binnen de systemen van Transavia.
## 1.2 Procesverloop
Op 28 november 2019 heeft de AP telefonisch contact opgenomen met Transavia over de datalekmelding van 24 oktober 2019 en de daarop volgende meldingen. Toezichthouders van de AP hebben vervolgens meermaals informatie opgevraagd bij Transavia waarop Transavia deze informatie heeft geleverd.
Bij brief van 12 mei 2021 heeft de AP aan Transavia een voornemen tot handhaving verzonden en het daaraan ten grondslag gelegde rapport met bevindingen. Transavia heeft op 28 juni 2021 hierop schriftelijk een zienswijze gegeven.
1  Zie Dossierstuk 26, Inschrijving Handelsregister Transavia Airlines C.V.
&lt;!-- image --&gt;
Datum
23 september 2021
Ons kenmerk
[VERTROUWELIJK]
## 2. Feiten
## 2.1 De inbreuk bij Transavia
In de datalekmelding van 24 oktober 2019 heeft Transavia aangegeven dat een kwaadwillende derde partij (hierna ook: 'aanvaller') ongeautoriseerd toegang heeft gehad tot systemen van Transavia. 2 Transavia is volgens de melding hier op 21 oktober 2019 achter gekomen. Transavia heeft vervolgens een externe dienstverlener ingeschakeld en samen met deze dienstverlener is de aanvaller van de systemen van Transavia geweerd. Verder heeft de externe dienstverlener geanalyseerd welke systemen getroffen waren en welke gegevens betrokken waren.
In het rapport opgesteld door de externe dienstverlener (hierna ook: 'forensisch rapport') is beschreven dat een aanvaller gebruik heeft gemaakt van [VERTROUWELIJK] e-mailadressen. Deze adressen zijn mogelijk te vinden op het internet. 3 De aanvaller probeerde toegang te verkrijgen tot de [VERTROUWELIJK] 4
De aanvaller heeft gebruik gemaakt van een ' password spray ' of ' credential stuffing ' aanval. Met een " password spray ' aanval gebruikt een aanvaller veel gebruikte wachtwoorden om op een geautomatiseerde manier ongeautoriseerde toegang te krijgen. Bij ' credential stuffing' aanval gebruikt een aanvaller bekende gebruikersgegevens (afkomstig uit andere datalekken van derden) om te proberen toegang te krijgen tot een systeem.
Op 12 september 2019 om 9:52 uur vond een succesvolle inlogpoging plaats door de aanvaller. De gebruikte gebruikersnaam was [VERTROUWELIJK] en het wachtwoord was [VERTROUWELIJK]. Met deze inlog kon de aanvaller gebruikmaken van de [VERTROUWELIJK] gebruiker. 5 Dit is een gebruiker die werd gebruikt voor [VERTROUWELIJK]. 6
Met de [VERTROUWELIJK] gebruiker was het mogelijk om toegang te krijgen tot een Citrix omgeving van Transavia. Citrix is software die het mogelijk maakt om te telewerken. Vervolgens was het mogelijk om mogelijke [VERTROUWELIJK]-gebruikers in het [VERTROUWELIJK] domein te achterhalen. 7
Het is de aanvaller vervolgens gelukt om de authenticatiegegevens te verkrijgen van de gebruiker [VERTROUWELIJK] door wederom het wachtwoord [VERTROUWELIJK] te gebruiken. Deze gebruiker
2 Transavia France S.A.S. (zustermaatschappij van Transavia) heeft afzonderlijk gemeld bij de Franse toezichthouder volgens de datalekmelding van 24 oktober 2019 omdat er ook persoonsgegevens zouden zijn betrokken waar Transavia France S.A.S verantwoordelijk voor is. Zie Dossierstuk 1, melding van 24 oktober 2019.
3  Zie Dossierstuk 11, rapport van 5 december 2019, pagina 21.
4  Active Directory Federation Services Webservice is software van Microsoft, die organisaties in staat stelt Single Sign On Services te bewerkstellingen in een organisatie.
5  Zie Dossierstuk 11, rapport van 5 december 2019, pagina 21.
6  Zie Dossierstuk 25, Antwoorden van Transavia, datum 26 mei 2020.
7 Zie Dossierstuk 11, rapport van 5 december 2019, pagina 21. Een netwerkdomein is een groep computers (systemen) binnen een computernetwerk met als doel de systemen gecentraliseerd te beheren.
&lt;!-- image --&gt;
Datum
23 september 2021
## Ons kenmerk
[VERTROUWELIJK]
had volgens Transavia ' de hoogste privileges in het [VERTROUWELIJK]'. 8  In principe betekent dit dat de accounts [VERTROUWELIJK] en [VERTROUWELIJK] tezamen toegang verschaften tot een groot deel van het computernetwerk van Transavia. 9 De rol van het account was bedoeld om te dienen als koppeling tussen het HR systeem van Transavia en de Active Directory (om te bepalen welke medewerkers welke rechten tot systemen behoren te krijgen). 10 Active Directory is een dienst van Microsoft die (onder andere) wordt gebruikt om rechten van gebruikers te beheren.
Vervolgens verkende de aanvaller de systemen van Transavia die onderdeel zijn van het domein. In deze verkenningsfase, is er (waarschijnlijk geautomatiseerd) ingelogd op [VERTROUWELIJK] systemen. 11 In totaal is er activiteit waargenomen betreffende [VERTROUWELIJK] systemen. De externe dienstverlener heeft op [VERTROUWELIJK] systemen vast kunnen stellen dat sprake is van gegevens die zijn gekopieerd. 12 De aanvaller had mogelijk interesse in toegang tot [VERTROUWELIJK]. Toegang hiertoe verkrijgen is echter niet gelukt. 13 Dit is ook bevestigd door Transavia. 14
De aanvaller heeft op tenminste [VERTROUWELIJK] systemen [VERTROUWELIJK] logbestanden verwijderd. 15
De aanvaller heeft verder gebruik gemaakt van [VERTROUWELIJK] software. Dit is penetratie test software die bedoeld is om kwetsbaarheden te vinden in een IT-landschap. De externe dienstverlener heeft op tenminste [VERTROUWELIJK] systemen hier aanwijzingen voor gevonden. Op 21 oktober 2019 is dit type aanval door de beheerder opgemerkt en heeft de beheerder onderzoek ingesteld. Na 21 oktober 2019 zijn ook geen activiteiten meer waargenomen van de aanvaller. 16
Op basis van deze signalering is door Transavia op 22 oktober 2019 een externe dienstverlener ingeschakeld (niet de beheerder). De externe dienstverlener heeft een forensische analyse uitgevoerd. Uit de analyse bleek dat het merendeel van de activiteiten van de aanvaller gericht waren op verkenningsactiviteiten. De volgende gegevens zijn echter wel gekopieerd: Netwerk documentatie, zakelijke en diverse andere documenten alsmede zes e-mailboxen. 17
Er zijn door Transavia [VERTROUWELIJK] systemen als kritiek bestempeld. Hier zat een systeem tussen voor de uitwisseling van gegevens met [VERTROUWELIJK]. Ook zaten hier [VERTROUWELIJK] bij en een [VERTROUWELIJK]. Op een van de kritieke systemen, het [VERTROUWELIJK], zijn bepaalde logbestanden verwijderd. Hierdoor was er op dit systeem minder bewijs over wat er gebeurd is met dit systeem. 18
8  Zie Dossierstuk 38, Antwoorden van Transavia datum 24 september 2020.
9  Zie Dossierstuk 11, rapport van 5 december 2019, pagina 21.
10  Zie Dossierstuk 25, Antwoorden van Transavia, datum 26 mei 2020.
11  Zie Dossierstuk 11, rapport van 5 december 2019, pagina 21.
12  Zie Dossierstuk 11, rapport van 5 december 2019, pagina 26.
13  Zie Dossierstuk 11, rapport van 5 december 2019, pagina 25.
14  Zie Dossierstuk 25, Antwoorden van Transavia, datum 26 mei 2020.
15  Zie Dossierstuk 11, rapport van 5 december 2019, pagina 23.
16  Zie Dossierstuk 11, rapport van 5 december 2019, pagina 25.
17  Zie Dossierstuk 11, rapport van 5 december 2019, pagina 4.
18  Zie Dossierstuk 11, rapport van 5 december 2019, pagina 17.
&lt;!-- image --&gt;
Datum
23 september 2021
## Ons kenmerk
[VERTROUWELIJK]
Op 22 november 2019 heeft Transavia opdracht gegeven aan de externe dienstverlener om de mailboxen te onderzoeken die door de aanvaller in deze inbreuk zijn gekopieerd naar een externe locatie. Het doel van het onderzoek betrof de persoonsgegevens in zes mailboxen: vijf mailboxen van medewerkers en één van een oud-medewerker. In de mailboxen bleken 49 bestanden met persoonsgegevens aanwezig. 19 Deze mailboxen waren volgens Transavia (met name) in gebruik bij [VERTROUWELIJK] medewerkers. 20
Deze bestanden zijn vervolgens geanalyseerd en op basis hiervan is besloten een mededeling te doen aan 81.000 betrokkenen, zoals verplicht in artikel 34 van de AVG indien er mogelijk sprake is van een hoog risico. 21 Deze groep betrokkenen bestond uit werknemers van Transavia en klanten van Transavia. De medewerkers wiens mailboxen waren gekopieerd, waren reeds mondeling geïnformeerd volgens Transavia. 22
Transavia geeft aan dat sinds 25 november 2019 de aanvaller definitief geen toegang meer had tot het ITlandschap van Transavia. 23 Dit is ook bevestigd door de externe dienstverlener. 24
Samenvattend heeft een onbevoegde derde partij toegang gehad tot systemen van Transavia. Bij deze toegang was het mogelijk een gebruiker met veel rechten te gebruiken, waardoor de aanvaller veel mogelijkheden had binnen deze systemen. Hierdoor is er toegang geweest tot veel systemen en zijn er ook persoonsgegevens gekopieerd naar een externe locatie.
## 2.2 Soort persoonsgegevens
Er zijn twee groepen te onderscheiden persoonsgegevens in deze inbreuk: (1) persoonsgegevens die de aanvaller heeft gekopieerd naar een externe locatie en (2) persoonsgegevens waar de aanvaller toegang tot had.
## 2.2.1 Persoonsgegevens die zijn gekopieerd naar een externe locatie
De volgende persoonsgegevens die zich in de mailboxen bevonden zijn door de aanvaller gekopieerd (exclusief de bestandsnamen): 25
| [VERTROUWELIJK]   | [VERTROUWELIJK]   | [VERTROUWELIJK]   | [VERTROUWELIJK]   |
|-------------------|-------------------|-------------------|-------------------|
| [VERTROUWELIJK]   | [VERTROUWELIJK]   | [VERTROUWELIJK]   | [VERTROUWELIJK]   |
&lt;!-- image --&gt;
## Datum
23 september 2021
## Ons kenmerk
[VERTROUWELIJK]
| [VERTROUWELIJK]   | [VERTROUWELIJK]   | [VERTROUWELIJK]   | [VERTROUWELIJK]   |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 [VERTROUWELIJK]   | [VERTROUWELIJK]   | [VERTROUWELIJK]   | [VERTROUWELIJK]   |
Uit de bovenstaande tabel blijkt dat zowel passagiers-, leveranciers- en (potentiele) werknemersgegevens zijn gekopieerd. Transavia heeft verklaard dat het hier circa 80.000 passagiers betreft. 26 Ook stonden in meerdere bestanden de persoonsgegevens van tot 3000 medewerkers en tot 200 leveranciers. 27
Van passagiers zijn betrokken: voor- en achternaam, geboortedatum, vluchtinformatie en SSR-code. Van één passagier is een adres en telefoonnummer betrokken. Van medewerkers gaat het om de volgende gegevens: voor- en achternaam, zakelijke e-mailadressen, adres, telefoonnummer. En van leveranciers zijn betrokken: zakelijke e-mailadressen, voor- en achternaam, adres, e-mailadres, telefoonnummer.
26  Zie Dossierstuk 25, Antwoorden van Transavia, datum 26 mei 2020.
27  Zie Dossierstuk 25, Antwoorden van Transavia, datum 26 mei 2020 - Bijlage 3: Toelichting bij bijlage 2.
&lt;!-- image --&gt;
Datum
23 september 2021
Ons kenmerk
[VERTROUWELIJK]
Ook blijken er tot 10 C.V.-bestanden van potentiele medewerkers betrokken. Hierin bevonden zich vooren achternaam, adres, e-mailadres, telefoonnummer en geboortedatum.
In de melding aan de betrokken passagiers (80.000) die Transavia heeft verstuurd meldt Transavia de volgende betrokken gegevens: voornaam, achternaam, geboortedatum, vluchtgegevens, boekingsnummer en de bijgeboekte service zoals bagage, maar ook rolstoelgebruik. 28 Verder geeft Transavia aan dat de betrokken werknemers ook zijn geïnformeerd. 29
De bijgeboekte services werden beschreven als SSR-code. SSR-code staat voor ' Special Service Request ' code. Transavia gebruikt in hun boekingssysteem een reeks van 4 tekens voor additionele verzoeken, zoals een fiets als bagage. De SSR-code is dan ' BIKE '. 30 Deze codes zijn te vinden op het internet waardoor de betekenis bekend is, mocht dit niet al duidelijk zijn uit de code. 31
De AP heeft aan Transavia gevraagd welke SSR-codes Transavia gebruikt en in welke aantallen. De door Transavia gebruikte codes geven onder andere aan wanneer een rolstoel benodigd is, of dat een passagier bijvoorbeeld een elektrische rolstoel gebruikt. Codes voor dieetwensen gebruikt Transavia niet aangezien ze geen maaltijden verstrekken tijdens de vluchten. 32
In de bestanden die zijn gekopieerd naar een externe locatie kwamen codes die rolstoelgebruik indiceren 358 maal voor. Ook kwam een code die blindheid aangeeft vijfmaal voor. Doofheid kwam vier keer voor. 33
Volgens Transavia waren de passagiersgegevens verzameld in de periode van 21 tot en met 31 januari 2015. 34 De gegevens bevonden zich in een mailbox op ' managed devices van medewerkers '. 35 Dit zijn beheerde apparaten, veelal mobiele apparaten zoals telefoons of laptops. De medewerkers in kwestie waren [VERTROUWELIJK].
## 2.2.2 Persoonsgegevens waar toegang toe mogelijk was
Hieronder staat een overzicht van de systemen waar de gebruikers [VERTROUWELIJK] en [VERTROUWELIJK] tezamen toegang toe hadden. 36 De titel ' host ' betekent in dit geval de naam van het systeem. De kolom ' Gegevens vanaf ingezien /Geexfiltreerd ' geeft aan of er na het inloggen op het systeem nog andere acties zijn waargenomen. Indien er door Transavia  ' nee' is weergegeven is er alleen ingelogd volgens Transavia. 37
28  Zie Dossierstuk 38, Antwoorden van Transavia datum 24 september 2020.
29  Zie Dossierstuk 12, Vervolgmelding van 18 februari 2020.
30  Zie Dossierstuk 38, Antwoorden van Transavia datum 24 september 2020.
31  Zie bijvoorbeeld: https://wheelchairtravel.org/air-travel/special-service-request-codes/, of
https://guides.developer.iata.org/docs/en/list-of-service-ssrs.
32  Zie Dossierstuk 38, Antwoorden van Transavia datum 24 september 2020.
33  Dossierstuk 38, Antwoorden van Transavia datum 24 september 2020 - Bijlage 5: Overzicht aantallen SSR-codes.
34  Zie Dossierstuk 13, Persbericht Transavia.
35  Zie Dossierstuk 25, Antwoorden van Transavia, datum 26 mei 2020.
36  Dossierstuk 25, Antwoorden van Transavia, datum 26 mei 2020 - Bijlage 4: Host en Persoonsgegevens.
37  Zie Dossierstuk 25, Antwoorden van Transavia, datum 26 mei 2020.
&lt;!-- image --&gt;
## Datum
23 september 2021
## Ons kenmerk
[VERTROUWELIJK]
| [VERTROUWELIJK]   | [VERTROUWELIJK]   | [VERTROUWELIJK]   | [VERTROUWELIJK]   | [VERTROUWELIJK]   | [VERTROUWELIJK]   |
|-------------------|-------------------|-------------------|-------------------|-------------------|-------------------|
| [VERTROUWELIJK]   | [VERTROUWELIJK]   | [VERTROUWELIJK]   | [VERTROUWELIJK]   | [VERTROUWELIJK]   | [VERTROUWELIJK]   |
| [VERTROUWELIJK]   | [VERTROUWELIJK]   | [VERTROUWELIJK]   | [VERTROUWELIJK]   | [VERTROUWELIJK]   | [VERTROUWELIJK]   |
| [VERTROUWELIJK]   | [VERTROUWELIJK]   | [VERTROUWELIJK] . | [VERTROUWELIJK]   | [VERTROUWELIJK]   | [VERTROUWELIJK]   |
&lt;!-- image --&gt;
## Datum
23 september 2021
## Ons kenmerk [VERTROUWELIJK]
| [VERTROUWELIJK]   | [VERTROUWELIJK]   | [VERTROUWELIJK]   | [VERTROUWELIJK]   | [VERTROUWELIJK]   | [VERTROUWELIJK]   |
|-------------------|-------------------|-------------------|-------------------|-------------------|-------------------|
| [VERTROUWELIJK]   | [VERTROUWELIJK]   | [VERTROUWELIJK]   | [VERTROUWELIJK]   | [VERTROUWELIJK]   | [VERTROUWELIJK]   |
| [VERTROUWELIJK]   | [VERTROUWELIJK]   | [VERTROUWELIJK]   | [VERTROUWELIJK]   | [VERTROUWELIJK]   | [VERTROUWELIJK]   |
| [VERTROUWELIJK]   | [VERTROUWELIJK]   | [VERTROUWELIJK]   | [VERTROUWELIJK]   | [VERTROUWELIJK]   | [VERTROUWELIJK]   |
|-------------------|-------------------|-------------------|-------------------|-------------------|-------------------|
| [VERTROUWELIJK]   | [VERTROUWELIJK]   | [VERTROUWELIJK]   | [VERTROUWELIJK]   | [VERTROUWELIJK]   | [VERTROUWELIJK]   |
| [VERTROUWELIJK]   | [VERTROUWELIJK]   | [VERTROUWELIJK]   | [VERTROUWELIJK]   | [VERTROUWELIJK]   | [VERTROUWELIJK]   |
| [VERTROUWELIJK]   | [VERTROUWELIJK]   | [VERTROUWELIJK]   | [VERTROUWELIJK]   | [VERTROUWELIJK]   | [VERTROUWELIJK]   |
&lt;!-- image --&gt;
## Datum
23 september 2021
## Ons kenmerk
[VERTROUWELIJK]
Uit de bovenstaande tabellen blijkt dat van passagiers de volgende gegevens verwerkt worden: de voor- en achternaam, de geboortedatum, het geslacht, het e-mailadres en telefoonnummer, de vlucht- en boekingsgegevens en de (zakelijke) e-mailcorrespondentie.
Van medewerkers zijn de voor- en achternaam, het geslacht, de geboortedatum, het werknemersnummer, het huisadres, het telefoonnummer, de kwalificaties/training, BSN, de aanwezigheidsadministratie en inloggegevens verwerkt. Verder staat genoemd in het overzicht dat op een systeem verslagen over veiligheidsincidenten aan boord bevonden. Hierin zijn ook mogelijk persoonsgegevens van medewerkers en passagiers betrokken.
In totaal staan voor passagiers tot 25.000.000 betrokkenen genoemd in het aangeleverde overzicht. Voor medewerkers worden tot 3000 betrokkenen genoemd. Dit betekent dat de aanvaller persoonsgegevens heeft ingezien of had kunnen inzien van 25 miljoen mensen.
De mate van activiteit van de aanvaller is door het de externe dienstverlener opgesplitst in de volgende categorieën: 38
-  [VERTROUWELIJK]
-  [VERTROUWELIJK]
-  [VERTROUWELIJK]
-  [VERTROUWELIJK]
-  [VERTROUWELIJK]
-  [VERTROUWELIJK]
Op alle genoemde systemen is er sprake van [VERTROUWELIJK]. 39  Op [VERTROUWELIJK] systemen is daadwerkelijk bewijs gevonden voor het kopiëren van persoonsgegevens. Systeem [VERTROUWELIJK] is als kritiek aangemerkt door Transavia vanwege de hoeveelheid persoonsgegevens. Op dit systeem was er zowel sprake van [VERTROUWELIJK].
Op het systeem [VERTROUWELIJK] was het bewijs voor de activiteiten van de aanvaller beperkter dan bij andere systemen, omdat er logbestanden ontbraken over de relevante periode van de inbreuk. 40 Verder is het systeem [VERTROUWELIJK] als kritiek aangemerkt vanwege de hoeveelheid persoonsgegevens op dit systeem. 41 Op dit systeem was er sprake van [VERTROUWELIJK].
In de melding aan de AP heeft Transavia aangegeven dat de betrokkenen afkomstig zijn uit meerdere landen, namelijk geheel Europa. De AP heeft Transavia verzocht een overzicht heeft uit welk land de betrokkenen komen. Hierop heeft Transavia geantwoord dat 90% van de klanten uit Nederland komt, gebaseerd op de Point of Sale. 42 Slechts een beperkt aantal persoonsgegevens van zustermaatschappij Transavia France S.A.S. waren op de systemen van Transavia Airlines C.V. aanwezig. 43
38  Zie Dossierstuk 11, rapport van 5 december 2019, pagina 19.
39  Zie Dossierstuk 11, rapport van 5 december 2019, pagina 32.
40  Zie Dossierstuk 11, rapport van 5 december 2019, pagina 17.
41  Zie Dossierstuk 11, rapport van 5 december 2019, pagina 4.
42  Zie Dossierstuk 25, Antwoorden van Transavia, datum 26 mei 2020.
43  Zie Dossierstuk 38, Antwoorden van Transavia datum 24 september 2020.
&lt;!-- image --&gt;
Datum
23 september 2021
Ons kenmerk
[VERTROUWELIJK]
De AP komt tot de conclusie dat Transavia ten tijde van de inbreuk persoonsgegevens verwerkte van ruim 25 miljoen personen. Hiervan zijn persoonsgegevens gelekt van tot 83.000 personen en gezondheidsgegevens van 367 personen.
## 2.3 Beveiliging ten tijde van de inbreuk
## 2.3.1 Toegang tot het [VERTROUWELIJK] domein
In het wachtwoordbeleid van Transavia staat aangegeven welke eisen er gelden per gebruiker, per mogelijk risiconiveau. 44 In het wachtwoordbeleid van Transavia staan 3 niveaus vermeldt:
-  ' Minimal baseline', het standaard niveau;
-  'Medium Additions', additionele maatregelen voor gebruikers met meer bevoegdheden;
-  'Medium and High additions', extra maatregelen voor bepaalde hoog risico gebruikers.
De gebruikers die gebruikt zijn door de aanvaller hadden volgens Transavia de volgende niveaus: 45
-  [VERTROUWELIJK] had als niveau: minimal baseline
-  [VERTROUWELIJK] had niveau:  Medium and High security additions
De externe dienstverlener heeft aangegeven dat de [VERTROUWELIJK] gebruikers ' contained the highest possible privileges '.
Een gebruiker met minimal baseline heeft volgens het wachtwoordbeleid de volgende wachtwoordeisen: 46
-  [VERTROUWELIJK]
-  [VERTROUWELIJK]
-  [VERTROUWELIJK]
-  [VERTROUWELIJK]
-  [VERTROUWELIJK]
Voor High security additions zijn de volgende aanvullende eisen van toepassing: 47
-  [VERTROUWELIJK]
-  [VERTROUWELIJK]
-  [VERTROUWELIJK]
-  [VERTROUWELIJK]
-  [VERTROUWELIJK]
-  [VERTROUWELIJK]
-  [VERTROUWELIJK]
-  [VERTROUWELIJK]
-  [VERTROUWELIJK]
44  Dossierstuk 25, Antwoorden van Transavia, datum 26 mei 2020 - Bijlage 1:  Personnel &amp;amp; Access Control Standard.
45  Zie Dossierstuk 25, Antwoorden van Transavia, datum 26 mei 2020.
46  Zie Dossierstuk 25, Antwoorden van Transavia, datum 26 mei 2020 - Bijlage 1:  Personnel &amp;amp; Access Control Standard.
47  Zie Dossierstuk 25, Antwoorden van Transavia, datum 26 mei 2020 - Bijlage 1:  Personnel &amp;amp; Access Control Standard.
&lt;!-- image --&gt;
Datum
23 september 2021
## Ons kenmerk
[VERTROUWELIJK]
Transavia onderscheidt twee typen gebruiker accounts: ' user accounts ' en ' generieke accounts '.  De ' user accounts ' betreffen individuele personen. De ' generieke accounts ' bestaan voor meerdere personen of systemen, onder andere voor koppelingen tussen systemen. Inloggen op deze gebruikers vindt veelal automatisch plaats volgens Transavia. 48
De AP heeft aan Transavia gevraagd waarom de accounts die betrokken waren bij de inbreuk niet voldeden aan de eigen standaarden van Transavia. Transavia geeft in haar antwoord aan dat de focus lag op ' user accounts ' als het gaat om naleving van het wachtwoordenbeleid. Dit zijn in verhouding meer accounts en er werd geacht dat hieruit de meeste risico's zouden voortvloeien. Ook heeft Transavia aangegeven dat deze aanpak de ' awareness ' zou verhogen binnen de organisatie. Vanwege deze focus zouden de tekortkomingen voor de generieke accounts betrokken in de inbreuk niet zijn opgemerkt. 49
In het wachtwoordbeleid staat verder dat er voor ' remote access ' meerfactorauthenticatie vereist is. 50 Uit het rapport blijkt dat dit niet het geval was voor de gebruikers waarmee de aanvaller toegang heeft kunnen verkrijgen. Zo is toegang geweest tot een Citrix omgeving zonder meerfactorauthenticatie. De externe dienstverlener geeft als een van de aanbevelingen aan Transavia het implementeren van meerfactorauthenticatie voor gebruikers wiens accounts toegankelijk zijn vanaf het internet of in ieder geval voor gebruikers met veel rechten. 51 Citrix zelf adviseert zelf ook om meerfactorauthenticatie voor het gebruik van hun applicatie in te voeren. 52
De AP heeft aan Transavia gevraagd waarom toegang mogelijk was tot een telewerkomgeving zonder gebruik te maken van meerfactorauthenticatie bij de accounts betrokken in de inbreuk. 53
Als antwoord heeft Transavia aangegeven dat eerst voor de ' user accounts ' is begonnen met de uitrol van deze maatregelen. De implementatie van deze maatregelen bij de ' user accounts ' duurde langer dan verwacht. Vliegend personeel maakt bij haar werkzaamheden gebruik van applicaties die nodig zijn voor een veilige vlucht. Indien een maatregel zoals meerdere factoren authenticatie vertraging zou veroorzaken, zou dit grote vertragingen bij vluchten kunnen veroorzaken. ' Generieke accounts ' hadden lagere prioriteit bij Transavia. Omdat de implementatie bij het vliegend personeel vertraagd was, was de implementatie bij de ' generieke accounts ' ook vertraagd. 54
48  Zie Dossierstuk 38, Antwoorden van Transavia datum 24 september 2020.
49  Zie Dossierstuk 38,  Antwoorden van Transavia datum 24 september 2020.
50  Zie Dossierstuk 25, Antwoorden van Transavia, datum 26 mei 2020 - Bijlage 1:  Personnel &amp;amp; Access Control Standard.
51  Zie Dossierstuk 11, rapport van 5 december 2019, pagina 21.
52 Zie Dossierstuk 40, Citrix best practices, 9 april 2019.
53  Dossierstuk 30, Brief AP aan Transavia van 4 september 2020.
54  Zie Dossierstuk 38, Antwoorden van Transavia datum 24 september 2020.
&lt;!-- image --&gt;
Datum
23 september 2021
## Ons kenmerk
[VERTROUWELIJK]
De AP heeft aan Transavia gevraagd of periodieke controles plaatsvonden van het beveiligingsbeleid en de feitelijke implementatie hiervan. Transavia heeft hierop aangegeven dat er meerdere periodieke controles plaatsvinden: 55
-  [VERTROUWELIJK] 56
-  [VERTROUWELIJK]
-  [VERTROUWELIJK]
Bij de [VERTROUWELIJK] controle is ook aangegeven dat voor geprivilegieerde accounts (accounts met veel toegangsrechten) er controle moet plaatsvinden of de wachtwoorden voldoen aan het beleid van Transavia. 57 Transavia heeft als voorbeeld hiervan de resultaten aangeleverd van een [VERTROUWELIJK] controle van 2019, kwartaal 3. De bevindingen gaan over de periode van 12 maanden vóór het onderzoek. Hierin staan positieve en negatieve resultaten aangegeven. Bij meerdere systemen is hier aangegeven dat de wachtwoorden niet voldeden aan het beleid van Transavia. 58
De AP stelt vast dat de gebruikte wachtwoorden in de aanval niet aan de eisen voldeden van het wachtwoordbeleid van Transavia. Ook was voor deze gebruikers geen meerfactorauthenticatie aanwezig, terwijl deze gebruikers wel toegankelijk waren via het internet of via telewerk software.
## 2.3.2 Toegang binnen het [VERTROUWELIJK] domein
De aanvaller had tijdens de inbreuk toegang tot vrijwel het hele [VERTROUWELIJK] domein. Transavia heeft meer netwerksegmentatie als vervolgmaatregel doorgevoerd. 59 Volgens het Nationaal Cyber Security Centrum (NCSC) is netwerksegmentatie het ' netwerk opdelen in functionele segmenten '. Met netwerksegmentatie worden alleen de systemen die onderling moeten communiceren samen in aparte segmenten geplaatst. ' Gebruikers krijgen alleen toegang tot de segmenten die zij nodig hebben.' . 60
De AP heeft aan Transavia gevraagd of de aanvaller bij de systemen waar automatisch toegang toe is verkregen ook andere zaken had kunnen doen zoals gegevens kopiëren, inzien of anderzijds bewerken. 61 Transavia heeft aangegeven dat de aanvaller deze mogelijkheid had.
In de schriftelijke reactie noemt Transavia een aantal beveiligingsmaatregelen die van kracht waren op het moment van de inbreuk: ' Op het moment van de inbreuk had Transavia verschillende maatregelen getroffen in het kader van haar beveiligingsbeleid om de gevolgen van een onbevoegde inlogpoging te voorkomen, waaronder monitoring. Zo werden met het voor Transavia door haar IT-leverancier ingerichte Security Operations Centre de computer- en netwerkactiviteiten van Transavia in de gaten gehouden en gecontroleerd op afwijkende activiteiten. Via dit systeem
55  Zie Dossierstuk 38, Antwoorden van Transavia datum 24 september 2020.
56  Dossierstuk 38, Antwoorden van Transavia datum 24 september 2020 - Bijlage 6: [VERTROUWELIJK].
57  Dossierstuk 38, Antwoorden van Transavia datum 24 september 2020 - Bijlage 6: [VERTROUWELIJK].
58  Dossierstuk 38, Antwoorden van Transavia datum 24 september 2020 - Bijlage 7: Resultaten [VERTROUWELIJK] 2019 - Q3.
59  Zie Dossierstuk 25, Antwoorden van Transavia, datum 26 mei 2020.
60  Zie Dossierstuk 41, NCSC, Ransomware, maatregelen voor het voorkomen, beperken en herstellen van een ransomware-aanval, juni 2020.
61  Dossierstuk 30, Brief AP aan Transavia van 4 september 2020.
&lt;!-- image --&gt;
Datum
23 september 2021
Ons kenmerk
[VERTROUWELIJK]
ontving Transavia op 21 oktober 2019 de beveiligingsmelding van haar IT-leverancier die duidde op ongeautoriseerde toegang tot het IT-landschap van Transavia.' 62
In het forensisch rapport is aangegeven dat de beheerder logging mogelijkheden had ingericht, waardoor de externe dienstverlener de gebeurtenissen voor een groot gedeelte heeft kunnen reconstrueren. De externe dienstverlener heeft gebruik kunnen maken van de [VERTROUWELIJK] 63 omgeving van Transavia. 64
Uit onderzoek bleek dat het mogelijk was om bepaalde logbestanden te verwijderen. Aangegeven is dat gedurende een week op tenminste [VERTROUWELIJK] systemen logbestanden zijn verwijderd. Ook is beschreven dat bepaalde logging niet bijgehouden werd in de gecentraliseerde omgeving, waaronder van Citrix en van bepaalde kritieke systemen. Een aanbeveling van de externe dienstverlener is dan ook de centrale logging uit te breiden om de integriteit hiervan te bewaken. Ook zou dit leiden tot betere respons op incidenten. 65
In het forensisch rapport staat verder dat op diverse systemen verouderde besturingssystemen geïnstalleerd waren. Ook staat er dat de geïmplementeerde meerfactorauthenticatie op bepaalde systemen dusdanig was ingeregeld dat een gebruiker zelf een telefoonnummer kon invullen om een tweede factor bericht op te ontvangen. Bepaalde systemen hadden ongecontroleerd toegang tot het internet. Hierdoor heeft de aanvaller kunnen communiceren met externe systemen vanuit het netwerk van Transavia. 66 Tot slot was er onvoldoende netwerk indringer detectie aanwezig was. Hierdoor was er sprake van een beperkt zicht op netwerkactiviteit van de aanvaller. 67
## 2.4 Maatregelen na de inbreuk
Nadat Transavia op 21 oktober 2019 erachter is gekomen dat een aanvaller ongeautoriseerde toegang heeft gehad tot haar systemen, heeft Transavia direct door een externe dienstverlener een forensische analyse laten uitvoeren. Na de vaststelling van de inbreuk heeft Transavia verschillende maatregelen genomen.
Transavia heeft onder andere voor alle eindgebruikers en apparaten tweefactor-authenticatie ingevoerd. Daarnaast zijn de wachtwoorden van</t>
  </si>
  <si>
    <t>[www.provincie.drenthe.nl](http://www.provincie.drenthe.nl/)
Aan: het bestuur van de Stichting Wiede Wold Lindberghstraat 4 7903 BN  HOOGEVEEN
## PePe
Assen, 18 juni 2024 Ons kenmerk 25/4.2/2024000871 Behandeld door
Onderwerp: Verlening subsidie project De Afvalkathedraal, onderdeel BOUWWERK
## Geacht bestuur,
Op 31 mei 2024 ontvingen wij uw subsidieaanvraag. U vraagt een incidentele subsidie aan van€ 125.000,--. In deze brief leest u ons besluit.
## U ontvangt een subsidie van 48,39% van de subsidiabele kosten tot een maximum van€ 125.000,--
Dit is de subsidie die wij u verlenen. U ontvangt de subsidie voor de uitvoering van het project De Afvalkathedraal, onderdeel BOUWWERK. Met het deelproject BOUWWERK realiseert u De Afvalkathedraal, het fysieke onderkomen en 'kloppend hart' van de culturele manifestatie 'Wiede Wold'. De Afvalkathedraal geeft een thuis aan de theatervoorstelling 'ATROPOS' van de Peergroup.
Met de realisatie van De Afvalkathedraal creëert u een publieke plek voor ontmoeting en inspiratie. De totstandkoming is echter zelf ook een proces van ontmoeting en in­ spiratie. Belangrijk doel bij de totstandkoming van De Afvalkathedraal is het versterken van bewustwording op het vlak van de benodigde transformatie voor de transitie van een lineaire naar een circulaire economie. U zet hierbij nadrukkelijk in op het verbinden van bewoners, bedrijven, onderwijs en organisatie  op dit vraagstuk, het aantrekken van jong talent en ervaren circulaire professionals en het aangaan van nieuwe publiek­ private samenwerkingen tussen sectoren en disciplines.
&lt;!-- image --&gt;
## provincie J)renthe
&lt;!-- image --&gt;
, .N'.Jilè-à Het project De Afvalkathedraal, onderdeel BOUWWERK, levert de volgende resultaten -op:
- -1 plan van aanpak voor de bouw
- -1 integrale M&amp;amp;C-strategie
- -1 omgevingsvergunning
- -1 evenementenvergunning
- -1 speellocatie voor theatervoorstelling ATROPOS
- -12.000 bezoekers
- -1 tijdelijke eventlocatie voor bijeenkomsten
- -5 bijeenkomsten van 250 deelnemers
## U ontvangt een voorschot van€ 108.000,--
De subsidie ontvangt u in een aantal delen. Het eerste bedrag maken wij binnen vier weken over naar uw IBAN . Wij vermelden er het kenmerk van deze brief bij.
Bij de vaststelling van de subsidie kunt u, na beoordeling van uw aanvraag tot vast­ stelling, het restantbedrag ontvangen.
## Activiteiten
Met deze subsidie voert u de volgende activiteiten uit: Uitvoering deelproject BOUWWERK van het project De Afvalkathedraal.
Uw subsidieaanvraag is de basis voor deze omschrijving.
## Uw subsidie hebben wij als volgt berekend
De subsidie bedraagt 48,39% van de subsidiabele kosten uit uw begroting, tot een bedrag van € 125.000,--. De kosten die voor een subsidie in aanmerking komen zijn:
| Soort kosten                           | Kosten begroting                       | Verleende subsidie                     |
|----------------------------------------|----------------------------------------|----------------------------------------|
| 1. Bouwmanagement                      | € 25.000,00                            |                                        |
| 2. Vergunningen                        | € 25.000,00                            |                                        |
| 3. Bouw en demontage                   | € 75.000,00                            |                                        |
| 4. Facilitering Wiede Wold             | € 85.000,00                            |                                        |
| 5. Loonkosten en eigen arbeid          | € 48.300,00*                           |                                        |
| Totaal                                 | € 258.300,00                           | € 125.000,00                           |
| * forfait van 23% op de kosten 1 Urn 4 | * forfait van 23% op de kosten 1 Urn 4 | * forfait van 23% op de kosten 1 Urn 4 |
## Subsidieverplichtingen
Aan de subsidie zijn de volgende verplichtingen verbonden: u voert de activiteiten uit in de periode van 1 januari 2024 tot en met
30 september 2024;
u meldt het ons als u de activiteiten anders of niet gaat uitvoeren
U doet deze melding binnen twee weken nadat u het weet. U doet deze melding schriftelijk via subsidieloket@drenthe.nl. Deze melding is voor u van belang. Als u de activiteiten niet, niet helemaal of anders uitvoert dan in uw aanvraag en deze brief is genoemd, kan de subsidie lager worden vastgesteld of worden ingetrokken.
U moet dan een bedrag aan ons terugbetalen. Daarnaast doet u melding als u niet voldoet aan de subsidieverplichtingen en in gevallen als bedoeld in artikel 16, tweede lid, van de Algemene subsidieverordening provincie Drenthe 2023;
## u zorgt voor een goede administratie
Bij een eventuele controle kunt u aantonen dat u de activiteiten hebt uitgevoerd en de kosten hebt gemaakt. Dat kan bijvoorbeeld blijken uit bewaarde rekeningen, bonnen, een urenadministratie of andere gebruikelijke manieren om activiteiten, kosten of tijdsbesteding helder te maken. U bewaart deze minimaal zeven jaar na het einde van de projectperiode;
## u dient vóór 1 januari 2025 een aanvraag tot vaststelling in
U stuurt deze aanvraag naar subsidieloket@drenthe.nl. Uw aanvraag tot vast­ stelling bestaat uit een inhoudelijk verslag, waaruit blijkt dat de activiteiten waarvoor de subsidie is verleend zijn uitgevoerd en dat is voldaan aan de subsidie­ verplichtingen. Ook stuurt u een kostenverantwoording mee waaruit blijkt wat de werkelijk gemaakte subsidiabele kosten zijn van de activiteiten en de hieraan ver­ bonden inkomsten. Het financieel verslag bevat in ieder geval een vergelijking met de bij de aanvraag om subsidie ingediende begroting en bevat verschillen tussen de werkelijke uitgaven en de begrote uitgaven, onder vermelding van de oorzaak van de verschillen.
Als u de activiteiten hebt uitgevoerd en aan de subsidieverplichtingen hebt voldaan, stellen wij de subsidie vast op 48,39% van de werkelijk gemaakte sub­ sidiabele kosten, met als maximum het verleende subsidiebedrag.
Zorgt u ervoor dat wij uw aanvraag tot vaststelling op tijd ontvangen. Hiermee voorkomt u dat wij uw subsidie ambtshalve moeten vaststellen. Hierdoor wordt de subsidie in veel gevallen lager of op nihil vastgesteld. De ontvangen voorschotten moet u dan terugbetalen.
## Staatssteun
Voor uw aanvraag hebben wij gekeken of er sprake is van staatssteun. Dit is bij u het geval, omdat uw stichting in dit geval fungeert als ondernemer. Uw activiteiten worden door middel van staatsmiddelen selectief gesteund en er kan door het project een ver­ storing van de interne markt optreden. Deze steun valt onder de werking van de Alge­ mene Groepsvrijstellingsverordening (AGW), in het bijzonder onder de vrijstellings­ categorie voor steun voor cultuur en instandhouding van het erfgoed (Hoofdstuk 111, Deel Il, artikel 53 van de AGW), meer specifiek exploitatiesteun.
De in aanmerking komende kosten kunnen voor maximaal 80% worden gesubsidieerd. De totale subsidiabele kosten van uw project bedragen€ 258.300,--. Het bedrag aan steun van de provincie Drenthe bedraagt€ 125.000,--. Daarmee bedraagt de steun­ intensiteit van onze subsidie afgerond 48% en blijft deze onder de toegestane steun­ intensiteit.
Uw deelproject voldoet aan de gestelde voorwaarden voor deze steun en aan de alge­ mene bepalingen van de AGW. De te verlenen subsidie heeft een stimulerend  effect in de zin van voornoemde verordening van de Europese Commissie. Daarmee kan de subsidie geoorloofd worden verleend. Wij geven van de verlening van deze subsidie, overeenkomstig de desbetreffende bepalingen van de AGW, binnen 20 werkdagen na dagtekening van deze beschikking kennis aan de Europese Commissie en publiceren deze beschikking op onze website.
Betaling van de subsidie sluiten wij uit, indien zou blijken dat de aan uw onderneming verleende steun onrechtmatig is en onverenigbaar is verklaard met de interne markt.
## Een vergunning nodig?
Misschien hebt u voor de uit te voeren activiteiten nog een vergunning of andere vorm van toestemming nodig, mogelijk zelfs van ons. Deze subsidie staat geheel los van het krijgen van die vergunning die u nodig hebt voor uw activiteiten. Daarvoor gelden na­ melijk andere regels.
## Steekproefcontrole
Naast de beoordeling van uw aanvraag tot vaststelling kunnen wij deze subsidie ook controleren. De steekproefcontroles hebben tot doel misbruik en onregelmatigheden van subsidiegelden tegen te gaan. Wij controleren of de subsidie rechtmatig en doel­ matig is besteed en of u hebt voldaan aan de aan de subsidie verbonden verplich­ tingen. Indien wij misbruik of onregelmatigheden constateren loopt u het risico dat de subsidie geheel of gedeeltelijk teruggevorderd wordt. Het is zeer belangrijk dat u be­ wijsstukken bewaart en eventuele wijzigingen op tijd aan ons meldt.
## Juridisch kader
Voor dit besluit gelden:
- -de Algemene wet bestuursrecht
- -de Algemene subsidieverordening provincie Drenthe 2023
## Communicatie
Wij vragen u of u in uw communicatie over het project wilt vermelden dat het project mede mogelijk gemaakt wordt door de provincie Drenthe.
## Openbare informatie over uw subsidie
De naam van de aanvrager, de naam van het project of de korte omschrijving van de activiteiten, het verstrekte subsidiebedrag en het zaaknummer  nemen wij op in het subsidieregister op onze website. Namen van personen worden niet genoemd. Daarnaast publiceren wij de volledige subsidiebeschikking op onze website. Dit doen wij omdat dit een algemene verplichting is van de AGW. De subsidiebeschikking wordt ook gepubliceerd op de website van de Europese Commissie.
## Hebt u vragen?
Als u vragen hebt, neem dan contact op met de
,
telefoonnummer (0592)
.
Hoogachtend,
secretaris
&lt;!-- image --&gt;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
&lt;!-- image --&gt;</t>
  </si>
  <si>
    <t>OPENBAAR Kansspelautoriteit Datum 3 december 2024 Ons kenmerk 18052/ 01.330.227 &lt;!-- image --&gt; Besluit van de raad van bestuur van de Kansspelautoriteit als bedoeld in artikel 35a van de Wet op de Kansspelen Zaak: 18052 Kenmerk: 18052/ 01.330.227 ## Besluit ## 1 Inleiding 1. De raad van bestuur van de Kansspelautoriteit (hierna: de raad van bestuur) is belast met het toezicht op de naleving van het bepaalde bij of krachtens de Wet op de Kansspelen (hierna: Wok) en onderliggende regelgeving, waaronder het Besluit kansspelen op afstand (hierna: Bkoa). 2. In artikel 31k, tweede lid, van de Wok en artikel 4.12, eerste en tweede lid, van het Bkoa is vastgelegd welke gegevens een aanbieder van online kansspelen moet controleren, voordat hij overgaat tot het inschrijven van een speler. Daarbij is onder meer vastgelegd dat en hoe gecontroleerd moet worden of een speler is ingeschreven in het Centraal register uitsluiting kansspelen (hierna: Cruks) 3. Optdeck Service Limited (hierna: Optdeck) heeft in de periode van 22 november 2022 tot en met 30 januari 2023 spelers ingeschreven zonder sluitend en deugdelijk te controleren of zij waren geregistreerd in Cruks. Dit is een overtreding van artikel 31k, tweede lid, van de Wok en artikel 4.12, tweede lid, van het Bkoa. Deze overtreding wordt aan Optdeck toegerekend. 4. De raad van bestuur legt een boete op van € 400.000, -. 5. De raad van bestuur zet dit besluit hieronder nader uiteen. ## 2 Onderzoek ## 2.1 Signaal en opvolging 6. De Kansspelautoriteit heeft op 28 juni 2023 een signaal ontvangen van een speler dat hij zich, ondanks een inschrijving in Cruks, in november 2022 heeft &lt;!-- image --&gt; Kansspelautoriteit Datum 3 december 2024 Ons kenmerk 18052/ 01.330.227 kunnen inschrijven bij www.unibet.nl (hierna: Unibet) en erna meermaals kon deelnemen aan kansspelen bij Unibet. De klacht die de speler hierover bij Optdeck heeft ingediend, is vervolgens niet correct afgehandeld, aldus de speler. 7. Per e-mail van 21 augustus 2023 hebben toezichthouders van de Kansspelautoriteit (hierna: de toezichthouders) informatie gevorderd van Optdeck over zowel de afhandeling van de klacht van de speler, als het verloop van het inschrijvings- en aanmeldproces. 8. Op 30 augustus 2023 heeft Optdeck een incident gemeld bij de Kansspelautoriteit. In deze melding heeft Optdeck omschreven dat een aantal spelers ondanks een registratie in Cruks zich heeft kunnen inschrijven en spelen bij Unibet. 9. Op 4 september 2023 heeft Optdeck gereageerd op de vordering van 21 augustus 2023. In die brief heeft Optdeck uiteengezet hoe haar registratieproces er normaliter uit ziet en dat zij in het vierde kwartaal van 2022 daarvan is afgeweken. Deze handelswijze heeft ertoe geleid dat spelers die waren geregistreerd in Cruks, toch zijn ingeschreven en konden spelen via Unibet. Optdeck heeft verder toegelicht hoe de klacht van de speler is afgehandeld. 10. Op 27 september en 2 november 2023 heeft Optdeck meer informatie naar de Kansspelautoriteit gestuurd. In deze brieven heeft Optdeck laten weten dat het om meer spelers ging dan zij eerder had gemeld. 11. Op 10 november 2023 heeft de Kansspelautoriteit opnieuw informatie gevorderd van Optdeck over het gebruikte registratieproces, de reden voor de wijziging in werkwijze en de reden om daar weer mee te stoppen, en de huidige werkwijze. 12. Op 23 november 2023 heeft Optdeck gereageerd op de vordering van 10 november 2023. Daarin heeft zij, kort samengevat, laten weten dat het WK Voetbal 2022 (hierna: het WK 2022) zorgde voor een toename in het aantal spelers en foutmeldingen bij raadpleging van Cruks. Om die piek te kunnen verwerken heeft zij in de bewuste periode spelers met een Burgerservicenummer (hierna: BSN) die bij registratie een foutmelding kregen van Cruks, laten inschrijven zonder hun BSN te gebruiken bij het bevragen van Cruks. Met deze werkwijze is Optdeck gestopt toen er signalen kwamen dat spelers die geregistreerd waren in Cruks op deze manier toch ingeschreven konden worden. 13. Op 18 december 2023 heeft de Kansspelautoriteit Optdeck laten weten dat zij een rapport van bevindingen op zou gaan stellen. 14. Op 20 maart 2024 heeft de Kansspelautoriteit opnieuw informatie gevorderd van Optdeck. &lt;!-- image --&gt; 15. Op 3 april 2024 heeft Optdeck gereageerd op de vordering van 20 maart 2024. Daarbij heeft ze gegevens geüpload van 15 spelers die in de periode van 22 november 2022 tot en met 30 januari 2023 zijn ingeschreven en meermaals aangemeld, terwijl zij op dat moment in Cruks waren geregistreerd. ## 2.2 De betrokkenen 16. Optdeck Service Limited is gevestigd aan de Tigne Point, Level 6, The Centre, Sliema, Malta. Zij is houder van een vergunning voor het organiseren van kansspelen op afstand, als bedoeld in artikel 31a van de Wok. Bij besluit van 7 juni 2022 heeft de raad van bestuur aan Optdeck deze vergunning verleend voor de periode van 8 juni 2022 tot en met 7 juni 2027. 1 Optdeck biedt kansspelen aan via Unibet. ## 3 Rapport 17. De toezichthouders hebben op grond van de resultaten van het onder paragraaf 2.1 genoemde onderzoek op 25 juni 2024 een rapport opgesteld. In het rapport is geconstateerd dat Optdeck in de periode van periode van 22 november 2022 tot en met 30 januari 2023 artikel 31k, tweede lid, van de Wok en artikel 4.12, tweede lid, van het Bkoa, heeft overtreden. 18. Optdeck heeft gedurende deze periode spelers ingeschreven en toegelaten tot de speelomgeving van Unibet, terwijl de procedure om vast te stellen of deze spelers op dat moment waren geregistreerd in Cruks, niet sluitend en ondeugdelijk was. Dit heeft zich bij 3.020 afzonderlijke spelers voorgedaan, waarbij in 15 gevallen is vastgesteld dat de speler daadwerkelijk was geregistreerd in Cruks. 2 19. Het rapport is met de bijbehorende stukken verzonden naar het adres en het e-mailadres van Optdeck. ## 4 Zienswijze ## 4.1 Procedure 1 Onder kenmerk 1730/01.267.175. 2 Zie blz. 10 respectievelijk blz. 8 van het onderzoeksrapport van 25 juni 2024, met kenmerk 01.307.561. &lt;!-- image --&gt; 20. Optdeck is per brief van 28 juni 2024 uitgenodigd voor een hoorzitting op 16 juli 2024. Op verzoek van Optdeck is de hoorzitting verschoven naar 12 september 2024. 21. Per email van 30 augustus 2024 heeft Optdeck een schriftelijke zienswijze op het onderzoeksrapport ingediend. 22. Op 12 september 2024 heeft Optdeck haar zienswijze mondeling toegelicht tijdens een hoorzitting als bedoeld in artikelen 4:8 en 5:50 van de Algemene wet bestuursrecht (hierna: Awb). Van deze hoorzitting is een verslag gemaakt dat op 16 september 2024 aan Optdeck is gestuurd. 23. Optdeck heeft op 26 september 2024 gereageerd op het verslag. ## 4.2 Inhoud zienswijze 24. De raad van bestuur constateert dat Optdeck in haar zienswijze de feiten niet heeft betwist. 25. In haar zienswijze heeft Optdeck toegelicht dat op twee verschillende manieren bij inschrijving van een speler kan worden gecontroleerd of deze speler in Cruks is ingeschreven. Dat kan via een set gegevens mèt BSN of via een set gegevens zonder BSN. Beide manieren vergen een eigen Application Programming Interface (hierna: API), waarmee Cruks door een aanbieder zoals Optdeck kan worden bevraagd. Volgens Optdeck werd zij in de bewuste periode geconfronteerd met een toenemend aantal foutmeldingen bij raadpleging van Cruks. Deze foutmeldingen deden zich voor wanneer Optdeck controleerde aan de hand van een set gegevens mèt BSN, via de daartoe bestemde API 'ConsultBSNRequest' . Optdeck is vanwege de foutmeldingen overgegaan tot controle aan de hand van gegevens zonder BSN, ook bij spelers die wel over een BSN beschikten, via een -niet langer in gebruik zijnde -API 'ConsultDocumentRequest' . Door spelers te controleren aan de hand van deze laatste API nam het aantal foutmeldingen af. 26. Samengevat stelt Optdeck primair dat zij geen overtreding heeft begaan. De Wok verplicht niet tot controle van Cruks aan de hand van een BSN. Optdeck heeft bovendien steeds gecontroleerd of een speler was geregistreerd in Cruks. Alleen als zij geen ' hit ' uit het register ontving, is zij overgegaan tot inschrijving. Daarmee heeft Optdeck naar beste weten en kunnen vastgesteld dat een speler niet was geregistreerd en daarmee heeft zij voldaan aan haar wettelijke verplichtingen als bedoeld in artikel 31k, tweede lid, aanhef en onder b, van de Wok en artikel 4.12, eerste en tweede lid van het Bkoa. &lt;!-- image --&gt; Kansspelautoriteit Datum 3 december 2024 Ons kenmerk 18052/ 01.330.227 27. Subsidiair stelt Optdeck dat de overtreding haar niet kan worden verweten. Dat de invoer zonder BSN ertoe kon leiden dat de informatie uit Cruks niet betrouwbaar was, was Optdeck niet bekend en betekent in feite dat Cruks niet correct functioneert. Optdeck heeft bovendien direct maatregelen getroffen toen bleek dat zij mogelijk spelers had ingeschreven terwijl zij geregistreerd waren in Cruks. Gezien hetgeen bepaald in artikel 5:41 van de Awb en in lijn met jurisprudentie zou de raad van bestuur moeten afzien van het opleggen van een boete aan Optdeck. 28. Tot slot stelt Optdeck dat het opleggen van een boete in strijd zou zijn met de algemene beginselen van behoorlijk bestuur, in het bijzonder het legaliteitsbeginsel, het rechtszekerheidsbeginsel en het evenredigheidsbeginsel. In dat verband voert Optdeck aan dat de uitleg die de Kansspelautoriteit geeft aan artikel 31k, tweede lid, aanhef en onder b, van de Wok en artikel 4.12, eerste en tweede lid van het Bkoa, niet juist is. Verder voert Optdeck aan dat de Kansspelautoriteit beide inschrijvingsprocedures akkoord heeft bevonden toen de vergunning werd verleend en dat zij erop mocht vertrouwen dat de informatie uit Cruks juist is. Een boete is bovendien niet evenredig, gezien het feit dat Cruks niet juist functioneert. Optdeck zou hard worden getroffen door een eventuele boete, aldus Optdeck. ## 5 Juridische beoordeling ## 5.1 De wettelijke bepalingen 29. In artikel 31k, eerste lid van de Wok is vastgelegd dat de houder van een vergunning tot het organiseren van kansspelen op afstand een persoon die niet bij hem als speler is ingeschreven en aangemeld, geen kansspelen op afstand aanbiedt. 2. In het tweede lid, aanhef en onder b, van voornoemd artikel is vastgelegd dat de vergunninghouder een persoon niet inschrijft als speler, dan nadat de identiteit van die persoon is vastgesteld en is vastgesteld dat die persoon niet is opgenomen in Cruks. 3. In het vierde lid van voornoemd artikel is vastgelegd dat de vergunninghouder bij de uitvoering van de voorgaande leden gebruik kan maken van het BSN. In het vijfde lid van voornoemd artikel is vastgelegd dat bij of krachtens algemene maatregel van bestuur nadere regels worden gesteld met betrekking tot de inschrijving en aanmelding als speler. 4. Het Bkoa is de algemene maatregel van bestuur waarnaar verwezen wordt in 30. artikel 31k, vijfde lid, van de Wok. 6. In artikel 4.12, eerste lid, van het Bkoa is vastgelegd dat de vergunninghouder &lt;!-- image --&gt; Kansspelautoriteit Datum 3 december 2024 Ons kenmerk 18052/ 01.330.227 een persoon slechts inschrijft na raadpleging van Cruks. In het tweede lid van dit artikel, is vastgelegd dat raadpleging van het register geschiedt aan de hand van de naam, de voornamen, de geboortedatum en de geboorteplaats van de betrokken persoon, alsmede, voor zover die persoon daarover beschikt, diens burgerservicenummer, zoals die zijn opgenomen op het identiteitsdocument van die persoon. ## 5.2 Beoordeling van de zienswijze ## 5.2.1 Controle aan de hand van BSN is verplicht ## Wettelijk kader is helder 31. In artikel 31k, vierde lid, van de Wok is bepaald dat de vergunninghouder bij de inschrijving of aanmelding van een speler gebruik kan maken van het BSN. Door het gebruik van het woord 'kan', in combinatie met de parlementaire geschiedenis bij deze bepaling, meent Optdeck dat het voor een vergunninghouder optioneel is om te controleren aan de hand van het BSN. 32. Met deze lezing gaat Optdeck in zijn geheel voorbij aan artikel 4.12, tweede lid, van het Bkoa. In deze bepaling is immers vastgelegd dat wanneer een persoon beschikt over een BSN, raadpleging van Cruks geschiedt aan de hand van -onder meer -het BSN. Daarbij is geen sprake van strijd tussen artikel 31k, vierde lid, van de Wok enerzijds en artikel 4.12, tweede lid, van het Bkoa anderzijds. Laatstgenoemde is simpelweg een uitwerking van eerstgenoemde. 3 33. In dit verband wordt verder gewezen op de totstandkomingsgeschiedenis van de Wok en in het bijzonder artikel 31k van de Wok: ' Om een effectief en efficiënt centraal register in te richten, is het noodzakelijk dat de gegevenskwaliteit van het register voldoende is. Opname in het register en toetsing hiertegen vindt daarom plaats op basis van het Burgerservicenummer (BSN). […] Hoge gegevenskwaliteit is essentieel voor de effectiviteit van het register. Het gebruik van het BSN is hiervoor een belangrijk middel. Voorkomen moet worden dat spelers die zijn ingeschreven in het centraal register aan de meer risicovolle kansspelen kunnen deelnemen en nietingeschreven personen ten onrechte van deelname worden uitgesloten. Op dit moment is geen ander minder vergaand middel beschikbaar om een voldoende hoge gegevenskwaliteit en voldoende betrouwbaarheid van gegevens te bewerkstelligen. Weliswaar kan een slechts tot één uniek persoon te herleiden identiteit worden vastgesteld door verschillende persoonsgegevens met elkaar te combineren, maar hierbij is de kans op fouten groter. ' 4 3 Zie TK 2013-2014, 33 996, nr. 3, blz. 106. 4 TK, 2013-2014, 33 996, nr. 3, blz. 53 en blz. 108. &lt;!-- image --&gt; Kansspelautoriteit Datum 3 december 2024 Ons kenmerk 18052/ 01.330.227 ' Aangezien de vergunninghouder personen die zijn opgenomen in het centraal register uitsluiting kansspelen (artikel 33h) niet als speler mag inschrijven en dat register in het belang van de gegevenskwaliteit door hem wordt geraadpleegd aan de hand van het burgerservicenummer van de betrokkene, wordt bij de inschrijving ook dat burgerservicenummer verlangd. Indien de betrokkene daar niet over beschikt, kan het register aan de hand van andere persoonsgegevens worden geraadpleegd. ' 5 34. Het is aldus volstrekt helder dat de Wok en het Bkoa voorschrijven dat wanneer een persoon beschikt over een BSN, raadpleging in Cruks te allen tijde moet geschieden aan de hand van dat BSN. 35. Dat in artikel 31k, vierde lid, van de Wok het woord 'kan' wordt gebruikt, is overigens logisch. De wetgever was immers verplicht een grondslag te creëren voor het gebruik van het BSN. 6 Daarnaast beschikt niet iedereen binnen Nederland over een BSN. Voor personen zonder BSN is daarom de mogelijkheid gecreëerd om Cruks te raadplegen zonder BSN. ## Communicatie eveneens helder 36. Ook anderszins kon en kan geen misverstand bestaan over de verplichting om, wanneer een persoon beschikt over een BSN, Cruks te allen tijde te raadplegen aan de hand van dat BSN. 37. De raad van bestuur wijst in dat verband op de e-mail van 16 november 2021. In dit bericht staat het volgende: ' U bent verplicht om naar het BSN van de spelers te vragen. Dit geldt zowel bij spelers met een Nederlands identiteitsbewijs als met een buitenlands identiteitsbewijs of vreemdelingendocument. Bijna iedereen die langdurig in Nederland verblijft, heeft namelijk een BSN. Als een speler beschikt over een BSN, moet uw eerste raadpleging van Cruks op basis daarvan plaatsvinden. Blijkt bij uw navraag dat een speler écht niet over een BSN beschikt? Bijvoorbeeld omdat het om een buitenlandse toerist gaat? Alleen dan vindt uw raadpleging van Cruks plaats zonder BSN controle. Controleer vandaag nog of uw organisatie werkt zoals hierboven beschreven. Is dit niet het geval? Dan zult u meteen maatregelen moeten nemen. Zoals aanpassingen in uw aanmeldproces en/of de instructies aan uw personeel en/of uw software. 5 TK, 2013-2014, 33 996, nr. 3, blz. 107. 6 Zie TK 2013-2014, 33 996, nr. 3, blz. 74. &lt;!-- image --&gt; De Ksa vertrouwt op uw medewerking in deze, maar kan als u geen gehoor geeft aan deze oproep uiteindelijk handhavend optreden. ' 7 38. Ook deze tekst laat aan duidelijkheid niets te wensen over: bij spelers met een BSN moet gecontroleerd worden aan de hand van het BSN. Dit bericht is aan verschillende partijen gestuurd, waaronder Optdeck en Optdeck betwist ook niet dat zij het bericht heeft ontvangen. Dat Optdeck eerst op 8 juni 2022 een KOA-vergunning heeft gekregen, maakt niet dat zij geen kennis zou hebben kunnen of hoeven nemen van dit bericht nu aan de daarin genoemde verplichting niets is veranderd na het verzenden van dit bericht en Optdeck als vergunninghouder bovendien aan deze verplichting gebonden is. 39. De raad van bestuur wijst tot slot op de informatie die op de website van de Kansspelautoriteit staat. 8 Ook daar is duidelijk vermeld dat alleen als een speler niet beschikt over een BSN, zijn of haar gegevens gecontroleerd kunnen worden zonder BSN. ## 5.2.2 Controleren zonder BSN is een overtreding Overtreding staat vast 40. Optdeck stelt dat zij geen overtreding heeft begaan, omdat zij steeds heeft gecontroleerd of een speler was geregistreerd in Cruks. Bij spelers die beschikken over een BSN, controleerde zij eerst aan de hand van het BSN en daarna, als aanvullende controle, zonder BSN. P as als er geen 'hit' kwam uit Cruks, schreef zij de speler in, aldus Optdeck. 41. Met het voorgaande doet Optdeck geen recht aan hetgeen bepaald in artikel 31k, vierde lid, van de Wok en artikel 4.12, tweede lid, van het Bkoa. Zoals hiervoor omschreven, vergen die bepalingen dat aanbieders bij spelers met een BSN altijd een controle aan de hand van het BSN uitvoeren. Controleren zonder BSN is daarbij geen optie, zo volgt duidelijk uit zowel artikel 4.12, tweede lid, van het Bkoa, als uit alle aanvullende communicatie die hierover heeft plaatsgevonden. 42. In paragraaf 5.2.1 is uitvoerig omschreven dat controle aan de hand van het BSN bij spelers met een BSN verplicht is. Nu de door Optdeck gehanteerde procedure daar niet aan voldeed, mocht en kon Optdeck reeds daarom niet menen dat haar procedure sluitend was. Geen 'hit' is niet relevant Kansspelautoriteit Datum 3 december 2024 Ons kenmerk 18052/ 01.330.227 7 Kenmerk 01.310.369. 8 Zie https://kansspelautoriteit.nl/voor-zakelijke-aanbieders/uitsluitregister/speler-checken-cruks/. &lt;!-- image --&gt; 43. Dat Optdeck geen 'hit' kreeg uit Cruks, ongeacht of zij direct of aanvullend controleerde zonder BSN, maakt het voorgaande niet anders. De enige oorzaak voor het achterwege blijven van een 'hit' bij de getroffen groep spelers is immers de onjuiste procedure die is uitgevoerd door Optdeck. Elke aanbieder heeft de verplichting èn verantwoordelijkheid om Cruks op een juiste wijze te raadplegen. Optdeck heeft hier niet aan voldaan en daardoor is geen hit uit Cruks verkregen. Deze melding kreeg zij overigens ook in meerdere gevallen waarin de desbetreffende speler wel degelijk ingeschreven was in Cruks. ## Advies Netcompany 44. De alternatieve procedure van Optdeck druist verder in tegen het advies van Netcompany. Immers, vanuit Netcompany werd geadviseerd, naar Optdeck stelt, de controles mèt BSN opnieuw uit te voeren. 9 Nu Optdeck willens en wetens dit advies naast zich heeft neergelegd, kon en mocht zij ook op basis van die handelswijze er niet op vertrouwen dat haar alternatieve procedure sluitend was. 45. Over deze alternatieve procedure heeft Optdeck overigens ook nimmer overleg gevoerd met de Ksa. De Ksa is pas na de melding van de speler op 28 juni 2023 op de hoogte geraakt van de werkwijze van Optdeck tijdens het WK 2022. Optdeck zelf heeft eerst op 30 augustus 2023 een melding gedaan. ## 5.2.3 Overtreding kan Optdeck worden tegengeworpen ## Functioneren Cruks staat niet ter discussie 46. Optdeck heeft meermaals gewezen op een -naar gesteld -groot aantal foutmeldingen. Deze foutmeldingen duiden erop dat Cruks niet naar behoren functioneert. Dat volgt ook uit het advies van Netcompany waarin werd gesignaleerd dat er storingen bij Beheersvoorziening BSN dan wel de Rijksdienst voor Identiteitsgegevens aan de foutmeldingen ten grondslag lagen. Uitsluitend vanwege die foutmeldingen is Optdeck gekomen tot haar alternatieve werkwijze, aldus Optdeck. 47. Of Cruks al dan niet naar behoren functioneert, is niet van belang bij het beantwoorden van de vraag of in dit geval sprake is van een overtreding. Zoals hiervoor reeds uiteengezet, is iedere aanbieder van online kansspelen verplicht om controles in Cruks uit te voeren aan de hand van het BSN bij spelers met een BSN. De norm in artikel 4.12, tweede lid, van het Bkoa is dus glashelder en daarin is geen ruimte gelaten om factoren zoals het algemene functioneren van Cruks mee te wegen. 48. Optdeck heeft overigens niet inzichtelijk gemaakt om hoeveel foutmeldingen het concreet ging in relatie tot het totaal aantal inschrijvingen over een specifieke 9 Zie de brief van Optdeck van 4 september 2023, met kenmerk 01.296.766. &lt;!-- image --&gt; periode of waar deze foutmeldingen door veroorzaakt werden. Zij heeft slechts in algemene termen gesteld dat Cruks niet naar behoren functioneert. Indien Optdeck van mening was dat zich een storing in Cruks voordeed, dan had zij zich kunnen en moeten melden bij de Kansspelautoriteit. Dat heeft zij ten tijde van belang nagelaten. Daarnaast heeft Optdeck zich ten tijde van belang of naderhand niet gemeld bij de Kansspelautoriteit met de door haar gehanteerde, afwijkende procedure. Ook om die reden meent de raad van bestuur dat de stellingen van Optdeck op dit punt niet slagen. 49. Optdeck verwijst tot slot in haar schriftelijke zienswijze naar artikel 11, zesde lid, van het Besluit werving, reclame en verslavingspreventie kansspelen (hierna: Bwrvk). Deze bepaling ziet op aanbieders van landgebonden kansspelen. Voor aanbieders van online kansspelen is een voorziening getroffen in artikel 4.18, derde lid, van het Bkoa, voor zover het gaat om aanmeldingen van (reeds bij de aanbieder ingeschreven) spelers. Van een situatie als bedoeld in artikel 4.18, derde lid, van het Bkoa, is bovendien geen sprake nu zich ten tijde van belang geen technische storingen hebben voorgedaan. 50. Kansspelen op afstand hebben bijzondere risico's. 10 Zij zijn laagdrempelig, hebben een (zeer) hoog speeltempo en er ontbreekt fysiek contact tussen de aanbieder en de speler. Als gevolg van kansspelverslaving kunnen zich naast financiële, onder meer ook ernstige psychische, sociale en lichamelijke problemen voor doen, zoals agressie, arbeidsproblemen, relatieproblemen en criminaliteit. Het register biedt een effectieve mogelijkheid om risico- en probleemspelers te beschermen tegen kansspelverslaving. Met een inschrijving kunnen spelers voldoende afstand behouden tot zulke risicovolle kansspelen en hun daadwerkelijke speelgedrag onder controle houden. Alleen als een vergunninghouder bij iedere inschrijving en aanmelding van een speler het register op de juiste wijze raadpleegt en inschrijvingen en aanmeldingen slechts toestaat als die speler niet in het register is ingeschreven, kan voorkomen worden dat een ingeschreven speler deelneemt en kan het belang van kansspelverslavingspreventie worden gewaarborgd. Optdeck heeft dat belang ondermijnd door inschrijvingen van spelers toe te staan zonder het register op juiste wijze te raadplegen. Financiële compensatie kan daar niets aan afdoen. ## 5.2.4 Geen strijd met enig algemeen beginsel van behoorlijk bestuur 51. Voor zover Optdeck meent dat het opleggen van een boete in strijd zou zijn met enig algemeen beginsel van behoorlijk bestuur, overweegt de raad van bestuur als volgt. 10 Kamerstukken II , 2013/14, 33996, nr. 3 ( MvT ), p. 6-7, 12. &lt;!-- image --&gt; ## Geen strijd met legaliteits- of rechtszekerheidsbeginsel 52. Zoals hiervoor al uitvoerig beschreven, is de raad van bestuur van mening dat de wet- en regelgeving op dit punt glashelder is. Van strijd met het legaliteitsbeginsel of het rechtszekerheidsbeginsel kan daarom geen sprake zijn. Daarbij is Optdeck bovendien op verschillende manieren nogmaals geattendeerd op de wijze waarop controle in Cruks plaats moet vinden. Zie randnummers 30-37. 53. Dat Optdeck in haar vergunningaanvraag heeft beschreven dat controle aan de hand van het BSN of andere gegevens plaats kan vinden, maakt het voorgaande niet anders. Ten eerste doet een vergunningaanvraag niet af aan de eigen verantwoordelijkheid van iedere aanbieder om overeenkomstig de Wok en onderliggende regelgeving te handelen en te blijven handelen. Ten tweede is het, zoals hiervoor reeds uiteengezet onder randnummer 33 mogelijk dat spelers géén BSN-nummer hebben en uitsluitend om die reden kan afgeweken worden van de regel dat controle aan de hand van (onder meer) het BSN dient plaats te vinden. Dat een vergunninghouder zonder BSN kan controleren of een speler zonder BSN is ingeschreven in Cruks en deze procedure heeft beschreven in zijn vergunningaanvraag, is dientengevolge niet meer dan logisch. ## Geen strijd met evenredigheidsbeginsel 54. Onder verwijzing naar de uitspraak van de Afdeling Bestuursrechtspraak van de Raad van State van 2 februari 2022 meent Optdeck dat het opleggen van een boete niet evenredig zou zijn. 11 55. In de desbetreffende uitspraak heeft de Afdeling overwogen dat noodzakelijkheid, geschiktheid en de evenwichtigheid van belang kunnen zijn bij de toetsing aan artikel 3:4, tweede lid, van de Awb, waarin het evenredigheidsbeginsel is neergelegd. 12 Optdeck stelt dat het opleggen van een boete niet geschikt of noodzakelijk is omdat zij steeds naar beste kunnen heeft gehandeld. Verder zou het opleggen van een sanctie niet evenwichtig zijn vanwege het functioneren van Cruks en de nadelige gevolgen van een boete voor Optdeck. 56. De raad van bestuur stelt vast dat de toets ten aanzien van het opleggen van een bestuurlijke boete al langer op de wijze, zoals hierna in voorzien, wordt uitgevoerd en dat de door Optdeck aangehaalde uitspraak dit niet anders maakt. Ten aanzien van de geschiktheid en noodzakelijkheid merkt de raad van bestuur op dat hij op grond van artikel 35a van de Wok bevoegd is tot het opleggen van een boete wegens overtreding van artikel 31k, tweede lid, van de Wok en artikel 11 ECLI:NL:RVS:2022:285 (Harderwijk). 12 Zie r.o. 7.8. Kansspelautoriteit Datum 3 december 2024 Ons kenmerk 18052/ 01.330.227 &lt;!-- image --&gt; - 4.12, tweede lid, van het Bkoa. De raad van bestuur heeft vervolgens beleidsruimte bij het opleggen van een boete. Het enkele feit dat ook een andere maatregel opgelegd zou kunnen worden, maakt niet dat niet gekozen zou kunnen worden voor een boete. Gezien de ernst van de overtreding en de mate van verwijtbaarheid, zoals omschreven in paragrafen 7.2 en 7.3 van dit besluit, is het opleggen van een boete in dit geval naar het oordeel van de raad van bestuur passend en geboden. 57. Dat er voor een overtreder nadelige gevolgen aan een boete kunnen zitten, is evident en tot op zekere hoogte zelfs beoogd. De raad van bestuur wijst in dat verband op artikel 5:2, eerste lid, aanhef en onder a, van de Awb. Dat Optdeck reputatieschade zou kunnen ondervinden, of last zou kunnen krijgen van spelers die vaker klagen, maakt niet dat de gevolgen van een boete voor haar dusdanig nadelig zouden zijn, dat daarom van een boete zou moeten worden afgezien. Optdeck heeft haar stellingen hierover ook niet onderbouwd. Er is evenmin reden om het functioneren van Cruks in deze afweging te betrekken nu Optdeck ook op dat punt blijft hangen in algemeenheden en de raad van bestuur het door Optdeck geschetste beeld niet herkent. De raad van bestuur meent dan ook dat het opleggen van een boete in dit geval evenwichtig is. ## 6 Overtreder 58. De Kansspelautoriteit heeft aan Optdeck een vergunning tot het organiseren van kansspelen op afstand verleend. Optdeck biedt kansspelen op afstand aan via de website www.unibet.nl en via verschillende apps. Optdeck was in de periode van 22 november 2022 tot en met 30 januari 2023 verantwoordelijk voor het inschrijven van spelers zonder sluitend en deugdelijk te controleren of zij waren geregistreerd in Cruks. Gelet hierop concludeert de raad van bestuur dat Optdeck artikel 31k, tweede lid, van de Wok en artikel 4.12, tweede lid, van het Bkoa heeft overtreden. ## 7 Bestuurlijke boete ## 7.1 Algemeen 59. De Kansspelautoriteit is op grond van artikel 35a van de Wok bevoegd een boete op te leggen voor deze overtreding en stelt zich in deze op het standpunt dat een bestuurlijke boete recht doet aan de overtreding. &lt;!-- image --&gt; 60. Bij de vaststelling van de boete houdt de Kansspelautoriteit op grond van artikel 5:46, tweede lid, van de Awb rekening met de ernst van de overtreding en de mate waarin deze aan de overtreder kan worden verweten. Zo nodig houdt de Kansspelautoriteit rekening met de omstandigheden waaronder de overtreding is gepleegd. 61. Op grond van artikel 3:4, tweede lid, van de Awb neemt de Kansspelautoriteit bij het bepalen van de hoogte van de boete het evenredigheidsbeginsel in acht. Op grond van deze bepaling mogen de voor één of meer belanghebbenden nadelige gevolgen van een besluit niet onevenredig zijn in verhouding tot de met het besluit te dienen doelen. Als algemene maatstaf geldt daarbij dat de hoogte van de boete zodanig dient te zijn dat deze de overtreder weerhoudt van nieuwe overtredingen (speciale preventie) en ook in algemene zin voor andere (potentiële) overtreders een afschrikkende werking heeft (generale preventie). 62. Op welke manier de ernst en verwijtbaarheid van de overtreding worden meegewogen bij het opleggen van de boete, wordt hierna toegelicht. ## 7.2 Ernst van de overtreding 63. Bij de beoordeling van de ernst van de overtreding door Optdeck acht de raad van bestuur met name de volgende omstandigheden van belang. 64. Vergunde aanbieders van online kansspelen zijn aan tal van wettelijke voorschriften en voorwaarden gebonden waarop door de raad van bestuur toezicht wordt gehouden. Die voorschriften en voorwaarden zorgen ervoor dat de Nederlandse speler op een veilige en verantwoorde manier kan deelnemen aan online kansspelen. Het bestrijden en voorkomen van kansspelverslaving is hiervan een wezenlijk onderdeel en van groot belang. Een belangrijk onderdeel van de verslavingspreventie is het register. Het register stelt personen in staat zichzelf of anderen van deelname van de meer risicovolle kansspelen op afstand, in speelcasino's en speelhallen, uit te (laten) sluiten. Het register stelt ingeschreven personen in staat om voldoende afstand tot het spel te behouden, hun daadwerkelijke speelgedrag onder controle te krijgen, verandering in hun speelgedrag bewerkstelligen en ruimte voor eventuele verslavingsbehandeling te scheppen. Met de uitsluiting van deelname aan risicovolle kansspelen kan onder meer het risico op een snelle terugval voorkomen worden. 65. Het register is effectief wanneer vergunninghouders de toepassing, registratie en naleving van uitsluitingen van risicovolle kansspelen op de juiste wijze uitvoeren. Van vergunninghouders wordt en mag worden verwacht dat zij zich aan de &lt;!-- image --&gt; Kansspelautoriteit Datum 3 december 2024 Ons kenmerk 18052/ 01.330.227 - voorschriften en voorwaarden houden. Het negeren daarvan ondermijnt het belang bij het bestrijden en voorkomen van kansspelverslaving. Immers, wanneer een vergunninghouder de inschrijvingen van spelers toestaat terwijl hij het register niet op de juiste wijze raadpleegt, krijgen spelers niet de bescherming van het register teneinde voldoende afstand tot het spel te behouden, verandering in hun speelgedrag te bewerkstelligen en ruimte voor eventuele verslavingszorg te nemen, met alle mogelijke gevolgen van dien. In dit verband wijst de Kansspelautoriteit op de uitspraak van de rechtbank Den Haag van 23 mei 2024. 13 66. Daarbij is ook van belang dat in dit geval short odd-kansspelen werden aangeboden, namelijk online sportweddenschappen en online casinospelen. Uit de (wetenschappelijke) literatuur is bekend dat bij short odd-kansspelen meer verslaafde spelers te vinden zijn dan bij long odd-kansspelen, zoals loterijen. Bij short odd-kansspelen speelt verslavingsproblematiek derhalve een extra rol van betekenis. 67. De raad van bestuur verwijst daarbij ter illustratie naar de uitspraak van de Afdeling van 22 februari 2017, waarin overwogen wordt: ' Naast het feit dat er geen direct contact is tussen de consument en de marktdeelnemer, vormen de zeer gemakkelijke en permanente toegang tot kansspelen die op internet worden aangeboden, alsook de potentieel grote omvang en hoge frequentie van het betrokken internationale aanbod, in een omgeving die bovendien wordt gekenmerkt door het isolement van de speler, een klimaat van anonimiteit en het ontbreken van sociale controle, evenzoveel factoren die een toename van gokverslav</t>
  </si>
  <si>
    <t>KSA__https___kansspelautoriteit.nl_sites_default_files_18052_01-330-227_sanctiebesluit_optdeck-ov.txt::Rechtshandeling</t>
  </si>
  <si>
    <t>legt [37638:37642]</t>
  </si>
  <si>
    <t>[...] speler met een BSN het register te raadplegen aan de hand van dat BSN en daardoor aanmeldingen van spelers toe te staan terwijl niet correct was vastgesteld dat die spelers niet waren ingeschreven in het register; - b. legt aan Optdeck Service Limited een boete op van € 400.000,-. 's -Gravenhage, 3 december 2024 De raad van bestuur van de Kansspelautoriteit, w.g. mr. drs. M.C.J. Groothuizen voorzitter VERZONDEN OP 5 december [...]</t>
  </si>
  <si>
    <t>KSA__https___kansspelautoriteit.nl_sites_default_files_18052_01-330-227_sanctiebesluit_optdeck-ov.txt::Rechtsobject</t>
  </si>
  <si>
    <t>boete [37675:37680]</t>
  </si>
  <si>
    <t>[...] adplegen aan de hand van dat BSN en daardoor aanmeldingen van spelers toe te staan terwijl niet correct was vastgesteld dat die spelers niet waren ingeschreven in het register; - b. legt aan Optdeck Service Limited een boete op van € 400.000,-. 's -Gravenhage, 3 december 2024 De raad van bestuur van de Kansspelautoriteit, w.g. mr. drs. M.C.J. Groothuizen voorzitter VERZONDEN OP 5 december 2024 Bezwaar ## OPENBAAR Kan [...]</t>
  </si>
  <si>
    <t>www,  provincie.drenthe.nl
Aan:
&lt;!-- image --&gt;
## tl,htll,l,l,tthl,tht,t,tl,tlt,ht
Assen, 25  juni  2024 Ons kenmerk  261 4.612O24000905
Behandeld  door de
(0592)
&lt;!-- image --&gt;
Onderwerp:  Verlening subsidie bedrijfstransitie naar Mammoetgras
Geachte
,
&lt;!-- image --&gt;
Op 13 februari 2024 ontvingen  wij uw subsidieaanvraag. U vraagt  een subsidie  aan van € 100.000,-- voor de transitie in uw bedrijfsvoering naar de teelt van mammoetgras. ln deze brief leest u ons besluit.
## U ontvangt  een subsidie van € 100.000,-
Dit is de subsidie  die wij u verlenen. U ontvangt  de subsidie  voor de activiteiten  die voortvloeien uit de transitie  van de bedrijfsvoering  van melkveebedrijf  naar een akkerbouwbedrijf  gericht  op de teelt van mammoetgras.
## U ontvangt  een voorschot van € 80.000,-
De subsidie  ontvangt  u in een aantal  delen.  Het eerste bedrag  maken wij binnen vier weken over naar uw . Wijvermelden  er het kenmerk van deze brief bij. Bij de vaststelling  van de subsidie kunt u, na beoordeling  van uw aanvraag tot vaststelling, het restantbedrag  ontvangen.
## Activiteiten
Met de transitie  naar een akkerbouwbedrijf  zijn zowel  desinvesteringen als nieuwe  investeringen gemoeid. Onze subsidie  dient ingezet te worden voor de nieuwe  investeringen  en activiteiten  rond de transitie  van het melkvee- naar het akkerbouwbedrijf.
## Met deze subsidie voert u de volgende activiteiten uit:
1. de teelt van mammoetgras
U plant circa 100 ha. mammoetgras,  waardoor  jaarlijks  ongeveer  2.500  ton geoogst  wordt. Hiermee  doet u ervaring,  vakmanschap en deskundigheid  op die benut kan worden door andere  telers in de provincie  Drenthe.  Daarnaast  werkt u samen met andere  (toekomstige)  telers in de omgeving zodat  de investeringen  in kennis, inventaris,  machines  en werktuigen  efficiënter  en effectiever benut  kunnen worden.
&lt;!-- image --&gt;
&lt;!-- image --&gt;
&lt;!-- image --&gt;
## 2. de bewerking  van mammoetgras
&lt;!-- image --&gt;
Mammoetgras  is als geoogst product een volumineus product.  Om een efficiënte verwerkingsketen  op te zetten,  gaat u het geoogste  gewas  te bewerken  en te persen.  Het bewerken  van het product  door middelvan  zeven en persen  is voor een efficiënte  biobased  keten  een belangrijke  noodzakelijke  stap en bespaard transportkosten.  Daarmee  zorgt het voor een efficiënte  keten.  Doel is om een volledig CO2-neutraal  productieproces  op te zetten  en palletkorrels  met een zeer hoge calorische  waarde  te produceren. Een bijkomend  positief  effect is dat de productie  van het mammoetgras  70.000  kg stikstof per hectare kan binden en op bedrijfsniveau  jaarlijks  ruim 12,2 mln kg CO2-equivalenten  aan emissie  wordt  voorkomen.
U geeft  uitvoering  aan bovenstaande  activiteiten  door investeringen in gebouwen en opslag, inventaris,  machines  en plantmateriaal. U doet dit in het kader van de transitie van uw melkveebedrijf  naar een akkerbouwbedrijf.  Uw subsidieaanvraag is de basis voor deze omschrijving.
Met deze transitie  wordt  gewerkt aan de ontwikkeling  van nieuwe ketens van biobased materialen,  onder  andere voor toepassing in de isolatie  en verduurzaming van woningen,  De kennis en ervaring  die wordt opgedaan  zien wijgraag  gekoppeld  worden aan afnemers  die op zoek zijn naar biobased  grondstoffen. De provincie  wil daar graag  in ondersteunen.
Met deze subsidie  ondersteunen  wij uw pilot. Wijverwachten  dat u met ons deze pilot evalueert  op wat de teelt kan betekenen  voor de economie:  wat kan het bijdragen  aan het verdienvermogen  en de ontwikkeling  van nieuwe  ketens voor biobased  materialen, maar ook voor landschap  en milieu: wat kan het bijdragen  aan de opgaven  voor klimaat,  bodem, water, landschap  en biodiversiteit.
## Uw subsidie hebben wij als volgt berekend
De subsidie  bedraagt  4,8Yo  van de subsidiabele  kosten  uit uw begroting.  De kosten die voor de subsidie  in aanmerking komen zijn:
| Soort kosten               | Kosten begroting (€)   | Verleende subsidie (€)   |
|----------------------------|------------------------|--------------------------|
| lnventaris en inrichting   | 747.345,00             |                          |
| Machines en werktuigen     | 760.500,00             |                          |
| Voeropslagen               | 454.500,00             |                          |
| Loodsen                    | 150.000,00             |                          |
| Totale subsidiabele kosten | 2.1',12.345,O0         | í00.000,00               |
## Subsidieverplichtingen
Aan de subsidie  zijn de volgende  verplichtingen  verbonden:
- -u voert de activiteiten  uit in de periode van 1 maart 2024 tot en met 28 februari  2025;
- -u meldt het ons als u de activiteiten anders of niet gaat uitvoeren U doet deze melding  binnen twee weken nadat u het weet. U doet deze melding schriftelijk  via subsidieloket@drenthe.nl. Deze melding  is voor u van belang. Als u de activiteiten  niet, niet helemaal  of anders uitvoert dan in uw aanvraag  en deze brief is genoemd,  kan de subsidie  lager worden  vastgesteld  of worden ingetrokken
/- U moet dan een bedrag aan ons terugbetalen. Daarnaast  doet u melding  als u niet voldoet  aan de subsidieverplichtingen en in gevallen als bedoeld  in artikel 16, tweede  lid van de Algemene subsidieverordening provincie  Drenthe  2023;
- Bij een eventuele  controle kunt u aantonen  dat u de activiteiten  hebt uitgevoerd en de kosten  hebt gemaakt. Dat kan bijvoorbeeld  blijken  uit bewaarde  rekeningen, bonnen, een urenadministratie  of andere  gebruikelijke manieren  om activiteiten, kosten of tijdsbesteding helder te maken.  U bewaart  deze minimaal zeven  jaar na
- u zorgt voor een goede administratie het einde van de projectperiode;
- u dient vóór  31 mei 2025 een aanvraag  ÍoÍ vasfsfelling  in
- U stuurt deze aanvraag naar subsidieloket@drenthe.nl. Uw aanvraag  tot vaststelling  bestaat  uit een inhoudelijk  verslag,  waaruit blijkt dat de activiteiten waarvoor  de subsidie is verleend zijn uitgevoerd  en is voldaan  aan de subsidieverplichtingen.  Ook stuurt  u een kostenverantwoording mee waaruit blijkt wat de werkelijk  gemaakte subsidiabele kosten zijn van de activiteiten.  Als u de activiteiten hebt uitgevoerd  en aan de subsidieverplichtingen heeft voldaan,  stellen wij de subsidie vast op 4,8o/o van de werkelijk gemaakte  subsidiabele kosten,  met als maximum  het verleende subsidiebedrag.  Zorgt u ervoor dat wij uw aanvraag tot vaststelling op tijd ontvangen. Hiermee voorkomt u dat wij uw subsidie  ambtshalve moeten vaststellen. Hierdoor  wordt  de subsidie in veel gevallen  lager of op nihil vastgesteld. De ontvangen  voorschotten moet u dan terugbetalen.
## Staatssteun
Voor uw aanvraag hebben wij gekeken  of er sprake is van staatssteun.  Dit is bij u het geval  omdat  uw onderneming door middel van staatsmiddelen selectief wordt gesteund  en er door het project  een verstoring  van de interne  markt  kan zijn. Deze steun valt onder werking  van de Landbouwvrijstellingsverordening (LW). Specifiek  gaat het hier om steun voor met de primaire  landbouwproductie  verband houdende  investeringen  op landbouwbedrijven (artikel 14 LW). Op basis van dit artikel  kan het maximale steunbedrag  worden bepaald  op 80% van de in aanmerking  komende  kosten (artikel 14, lid 3, onder  e en lid 12, onder  a LW). De totale in aanmerking  komende kosten  bedragen  €2.112.345,00. De door ons verleende subsidie  van € 100.000,bedraagt  daarmee  4,8o/o  vàn  de maximaal toegestane staatssteun.  Uw subsidie is daarmee  toegestane staatssteun. De steun wordt binnen twintig dagen na de steunverlening kennisgegeven bij de Europese  Commissie.
## Een vergunning nodig?
Misschien  hebt u voor de uit te voeren  activiteiten nog een vergunning  of andere vorm van toestemming nodig,  mogelijk  zelfs van ons. Deze subsidie  staat geheel los van het krijgen van die vergunning die u nodig hebt voor uw activiteiten.  Daarvoor  gelden namelijk  andere regels.
## Steekproefcontrole
Naast de beoordeling  van uw aanvraag  tot vaststelling kunnen wij deze subsidie ook controleren. De steekproefcontroles hebben tot doel misbruik  en onregelmatigheden van subsidiegelden  tegen te gaan.  Wij controleren of de subsidie  rechtmatig  en doelmatig  is besteed  en of u hebt voldaan  aan de aan de subsidie  verbonden  verplichtingen. lndien wij misbruik  of onregelmatigheden constateren  loopt u het risico dat de subsidie  geheel of gedeeltelijk teruggevorderd  wordt.  Het is zeer belangrijk  dat u bewijsstukken bewaart  en eventuele  wijzigingen op tijd aan ons meldt.
## Juridisch kader
Voor dit besluit  gelden:
- -de Algemene  subsidieverordening provincie  Drenthe  2023
- -de Algemene  wet bestuursrecht
- -de Verordening  (EU) nr. 202212472  van de Europese  Commissie van 14 december 2022,waarbij  bepaalde  categorieën steun  in de landbouw-  en de bosbouwsector en in plattelandsgebieden  op grond van de artikelen 107 en 108 van het Verdrag betreffende  de werking  van de Europese  Unie met de interne  markt verenigbaar worden  verklaard  (LW (PbEU 2022,L32711)).
## Communicatie
Wij vragen u, of u in uw communicatie  over het project wilt vermelden  dat het project mede mogelijk  gemaakt  wordt door de Provincie  Drenthe.  Daarnaast  vragen  wij u de opgedane  ervaring  actief te communiceren met andere belangstellende  landbouwbedrijven,  bijvoorbeeld  middels  open dagen,  informatiebijeenkomsten, artikelen  in vakbladen etc.
## Openbare  informatie over uw subsidie
De naam van de aanvrager,  de naam van het project of de korte omschrijving  van de activiteiten,  het verstrekte  subsidiebedrag  en het zaaknummer nemen wij op in het subsidieregister  op onze website. Daarnaast  publiceren  wij de volledige subsidiebeschikking  op onze website. Dit doen wij omdat dit een algemene  verplichting is van de LW. De subsidiebeschikking  wordt ook gepubliceerd  op de website  van de Europese Commissie.  Namen van personen  worden niet genoemd.
## Hebt u vragen?
Als u vragen hebt, neem dan contact  op met ,  telefoonnummer (0592) .
&lt;!-- image --&gt;
Wijwensen u veel succes  toe met de uitvoering  van uw bedrijfstransitie  en de activiteiten.
## Hoogachtend
Gedeputeerde  Staten van Drenthe,
&lt;!-- image --&gt;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 provi ncie.  d renthe. nl/bezwaarproced ure.
voorzitter
secretaris
&lt;!-- image --&gt;</t>
  </si>
  <si>
    <t>Aan: Stichting Veenomenaal Veenpark t.a.v. het bestuur Berkenrode 4
7884 TR  BARGER-COMPASCUUM
&lt;!-- image --&gt;
Assen, 17 november 2023 Ons kenmerk 202301501-01098203
Behandeld door
Verplichtingennummer 82942
Onderwerp: Verlening subsidie activiteiten boekjaar 2024 Veenpark
## Geacht bestuur,
Op 23 september 2023 ontvingen wij uw subsidieaanvraag voor de professionalisering van het Veenpark in 2024. Net zoals vorig jaar ontvangt u van ons twee brieven met uw subsidietoekenning omdat wij het deel van uw subsidie dat uit rijksgelden bestaat, afzonderlijk moeten verantwoorden aan het ministerie.
## U ontvangt een subsidie van € 79.255,00
Dit is de subsidie die wij u verlenen. U ontvangt de subsidie voor de uitvoering van uw activiteitenplan 2024.
## U ontvangt een voorschot van € 79.255,00
Het subsidiebedrag maken wij in januari 2024 over naar uw . Wij melden er het kenmerk van deze brief bij.
## Activiteiten
Met deze subsidie voert u de volgende activiteiten uit:
1. de organisatie is eind 2024 gereed conform de afspraken die gemaakt zijn om toe te kunnen treden tot museum van provinciaal belang. (onder andere nieuwe directeur, Raad van Toezicht, conform de onderdelen in de planning: Governance en Directie;.
2. het meerjarenbeleidsplan/masterplan is in het eerste kwartaal van 2024 gereed;
3. het museum voldoet aan de voorwaarden voor het indienen van de aanvraag voor museumregistratie (met daarin de onderdelen personeelszorg, collectiebeheer, registratie en ontsluiting, het depot, en het publiek);
Bij correspondentie verzoeken wij u het zaaknummer 202301501 te vermelden.
4. publiek: aanpassingen op gebied van toegankelijkheid, analyse openstelling, afronding laatste fase presentatie/plan voor publieke tentoonstellingen;
5. educatie: samenwerking met externe partners zoals Stichting Kunst en Cultuur Drenthe aan het educatiebeleidsplan, ontwikkeling schoolprogramma o.a. energie in het veen, uitbreiding van schoolprogramma's naar het voortgezet onderwijs;
6. marketing en communicatie: gerichte acties op de Duitse markt, online marketing, samenwerking met Drentse vakantieparken, professionalisering van klantbehoud en beleving;
7. samenwerkingsovereenkomst stichting en BV: realisatie van fysieke scheiding tussen de stichting en de BV.
Uw subsidieaanvraag is de basis voor deze omschrijving. U voert de activiteiten uit in de periode van 1 januari 2024 tot en met 31 december 2024.
## Subsidieverplichtingen
Aan de subsidie zijn de volgende verplichtingen verbonden:
- -
- U meldt het ons als u de activiteiten anders of niet gaat uitvoeren
- U doet deze melding binnen twee weken nadat u het weet. U doet deze melding schriftelijk via subsidieloket@drenthe.nl. Deze melding is voor u van belang. Als u de activiteiten niet, niet helemaal of anders uitvoert dan in uw aanvraag en deze brief is genoemd, kan de subsidie lager worden vastgesteld of worden ingetrokken. U moet dan een bedrag aan ons terugbetalen. Daarnaast doet u melding als u niet voldoet aan de subsidieverplichtingen en in gevallen als bedoeld in artikel 16, tweede lid van de Algemene subsidieverordening provincie Drenthe 2023.
- -U zorgt voor een goede administratie Bij een eventuele controle kunt u aantonen dat u de activiteiten heeft uitgevoerd en de kosten heeft gemaakt. Dat kan bijvoorbeeld blijken uit bewaarde rekeningen, bonnen, een urenadministratie of andere gebruikelijke manieren om activiteiten, kosten of tijdsbesteding helder te maken. U bewaart deze minimaal zeven jaar na het einde van de projectperiode.
- -U dient vóór 1 mei 2025 een aanvraag tot vaststelling in U stuurt deze aanvraag naar subsidieloket@drenthe.nl. Uw aanvraag tot vaststelling bestaat uit een inhoudelijk verslag, waaruit blijkt dat de activiteiten waarvoor de subsidie is verleend zijn uitgevoerd en is voldaan aan de subsidieverplichtingen. Ook stuurt u een jaarrekening mee waaruit blijkt wat de werkelijk gemaakte subsidiabele kosten zijn van de activiteiten. Als u de activiteiten heeft uitgevoerd en aan de subsidieverplichtingen heeft voldaan, stellen wij de subsidie vast op het verleende subsidiebedrag. Zorgt u ervoor dat wij uw aanvraag tot vaststelling op tijd ontvangen. Hiermee voorkomt u dat wij uw subsidie ambtshalve moeten vaststellen. Hierdoor wordt de subsidie in veel gevallen lager of op nihil vastgesteld. De ontvangen voorschotten moet u dan terugbetalen.
## Staatssteun
Voor uw aanvraag hebben wij gekeken of er sprake is van staatssteun. Dit is bij u het geval, omdat uw onderneming door middel van staatsmiddelen selectief wordt gesteund en er door het project een verstoring van de interne markt kan zijn. Deze steun valt onder de werking van de AGVV. In het bijzonder onder de vrijstellingscategorie voor steun voor cultuur en instandhouding van het erfgoed (Hoofdstuk III Deel 11, artikel 53 van de AGVV), meer specifiek exploitatiesteun. De in aanmerking komende kosten kunnen voor maximaal 80% worden gesubsidieerd. De totale kosten voor de exploitatie van het Veenpark voor het jaar 2023 bedragen € 227.169,00. Er wordt aan de provincie Drenthe een cumulatief subsidiebedrag gevraagd van € 154.255,00 (de begrotingssubsidie en de SPUK-gelden). De steunintensiteit bedraagt hiermee 67,8%, waarmee het onder de maximale steunintensiteit blijft. Uw project voldoet aan de gestelde voorwaarden voor deze steun en aan de algemene bepalingen van de AGVV. De te verlenen subsidie heeft een stimulerend effect in de zin van voornoemde verordening van de Europese Commissie. Daarmee kan de subsidie geoorloofd worden verleend. Wij geven van de verlening van deze subsidie, overeenkomstig de desbetreffende bepalingen van de AGVV, binnen 20 werkdagen na dagtekening van beide beschikkingen kennis aan de Europese Commissie. Ten behoeve van deze kennisgeving publiceren wij de aan u toegezonden beschikkingen op onze websites. Betaling van de subsidie sluiten wij uit, indien zou blijken dat de aan uw onderneming verleende steun onrechtmatig is en onverenigbaar is verklaard met de interne markt.
## Een vergunning nodig?
Misschien heeft u voor de uit te voeren activiteiten nog een vergunning of andere vorm van toestemming nodig, mogelijk zelfs van ons. Deze subsidie staat geheel los van het krijgen van die vergunning die u nodig heeft voor uw activiteiten. Daarvoor gelden namelijk andere regels.
## Steekproefcontrole
Naast de beoordeling van uw aanvraag tot vaststelling kunnen wij deze subsidie ook controleren. De steekproefcontroles hebben tot doel misbruik en onregelmatigheden van subsidiegelden tegen te gaan. Wij controleren of de subsidie rechtmatig en doelmatig is besteed en of u heeft voldaan aan de aan de subsidie verbonden verplichtingen. Indien wij misbruik of onregelmatigheden constateren loopt u het risico dat de subsidie geheel of gedeeltelijk teruggevorderd wordt. Het is zeer belangrijk dat u bewijsstukken bewaart en eventuele wijzigingen op tijd aan ons meldt.
## Juridisch kader
Voor dit besluit gelden:
- -Verordening (EU) Nr. 651/2014 van de Commissie van 17 juni 2014, waarbij bepaalde categorieën steun op grond van de artikelen 107 en 108 van het Verdrag met de interne markt verenigbaar worden verklaard, Algemene Groepsvrijstellingsverordening (AGVV (PbEU L187/1))
- -Algemene wet bestuursrecht
- -Algemene subsidieverordening provincie Drenthe 2023
- -Statenstuk 2023-217, Begroting 2024
## Communicatie
Wij vragen u, of u in uw communicatie over het project wilt vermelden dat het project mede mogelijk gemaakt wordt door de Provincie Drenthe.
## Openbare informatie over uw subsidie
De naam van de aanvrager, de naam van het project of de korte omschrijving van de activiteiten, het verstrekte subsidiebedrag en het zaaknummer nemen wij op in het subsidieregister op onze website. Namen van personen worden niet genoemd.
## Iedereen moet mee kunnen doen
Ieder mens heeft dezelfde rechten. Daarom vindt de provincie Drenthe het van belang dat er aandacht is voor kwetsbare groepen in onze samenleving. Deze mensen staan ondanks de inzet van vele organisaties grotendeels nog steeds aan de zijlijn. Onder deze groep verstaan we onder andere mensen met beperkingen, LHBTI'ers en laaggeletterden. Wij vragen u, als onze subsidierelatie dan ook het thema 'Toegankelijkheid en inclusie' ook in 2024 op de agenda te zetten en hieraan zoveel mogelijk invulling te geven bij al uw activiteiten.
## Cultuurnota 2021-2024
Wij wijzen u er op dat 2024 het laatste jaar is dat er middelen binnen de nota voor uw museum zijn gereserveerd. Toekomstig nieuw beleid kan ertoe leiden dat er na het jaar 2024 wijzigingen plaats vinden in de subsidiemogelijkheden voor uw organisatie.
## Cultuurnota 2025-2028
Het proces voor de Cultuurnota 2025-2028 is september 2023 gestart. Tijdens het proces zal het culturele veld ook betrokken worden. Provinciale Staten verwachten rond de zomer 2024 een definitief besluit te nemen over de Cultuurnota 2025-2028 en het reserveren van subsidiegelden voor instellingen.
## Heeft u vragen?
&lt;!-- image --&gt;
Als u vragen heeft neem dan contact op met
Hoogachtend,
Gedeputeerde Staten van Drenthe, namens dezen,
Themamanager a.i. Inkoop &amp;amp; Subsidies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t>
  </si>
  <si>
    <t>KSA__https___kansspelautoriteit.nl_sites_default_files_20230228_01-285-044_lod_openbare_versie_beveiligd.txt::Besluitvormend Orgaan</t>
  </si>
  <si>
    <t>Aan: Stichting Veenomenaal Veenpark t.a.v. het bestuur Berkenrode 4 7884 TR  BARGER-COMPASCUUM
&lt;!-- image --&gt;
Assen, 17 november 2023
Ons kenmerk 202301501-01098205
Behandeld door
Verplichtingennummer 82948
Onderwerp: Verlening subsidie activiteiten boekjaar 2024 (SPUK-gelden)
## Geacht bestuur,
Op 23 september 2023 ontvingen wij uw subsidieaanvraag voor de professionalisering van het Veenpark gedurende boekjaar 2024.
## U ontvangt een subsidie van € 75.000,00
Dit is de subsidie die wij u verlenen. Omdat dit bedrag een vaststaand bedrag is wat voor u is gereserveerd vanuit rijksgelden, is dit niet geïndexeerd.
## U ontvangt een voorschot van € 75.000,00
Het bedrag maken wij in januari 2024 over naar uw . Wij melden er het kenmerk van deze brief bij.
## Activiteiten
Met deze subsidie voert u de volgende activiteiten uit:
1. de organisatie is eind 2024 gereed conform de afspraken die gemaakt zijn om toe te kunnen treden tot museum van provinciaal belang. (onder andere nieuwe directeur, Raad van Toezicht, conform de onderdelen in de planning: Governance en Directie;.
2. het meerjarenbeleidsplan/masterplan is in het eerste kwartaal van 2024 gereed;
3. het museum voldoet aan de voorwaarden voor het indienen van de aanvraag voor museumregistratie (met daarin de onderdelen personeelszorg, collectiebeheer, registratie en ontsluiting, het depot, en het publiek);
4. publiek: aanpassingen op gebied van toegankelijkheid, analyse openstelling, afronding laatste fase presentatie/plan voor publieke tentoonstellingen;
5. educatie: samenwerking met externe partners zoals Stichting Kunst en Cultuur Drenthe aan het
Bij correspondentie verzoeken wij u het zaaknummer 202301501 te vermelden.
- educatiebeleidsplan, ontwikkeling schoolprogramma o.a. energie in het veen, uitbreiding van schoolprogramma's naar het voortgezet onderwijs;
6.    marketing en communicatie: gerichte acties op de Duitse markt, online marketing, samenwerking met Drentse vakantieparken, professionalisering van klantbehoud en beleving;
7.    samenwerkingsovereenkomst stichting en BV: realisatie van fysieke scheiding tussen de stichting en de BV.
Uw subsidieaanvraag is de basis voor deze omschrijving. U voert de activiteiten uit in de periode van 1 januari 2024 tot en met 31 december 2024.
## Subsidieverplichtingen
Aan de subsidie zijn de volgende verplichtingen verbonden:
- -U meldt het ons als u de activiteiten anders of niet gaat uitvoeren U doet deze melding binnen twee weken nadat u het weet. U doet deze melding schriftelijk via subsidieloket@drenthe.nl. Deze melding is voor u van belang. Als u de activiteiten niet, niet helemaal of anders uitvoert dan in uw aanvraag en deze brief is genoemd, kan de subsidie lager worden vastgesteld of worden ingetrokken. U moet dan een bedrag aan ons terugbetalen. Daarnaast doet u melding als u niet voldoet aan de subsidieverplichtingen en in gevallen als bedoeld in artikel 16, tweede lid van de Algemene subsidieverordening provincie Drenthe 2023.
- -U zorgt voor een goede administratie Bij een eventuele controle kunt u aantonen dat u de activiteiten heeft uitgevoerd en de kosten heeft gemaakt. Dat kan bijvoorbeeld blijken uit bewaarde rekeningen, bonnen, een urenadministratie of andere gebruikelijke manieren om activiteiten, kosten of tijdsbesteding helder
te maken. U bewaart deze minimaal zeven jaar na het einde van de projectperiode.
- -U dient vóór 1 mei 2025 een aanvraag tot vaststelling in U stuurt deze aanvraag naar subsidieloket@drenthe.nl. Uw aanvraag tot vaststelling bestaat uit een inhoudelijk verslag, waaruit blijkt dat de activiteiten waarvoor de subsidie is verleend zijn uitgevoerd en is voldaan aan de subsidieverplichtingen. Ook stuurt u een jaarrekening mee waaruit blijkt wat de werkelijk gemaakte subsidiabele kosten zijn van de activiteiten. Als u de activiteiten heeft uitgevoerd en u aan de subsidieverplichtingen heeft voldaan, stellen wij de subsidie vast op het verleende subsidiebedrag. Zorgt u ervoor dat wij uw aanvraag tot vaststelling op tijd ontvangen. Hiermee voorkomt u dat wij uw subsidie ambtshalve moeten vaststellen. Hierdoor wordt de subsidie in veel gevallen lager of op nihil vastgesteld. De ontvangen voorschotten moet u dan terugbetalen.
## Staatssteun
Voor uw aanvraag hebben wij gekeken of er sprake is van staatssteun. Dit is bij u het geval, omdat uw onderneming door middel van staatsmiddelen selectief wordt gesteund en er door het project een verstoring van de interne markt kan zijn. Deze steun valt onder de werking van de AGVV. In het bijzonder onder de vrijstellingscategorie voor steun voor cultuur en instandhouding van het erfgoed (Hoofdstuk III Deel 11, artikel 53 van de AGVV), meer specifiek exploitatiesteun. De in aanmerking komende kosten kunnen voor maximaal 80% worden gesubsidieerd. De totale kosten voor de exploitatie van het Veenpark voor het jaar 2023 bedragen € 227.169,00. Er wordt aan de provincie Drenthe een subsidie gevraagd van € 154.255,00 (de begrotingssubsidie en de SPUK-gelden). De steunintensiteit bedraagt hiermee 67,8%, waarmee het onder de maximale steunintensiteit blijft. Uw project voldoet aan de gestelde voorwaarden voor deze steun en aan de algemene bepalingen van de AGVV. De te verlenen subsidie heeft een stimulerend effect in de zin van voornoemde verordening van de Europese Commissie. Daarmee kan de subsidie geoorloofd worden verleend. Wij geven van de verlening van deze subsidie, overeenkomstig de desbetreffende bepalingen van de AGVV, binnen 20 werkdagen na dagtekening van beide beschikkingen kennis aan de Europese Commissie. Ten behoeve van deze kennisgeving publiceren wij de aan u toegezonden beschikkingen op onze websites. Betaling van de subsidie sluiten wij uit, indien zou blijken dat de aan uw onderneming verleende steun onrechtmatig is en onverenigbaar is verklaard met de interne markt.
## Een vergunning nodig?
Misschien heeft u voor de uit te voeren activiteiten nog een vergunning of andere vorm van toestemming nodig, mogelijk zelfs van ons. Deze subsidie staat geheel los van het krijgen van die vergunning die u nodig heeft voor uw activiteiten. Daarvoor gelden namelijk andere regels.
## Steekproefcontrole
Naast de beoordeling van uw aanvraag tot vaststelling kunnen wij deze subsidie ook controleren. De steekproefcontroles hebben tot doel misbruik en onregelmatigheden van subsidiegelden tegen te gaan. Wij controleren of de subsidie rechtmatig en doelmatig is besteed en of u heeft voldaan aan de aan de subsidie verbonden verplichtingen. Indien wij misbruik of onregelmatigheden constateren loopt u het risico dat de subsidie geheel of gedeeltelijk teruggevorderd wordt. Het is zeer belangrijk dat u bewijsstukken bewaart en eventuele wijzigingen op tijd aan ons meldt.
## Juridisch kader
Voor dit besluit gelden:
- Verordening (EU) Nr. 651/2014 van de Commissie van 17 juni 2014, waarbij bepaalde categorieën steun op grond van de artikelen 107 en 108 van het Verdrag met de interne markt verenigbaar worden verklaard, Algemene Groepsvrijstellingsverordening (AGVV (PbEU L187/1))
- Algemene wet bestuursrecht
- Algemene subsidieverordening provincie Drenthe 2023
- Statenstuk 2023-217, Begroting 2024
## Communicatie
Wij vragen u, of u in uw communicatie over het project wilt vermelden dat het project mede mogelijk gemaakt wordt door de Provincie Drenthe.
## Openbare informatie over uw subsidie
De naam van de aanvrager, de naam van het project of de korte omschrijving van de activiteiten, het verstrekte subsidiebedrag en het zaaknummer nemen wij op in het subsidieregister op onze website. Namen van personen worden niet genoemd.
## Iedereen moet mee kunnen doen
Ieder mens heeft dezelfde rechten. Daarom vindt de provincie Drenthe het van belang dat er aandacht is voor kwetsbare groepen in onze samenleving. Deze mensen staan ondanks de inzet van vele organisaties grotendeels nog steeds aan de zijlijn. Onder deze groep verstaan we onder andere mensen met beperkingen, LHBTI'ers en laaggeletterden. Wij vragen u, als onze subsidierelatie dan ook het thema 'Toegankelijkheid en inclusie' ook in 2024 op de agenda te zetten en hieraan zoveel mogelijk invulling te geven bij al uw activiteiten.
&lt;!-- image --&gt;
&lt;!-- image --&gt;
## Heeft u vragen?
Als u vragen heeft neem dan contact op met
Hoogachtend,
Gedeputeerde Staten van Drenthe, namens dezen,
Themamanager a.i. Inkoop &amp;amp; Subsidies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t>
  </si>
  <si>
    <t>De raad van bestuur van de Kansspelautoriteit [22963:23008]</t>
  </si>
  <si>
    <t>de raad van bestuur van de Kansspelautoriteit [24:69]</t>
  </si>
  <si>
    <t>www.provincie.drenthe.nl
Aan:
Stichting Drents Museum
t.a.v.
Postbus 134 9400 AC  ASSEN
Assen, 17 december 2025
Ons kenmerk: 202501081-01180178
Behandeld door (0592) 36
Verplichtingennummer V015093
Onderwerp: Verlening begrotingssubsidie boekjaar 2026 Drents Museum
## Geacht bestuur,
Op 25 september 2025 ontvingen wij uw subsidieaanvraag. U vraagt een begrotingssubsidie aan van € 5.911.836,00 voor het boekjaar 2026.
## U ontvangt een subsidie van € 5.911.836,00
Wij verlenen u deze subsidie voor de uitvoering van het bij de aanvraag gevoegde activiteitenplan 2026. Wij hopen en verwachten dat met de in dit plan opgenomen tentoonstellingen en activiteiten de bezoekersaantallen weer zullen gaan toenemen.
## Voorschot
De subsidie wordt in delen aan u overgemaakt volgens het onderstaande betalingsritme:
- -Januari 2026: € 1.477.959,00
- -Februari tot en met november 2026: 403.080,00
- -December 2026: € 403.077,00
De bedragen worden overgemaakt naar uw IBAN . Wij vermelden er het kenmerk van deze brief bij.
## Activiteiten
U voert het bij de aanvraag ingediende activiteitenplan uit.
## Subsidieverplichtingen
Aan de subsidie zijn de volgende verplichtingen verbonden.
- -U voert de activiteiten uit in de periode van 1 januari 2026 tot en met 31 december 2026.
- -U meldt het ons als u de activiteiten anders of niet gaat uitvoeren U doet deze melding binnen twee weken nadat u het weet. U doet deze melding schriftelijk via subsidieloket@drenthe.nl. Deze melding is voor u van belang. Als u de activiteiten niet, niet helemaal of anders uitvoert dan in uw aanvraag en deze brief is genoemd, kan de subsidie lager worden vastgesteld of worden ingetrokken. U moet dan een bedrag aan ons terugbetalen.
Bij correspondentie verzoeken wij u het zaaknummer 202501081 te vermelden.
&lt;!-- image --&gt;
&lt;!-- image --&gt;
&lt;!-- image --&gt;
&lt;!-- image --&gt;
## provincieDrenthe
&lt;!-- image --&gt;
- -Daarnaast doet u melding als u niet voldoet aan de subsidieverplichtingen en in gevallen als bedoeld in artikel 16, tweede lid, van de Algemene subsidieverordening provincie Drenthe 2023.
- -U zorgt voor een goede administratie
Bij een eventuele controle kunt u aantonen dat u de activiteiten heeft uitgevoerd en de kosten heeft gemaakt. Dat kan bijvoorbeeld blijken uit bewaarde rekeningen, bonnen, een urenadministratie of andere gebruikelijke manieren om activiteiten, kosten of tijdsbesteding helder te maken. U bewaart deze minimaal zeven jaar vanaf het moment van de vaststelling van de subsidie.
- -U dient vóór 1 mei 2027een aanvraag tot vaststelling in
U stuurt deze aanvraag naar subsidieloket@drenthe.nl. Uw aanvraag tot vaststelling bestaat uit tenminste de volgende stukken:
- a. een inhoudelijk verslag waaruit blijkt dat de activiteiten waarvoor subsidie is verleend zijn uitgevoerd en dat is voldaan aan de subsidieverplichtingen
- b. een financieel verslag met daarin een vergelijking tussen de eindverantwoording en de bij de aanvraag ingediende begroting, met een verklaring over de verschillen tussen de werkelijk gemaakte kosten en de in begroting opgenomen kosten. Wij vragen u bovendien in de financiële rapportage inzichtelijk te maken aan welke begrotingsposten (ook eventuele reserves) u de aan u verleende provinciale subsidie heeft besteed. Dit in verband met de toetsing aan de staatsteunkaders en de Algemene subsidieverordening Drenthe 2023.
- c. het vastgestelde jaarverslag.
Als u de activiteiten heeft uitgevoerd en aan de subsidiabele verplichtingen heeft voldaan, stellen wij de subsidie vast op de werkelijk gemaakte subsidiabele kosten, met als maximum het verleende subsidiebedrag.
Zorgt u ervoor dat wij uw aanvraag tot vaststelling op tijd ontvangen? Hiermee voorkomt u dat wij uw subsidie ambtshalve moeten vaststellen. Hierdoor wordt de subsidie in veel gevallen lage of op nihil vastgesteld. De ontvangen voorschotten moet u dan terugbetalen.
## Staatssteun
Voor uw aanvraag hebben wij gekeken of er sprake is van staatsteun. Dit is bij u het geval, omdat uw activiteiten door middel van staatsmiddelen selectief worden gesteund en er door deze steun een verstoring van de interne markt kan zijn. Deze steun valt onder de Algemene
groepsvrijstellingsverordening (hierna AGVV), in het bijzonder onder de vrijstellingscategorie voor steun voor cultuur en instandhouding van het erfgoed (Hoofdstuk III, Deel II, artikel 53 van de AGVV), meer specifiek exploitatiesteun.
In het geval van exploitatiesteun is het steunbedrag niet hoger dan wat nodig is om de exploitatietekorten plus een redelijke winst over de betrokken periode te dekken.
Er wordt aan de provincie Drenthe een subsidiebedrag gevraagd van € 5.911.836,00. De totale subsidiabele kosten bedragen € 8.305.946,00 Het steunpercentage dat door de provincie Drenthe met voorliggende subsidiebeschikking is verstrekt bedraagt afgerond 71%.
Uw project voldoet aan de gestelde voorwaarden voor deze steun en aan de algemene bepalingen van de AGVV. Daarmee kan de subsidie geoorloofd worden verleend.
&lt;!-- image --&gt;
&lt;!-- image --&gt;
Wij geven van de verlening van deze subsidie, overeenkomstig de desbetreffende bepalingen van de AGVV, binnen 20 werkdagen na dagtekening van deze beschikking kennis aan de Europese Commissie en publiceren deze beschikking op onze website.
Betaling van de subsidie sluiten wij uit als zou blijken dat de aan u verleende steun onrechtmatig is en onverenigbaar is verklaard met de interne markt.
## Een vergunning nodig?
Misschien heeft u voor de uit te voeren activiteiten nog een vergunning of andere vorm van toestemming nodig, mogelijk zelfs van ons. Deze subsidie staat geheel los van het krijgen van die vergunning die u nodig heeft voor uw activiteiten. Daarvoor gelden namelijk andere regels.
## Steekproefcontrole
Naast de beoordeling van uw aanvraag tot vaststelling kunnen wij deze subsidie ook controleren. De steekproefcontroles hebben tot doel misbruik en onregelmatigheden van subsidiegelden tegen te gaan. Wij controleren of de subsidie rechtmatig en doelmatig is besteed en of u heeft voldaan aan de aan de subsidie verbonden verplichtingen. Indien wij misbruik of onregelmatigheden constateren loopt u het risico dat de subsidie geheel of gedeeltelijk teruggevorderd wordt. Het is belangrijk dat u bewijsstukken bewaart en eventuele wijzigingen op tijd aan ons meldt.
## Juridisch kader
Voor dit besluit gelden:
- -de Algemene wet bestuursrecht
- -de Algemene subsidieverordening provincie Drenthe 2023
- -Begroting 2026 provincie Drenthe, statenstuk 2025-43
- -Verordening (EU) nr. 651/2014 van de Commissie van 17 juni 2014 waarbij bepaalde categorieën steun op grond van de artikelen 107 en 108 van het Verdrag met de interne markt verenigbaar worden verklaard (PbEU 2014, L 187), Algemene groepsvrijstellingsverordening (AGVV)
## Communicatie
Wij vragen u of u in uw communicatie over het project wilt vermelden dat het project mede mogelijk gemaakt wordt door de provincie Drenthe.
## Openbare informatie over uw subsidie
De naam van de aanvrager, de naam van het project of de korte omschrijving van de activiteiten, het verstrekte subsidiebedrag en het zaaknummer nemen wij op in het subsidieregister op onze website. Namen van personen worden niet genoemd.
Daarnaast publiceren wij de volledige subsidiebeschikking op onze website. Dit doen wij omdat dit een algemene verplichting is van de AGVV. De subsidiebeschikking wordt ook gepubliceerd op de website van de Europese Commissie. Namen van personen worden niet genoemd.
## Heeft u vragen?
Als u vragen heeft, neem dan contact op met
Hoogachtend, Gedeputeerde Staten van Drenthe,
namens dezen,
&lt;!-- image --&gt;
I. Koch Domeinmanager Bedrijfsvoering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
, telefoonnummer (0592) 36
&lt;!-- image --&gt;</t>
  </si>
  <si>
    <t>Aan: Stichting TT Week Assen t.a.v Apollopad 72 9401 ZA  ASSEN
## 9401 ZA 72
Assen, 13 juni 2023 Ons kenmerk 24/4.3/2023000813
Behandeld door
(0592)
Onderwerp: Verlening subsidie TT Week Assen 2023
Geachte
Op 7 mei 2023 ontvingen wij uw subsidieaanvraag voor de organisatie van de TT Week Assen 2023 voor een subsidiebedrag van € 127.625,--. In deze brief informeren wij u over ons besluit op uw aanvraag.
## Besluit
Wij hebben besloten u een subsidie van maximaal € 127.625,-- te verlenen voor de organisatie van de TT Week 2023.
Wellicht ten overvloede wijzen wij u erop dat u te maken kunt krijgen met vereiste vergunningen of ontheffingen. Wij vragen u hiermee rekening te houden. Het verlenen van deze subsidie is niet van invloed op de beoordeling van een aanvraag om vergunning of ontheffing. Daarvoor geldt een ander toetsingskader.
## Voorschot
Wij hebben besloten u een voorschot te verstrekken van € 102.100,--, zijnde 80% van de verleende subsidie. Dit voorschot maken wij binnen dertig dagen na dagtekening van deze brief over op IBAN , onder vermelding van het kenmerk van deze brief.
## Prestatieverplichtingen
Wij verlenen de subsidie voor de organisatie van de TT Week van 17 tot en met 25 juni 2022.
Bij het uitvoeren van de activiteiten bent u gebonden aan de volgende prestatieverplichtingen:
- -Het programmeren van Drents Talent tijdens de TT-week;
- -Het realiseren van een divers cultureel programma dat aansprekend is voor verschillende doelgroepen (TT-gangers, lokale/regionale bevolking, toeristen);
- -Groei van het aantal bezoekers overdag van de TT-week naar minimaal 100.000 en bestendiging van het aantal bezoekers van de TT Nachten op 180.000;
- -Het realiseren van een substantiële economische spin-off voor de regio, door onder meer:
- o Het realiseren van (inter)nationale exposure door het evenement voor Assen en de provincie Drenthe;
- o Actieve inzet tijdens het evenement op stimulering van het Drentse ondernemersklimaat (invulling netwerkfunctie, aansluiting zoeken bij Innofest, IBDO et cetera);
- -Actieve inzet op verduurzaming van het evenement;
- -Realiseren van adequate randvoorwaarden voor een veilig evenement met afdoende nutsvoorzieningen voor bezoekers en exploitanten; in dat kader vragen wij ook nadrukkelijk aandacht voor de toegankelijkheid van het evenement en facilitaire voorzieningen voor mensen met een beperking ;
- -Gelet op de provinciale prioriteit per prestatieonderdeel, komen wij tot de volgende verdeling van het verleende subsidiebedrag:
- -De projectactiviteiten starten op 1 juni 2023 en worden uitgevoerd uiterlijk op 1 oktober 2023 . Indien hierin wijzigingen plaatsvinden, dient u dit bij ons aan te geven;
- -U levert binnen dertien weken nadat de activiteiten zijn uitgevoerd, maar uiterlijk op 31 december 2023, een verzoek tot vaststelling in;
- -U bewaart de stukken die betrekking hebben op de besteding van de subsidie en de uitvoering van de activiteiten tot zes maanden nadat de activiteiten zijn uitgevoerd.
|   Prestaties | Prestaties                                 | Totale kosten uit begroting   | Totale kosten uit begroting   | Verleend subsidiebedrag   |
|--------------|--------------------------------------------|-------------------------------|-------------------------------|---------------------------|
|           1. | Programmeren van Drents Talent             |                               | € 20.420                      | € 20.420                  |
|           2. | Realiseren van divers cultureel programma  |                               | --------------------          |                           |
|           3. | Realiseren van economische spin-off        | cumulatief                    | € 951.550                     | € 107.205                 |
|           4. | Inzet op verduurzaming                     |                               |                               |                           |
|           5. | Afdoende veiligheids- en nutsvoorzieningen |                               |                               |                           |
|              |                                            |                               | € 971.970                     | € 127.625                 |
## Aanvullend verzoek
Daarnaast verzoeken wij u om in uw communicatie over de activiteiten tot uitdrukking te brengen dat deze mede mogelijk worden gemaakt door de provincie Drenthe. Dit met het oog op het informeren van de burgers over de besteding van belastinggelden.
## Meldingsplicht
Als blijkt dat u de gesubsidieerde activiteiten niet zult uitvoeren of dat u niet aan alle verplichtingen zult voldoen, stelt u ons daarvan direct schriftelijk of per e-mail op de hoogte.
Daarnaast stelt u ons zo spoedig mogelijk op de hoogte van:
- -relevante wijzigingen in de financiële en organisatorische verhouding met derden;
- -wijzigingen van de statuten betreffende de vorm van de rechtspersoon, de persoon van de bestuurder(s) en het doel van de rechtspersoon.
Indien u niet voldoet aan de meldingsplicht, kunnen wij dit besluit tot subsidieverlening in uw nadeel wijzigen of intrekken en het uitbetaalde subsidiebedrag geheel of gedeeltelijk terugvorderen.
## Vaststelling
In het verzoek tot vaststelling toont u aan dat de activiteiten zijn verricht en dat aan de opgelegde prestatieverplichtingen is voldaan. Het verzoek tot vaststelling bevat in ieder geval een activiteitenverslag en een financieel verslag.
Het niet tijdig indienen van het verzoek tot vaststelling kan gevolgen hebben voor de hoogte waarop de subsidie wordt vastgesteld. Als u geen verzoek tot vaststelling indient, stellen wij de subsidie ambtshalve vast. Wij doen dat op grond van de informatie die wij op dat moment hebben, waardoor de subsidie vaak lager of op nihil wordt vastgesteld. U ontvangt binnen 22 weken na ontvangst van uw verzoek tot vaststelling onze beslissing hierop.
Het verzoek tot vaststelling kunt u per e-mail toesturen naar post@drenthe.nl of per post naar het college van Gedeputeerde Staten van Drenthe, ter attentie van team Subsidies en Inkoop, Postbus 122, 9400 AC Assen.
## Juridisch kader
Op dit besluit is de volgende wet- en regelgeving van toepassing:
- -de Verordening (EU) Nr. 651/2014 van de Commissie van 17 juni 2014, waarbij bepaalde categorieën steun op grond van de artikelen 107 en 108 van het Verdrag betreffende de werking van de Europese Unie met de interne markt verenigbaar worden verklaard, Algemene Groepsvrijstellingsverordening (AGVV PbEU L187/1)
- -de Algemene wet bestuursrecht
- -de Algemene subsidieverordening Drenthe 2017
## Staatssteun
Voor uw aanvraag hebben wij gekeken of er sprake is van staatssteun. Dit is bij u het geval, omdat uw stichting in dit geval fungeert als ondernemer. Uw activiteiten worden door middel van staatsmiddelen selectief gesteund en er kan door het project een verstoring van de interne markt optreden. Deze steun valt onder de werking van de AGVV, in het bijzonder onder de vrijstellingscategorie voor steun voor cultuur en instandhouding van het erfgoed (Hoofdstuk lll, Deel ll, artikel 53 van de AGVV), meer specifiek exploitatiesteun.
De in aanmerking komende kosten kunnen voor maximaal 80% worden gesubsidieerd. De totale subsidiabele kosten van uw project bedragen in 2023 € 971.970,--. Het bedrag aan steun van de provincie Drenthe bedraagt € 127.625,--. Daarmee bedraagt de steunintensiteit van onze subsidie 13% en blijft deze onder de toegestane steunintensiteit.
Uw project voldoet aan de gestelde voorwaarden voor deze steun en aan de algemene bepalingen van de AGVV. De te verlenen subsidie heeft een stimulerend effect in de zin van voornoemde verordening van de Europese Commissie. Daarmee kan de subsidie geoorloofd worden verleend. Wij geven van de verlening van deze subsidie, overeenkomstig de desbetreffende bepalingen van de AGVV, binnen 20 werkdagen na dagtekening van deze beschikking kennis aan de Europese Commissie en publiceren deze beschikking op onze website.
Betaling van de subsidie sluiten wij uit, indien zou blijken dat de aan uw onderneming verleende steun onrechtmatig is en onverenigbaar is verklaard met de interne markt.
## Aanvraag 2024
Wellicht bent u voornemens om in 2024 wederom een subsidie aan te vragen voor de TT Week editie 2024. Mocht u ook in 2024 een subsidieaanvraag overwegen, dan ontvangen wij deze graag vóór 1 maart 2024. Deze indieningstermijn biedt ons gelegenheid om uw aanvraag zorgvuldig te beoordelen en u tijdig (ruimschoots voor aanvang van de TT Week) te informeren over ons besluit op uw aanvraag. Wij willen u er overigens op wijzen dat een eventuele subsidieverlening in 2024 niet vanzelfsprekend is, dan wel dat het te verlenen subsidiebedrag en/of de wijze van subsidieverlening anders kan uitvallen dan uw organisatie tot nu toe gewend is geweest.
## Nadere informatie
Mocht u nog vragen hebben, dan kunt u contact opnemen met telefoonnummer (0592) .
,
Hoogachtend, Gedeputeerde Staten van Drenthe,
, voorzitter , secretaris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t>
  </si>
  <si>
    <t>OPENBAAR Besluit van de raad van bestuur van de Kansspelautoriteit als bedoeld in artikel 35 van de Wet op de kansspelen. Kenmerk besluit: 14777/01.282.739 Openbaarmaking onder kenmerk: 14777/01.285.044 ## Besluit ## Samenvatting De raad van bestuur van de Kansspelautoriteit heeft vastgesteld dat Winning Poker Network door middel van de website www.truepoker.eu gelegenheid geeft tot deelname aan een kansspel, terwijl voor dat laatstgenoemde aanbod geen vergunning is afgegeven op grond van de Wet op de kansspelen. Daarmee handelt Winning Poker Network in strijd met de artikel 1, eerste lid, aanhef en onder a, van de Wet op de kansspelen. De raad van bestuur van de Kansspelautoriteit draagt Winning Poker Network op het aanbieden van kansspelen waarvoor geen vergunning ingevolge de Wet op de kansspelen is verleend, te staken en gestaakt te houden door middel van het opleggen van een last onder dwangsom. ## 1 Inleiding 1. De raad van bestuur van de Kansspelautoriteit (hierna: de Kansspelautoriteit) is belast met het toezicht op de naleving van het bepaalde in de Wet op de kansspelen (hierna: Wok). In de Wok is onder andere bepaald dat het in Nederland verboden is gelegenheid te geven om mede te dingen naar prijzen of premies, indien de aanwijzing der winnaars geschiedt door enige kansbepaling waarop de deelnemers in het algemeen geen overwegende invloed kunnen uitoefenen, tenzij daarvoor ingevolge de Wok vergunning is verleend (artikel 1, eerste lid, aanhef en onder a Wok). Daarnaast is het ingevolge artikel 1, eerste lid, aanhef en onder b, van de Wok eveneens verboden de deelneming aan een &lt;!-- image --&gt; Kansspelautoriteit OPENBAAR &lt;!-- image --&gt; Kansspelautoriteit 28 februari 2023 Kenmerk 14777/01.285.044 kansspel, waarvoor geen vergunning is verleend, te bevorderen. 2. Sinds 1 april 2021 is het mogelijk om bij de Kansspelautoriteit een vergunning aan te vragen voor het aanbieden van kansspelen op afstand. 1 Met het verlenen van vergunningen voor kansspelen op afstand is toezicht op een verantwoord, betrouwbaar en controleerbaar aanbod mogelijk. De Kansspelautoriteit acht het aanbieden van kansspelen op afstand zonder daartoe strekkende vergunning zeer ernstig. 2 De doelstellingen van het kansspelbeleid, wetende het voorkomen van kansspelverslaving, het beschermen van de consument en het tegengaan van mogelijke fraude en criminaliteit, worden door het zonder vergunning aanbieden van kansspelen op afstand omzeild. De kansspelsector is immers geen gewone economische sector maar extra gevoelig voor fraude, bedrog en verslaving waarvan de consument de dupe kan worden. Deelnemers aan dergelijke kansspelen lopen daarbij risico's omdat er geen garantie is dat het spel betrouwbaar is, het betalingsverkeer veilig verloopt en gewonnen prijzen daadwerkelijk worden uitgekeerd. 3. Handhaving door de Kansspelautoriteit jegens illegale aanbieders van kansspelen op afstand is herhaaldelijk rechterlijk getoetst en door meerdere rechters en in verschillende instanties rechtmatig bevonden. ## 2 Juridisch kader 4. Op grond van artikel 1, eerste lid, aanhef en onder a, van de Wok is het verboden om gelegenheid te geven tot deelname aan een kansspel waarvoor geen vergunning ingevolge de Wok is verleend. 5. Op grond van artikel 33b van de Wok heeft de Kansspelautoriteit onder meer tot taak het toezicht op de naleving van de toepasselijke wet- en regelgeving en de vergunningen, alsmede de handhaving daarvan. 1 Kansspelen op afstand zijn kansspelen waaraan de speler met elektronische communicatiemiddelen en zonder fysiek contact met (het personeel van) de organisator van de kansspelen, of een derde die ten behoeve van de deelname aan de kansspelen een ruimte en middelen ter beschikking stelt, deelneemt. 2 Alle sanctiebesluiten zijn te vinden op http://www.kansspelautoriteit.nl. OPENBAAR &lt;!-- image --&gt; Kansspelautoriteit 28 februari 2023 Kenmerk 14777/01.285.044 6. De Kansspelautoriteit is op grond van artikel 35 van de Wok bevoegd tot het opleggen van een last onder bestuursdwang wegens overtreding van de voorschriften van de Wok. Artikel 5:32, eerste lid van de Algemene wet bestuursrecht (hierna: Awb) bepaalt dat een bestuursorgaan dat bevoegd is een last onder bestuursdwang op te leggen, in plaats daarvan aan de overtreder een last onder dwangsom kan opleggen. ## 3 Bevindingen onderzoek ## Aanbod van kansspelen zonder vergunning 7. Op 19 en 20 september 2022 en op 14 november 2022 heeft een toezichthouder van de Kansspelautoriteit (hierna: toezichthouder) de website www.americascardroom.eu (hierna: de website) onderzocht. De toezichthouder heeft onderzocht of er gelegenheid werd gegeven om vanuit Nederland deel te nemen aan kansspelen. 8. Uit het onderzoek is gebleken dat het mogelijk is om vanuit Nederland een spelersaccount aan te maken, een storting te verrichten en deel te nemen aan kansspelen. Er zijn geen technische maatregelen genomen om deelnemers vanuit Nederland de toegang tot de kansspelen te beletten. ## Registratie 9. Op 19 september 2022 heeft een toezichthouder zich vanuit Nederland (met een Nederlands IP-adres) geregistreerd als nieuwe speler op de website. De toezichthouder heeft met een emailadres van de Kansspelautoriteit en andere benodigde gegevens zoals een gebruikersnaam en wachtwoord een spelersaccount aangemaakt. Tijdens het aanmaken van het spelersaccount diende de toezichthouder het account te verifiëren door middel van een verificatiecode die naar het opgegeven emailadres werd verzonden. De toezichthouder heeft vervolgens de gevraagde gegevens zoals de volledige naam, het land van herkomst, telefoonnummer, geboortedatum, geslacht en adresgegevens ingevuld en het registratieproces daarmee voltooid. Nederland stond als optie weergegeven in de lijst met beschikbare landen. 3 3 Bijlage 14777/01.274.440/01 Registratie. OPENBAAR &lt;!-- image --&gt; Kansspelautoriteit 28 februari 2023 Kenmerk 14777/01.285.044 10. Bij de registratie is gebruik gemaakt van de bevoegdheid als bedoeld in artikel 34c van de Wok. 4 ## Storting 11. Op 19 september 2022 heeft een toezichthouder een storting verricht op de website. De toezichthouder heeft de betaalmethode creditcard als betaaloptie geselecteerd. Na het selecteren van de betaalmethode diende de toezichthouder de kaartgegevens in te vullen. De adresgegevens waren al automatisch ingevuld. Vervolgens werd de toezichthouder naar de volgende stap doorgeleid, namelijk het invoeren van het stortingsbedrag. Het minimale stortingsbedrag bedroeg $25,00. De toezichthouder heeft het minimale stortingsbedrag van $25,00 ingevoerd en vervolgens op storten geklikt. De storting was hiermee voltooid. Vervolgens ging de toezichthouder terug naar het scherm waar de accountgegevens waren weergegeven. Het gestorte bedrag van $25,00 was op de balans terug te lezen. 5 12. De instructies over de betaling waren in de Engelse taal. 6 ## Deelname aan kansspelen 13. Op 19 september 2022 heeft een toezichthouder onderzocht of er vanuit Nederland kan worden deelgenomen aan kansspelen op de website. 14. De toezichthouder heeft een spel nader onderzocht, te weten 'Three Card Poker' (hierna: het spel). Hieruit bleek dat het spel de weergave had van een virtuele versie van het casinospel poker als genoemd in artikel 4, eerste lid, in de Beschikking Casinospelen 1996. 7 15. De toezichthouder zag dat er vier verschillende categorieën van spellen werden weergegeven namelijk Sports, Casino Table Games, Live Dealer BlackJack en Slot Machines. De toezichthouder heeft vervolgens op de categorie Slot Machines geklikt. Rechtsboven op het scherm was de balans weergegeven. Deze was opgesplitst in twee soorten balansen, namelijk de casinobalans en de 4 Bijlage 14777/01.285.321 Verslaglegging valse identiteitsgegevens. 5 Bijlage 14777/01.274.440/02 Storten. 6 Bijlage 14777/01.274.440/02 Storten. 7 Stcrnt , 1996, 92. OPENBAAR &lt;!-- image --&gt; Kansspelautoriteit 28 februari 2023 Kenmerk 14777/01.285.044 pokerbalans. De casinobalans bedroeg $0,00 en de pokerbalans stond op $25,00. Om onbekende reden was het gestorte bedrag automatisch op de pokerbalans gestort en niet op de casinobalans. Het was niet mogelijk om slots te spelen terwijl de casinobalans $0,00 bedroeg. Vervolgens is de toezichthouder terug gegaan naar de instant play pagina om voor de categorie 'Casino Table Games' te kiezen. Binnen deze categorie waren meerdere soorten spellen weergeven. De toezichthouder koos ervoor om het spel Three Card Poker te spelen. 8 Er werd gevraagd om het gestorte bedrag van $25,00 te gebruiken als credits. De toezichthouder heeft dit vervolgens bevestigd. De toezichthouder speelde vervolgens met de laagst mogelijke inzet, namelijk $1,00. Nadat de spelronde voorbij was, zag de toezichthouder dat de pokerbalans van $25,00 naar $27,00 was opgehoogd. 9 16. Op 14 november 2022 heeft de toezichthouder met het beschikbare tegoed op het bestaande spelersaccount nogmaals deelgenomen aan het spel. Hieruit bleek dat het nog steeds mogelijk was om vanuit Nederland deel te nemen aan een kansspel op de website. 10 17. Naast deelname aan een kansspel bleek het gelegenheid geven tot het mededingen naar prijzen of premies uit art. 2.4.1 van de Security en game integrity policy waarin voorwaarden gegeven worden voor het winnen van prijzen bij uitsluiting van andere spelers in Multi-Table Tournaments. 11 ## Hercontrole 18. Op 10 januari 2023 heeft een toezichthouder van de Kansspelautoriteit (hierna: toezichthouder) een hercontrole uitgevoerd op de website www.americascardroom.eu. De toezichthouder heeft onderzocht of er gelegenheid werd gegeven om vanuit Nederland deel te nemen aan kansspelen. 19. Uit het onderzoek is gebleken dat inloggen met het bestaande account van de Kansspelautoriteit wel mogelijk is, maar dat het vanuit Nederland niet mogelijk is om deel te nemen aan kansspelen op deze website. 12 Daarom heeft een 8 Bijlage 14777/01.274.440/03 Spelen. 9 Bijlage 14777/01.274.440/03 Spelen. 10 Bijlage 14777/01.274.440/11 Spelen november. 11 Bijlage 14777/01.274.440/07 Security and Game Integrity policy. 12 Bijlage 14777/01.281.807/01 Hercontrole Americascardroom. OPENBAAR &lt;!-- image --&gt; Kansspelautoriteit 28 februari 2023 Kenmerk 14777/01.285.044 toezichthouder op 10 en 17 januari 2023 één van de overige websites van de aanbieder genaamd www.truepoker.eu onderzocht. 20. Uit het onderzoek is gebleken dat het op www.truepoker.eu mogelijk is om vanuit Nederland een spelersaccount aan te maken, een storting te verrichten en deel te nemen aan kansspelen. Er zijn geen technische maatregelen genomen om deelnemers vanuit Nederland de toegang tot de kansspelen te beletten. ## Registratie 21. Op 10 januari 2023 heeft een toezichthouder zich vanuit Nederland (met een Nederlands IP-adres) geregistreerd als nieuwe speler op de website, nadat bleek dat het niet mogelijk was om met het bestaande account van www.americascardroom.eu in te loggen op www.truepoker.eu. De toezichthouder heeft met een e-mailadres van de Kansspelautoriteit en andere benodigde gegevens zoals een gebruikersnaam en wachtwoord een spelersaccount aangemaakt. Tijdens het aanmaken van het spelersaccount diende de toezichthouder het account te verifiëren door middel van een verificatiecode die naar het opgegeven emailadres werd verzonden. De toezichthouder heeft de gevraagde gegevens zoals de volledige naam, het land van herkomst, telefoonnummer, geboortedatum, geslacht en adresgegevens ingevuld en het registratieproces daarmee voltooid. 13 22. Bij de registratie is gebruik gemaakt van de bevoegdheid als bedoeld in artikel 34c van de Wok. 14 ## Storting 23. Op 10 januari 2023 heeft een toezichthouder een storting verricht op de website. De toezichthouder heeft de betaalmethode crypto (bitcoin) als betaaloptie geselecteerd. De toezichthouder heeft met behulp van de eWallet Exodus applicatie een storting uitgevoerd met crypto. Er is vanuit het cryptoaccount van de Kansspelautoriteit een minimaal stortingsbedrag van $10,00 op de spelersrekening gestort. Het gestorte bedrag van $10,00 was op de balans terug te lezen als $9,99 in verband met de op dat moment geldende bitcoin koers. 13 Bijlage 14777/01.281.807/02 Hercontrole truepoker, p.1-p.15. 14 Bijlage 14777/01.285.045 Verslaglegging valse identiteitsgegevens. OPENBAAR 24. De instructies over de betaling waren in de Engelse taal. ## Deelname aan kansspelen 25. Op 10 januari 2023 heeft een toezichthouder onderzocht of er vanuit Nederland kan worden deelgenomen aan kansspelen op de website. 26. De toezichthouder heeft een spel nader onderzocht, te weten 'Three Card Poker' (hierna: het spel). Hieruit bleek dat het spel de weergave had van een virtuele versie van het casinospel poker als genoemd in artikel 4, eerste lid, in de Beschikking Casinospelen 1996. 15 27. De toezichthouder heeft op de instant play pagina voor de categorie 'Casino Table Games' gekozen. Binnen deze categorie waren meerdere soorten spellen weergeven. De toezichthouder koos ervoor om het spel Three Card Poker te spelen. Er werd gevraagd om het gestorte bedrag van $9,99 te gebruiken als credits. De toezichthouder heeft dit vervolgens bevestigd. De toezichthouder speelde het spel vervolgens met een inzet van $2,00. Nadat de spelronde voorbij was, zag de toezichthouder dat de balans van $9,99 naar $7,99 was verlaagd. 16 28. Naast het feit dat er geen technische maatregelen zijn genomen om deelname vanuit Nederland aan de kansspelen te beletten heeft de toezichthouder andere kenmerken aangetroffen waaruit (in onderlinge samenhang bezien) blijkt dat de website (mede) gericht is op de Nederlandse markt. Deze kenmerken zijn, naast de overige bevindingen van het onderzoek, verwerkt in onderstaand overzicht. ## Overzicht onderzoek overtreding 29. Hieronder volgt een schematisch overzicht van de bevindingen van het onderzoek van de toezichthouder naar het vanuit Nederland deelnemen aan kansspelen op de website. 15 Stcrnt , 1996, 92. 16 Bijlage 14777/01.281.807/02 Hercontrole truepoker, p.23-p.30. &lt;!-- image --&gt; Kansspelautoriteit 28 februari 2023 Kenmerk 14777/01.285.044 OPENBAAR &lt;!-- image --&gt; ## Kansspelautoriteit ## Kansspelautoriteit 28 februari 2023 Kenmerk 14777/01.285.044 | Onderzoek | Onderzoek | Bijlage | Opmerkingen | |-----------------------------------------------------------------------------------|------------------|-----------------------------------------------------------------------------------------------------------------------|---------------| | A. Website vanuit | 01.282.739/01/02 | | | | Aanmaken account, storten deelnemen aan een kansspel | 01.281.807/02 | Hercontrole Truepoker. | B. en | | C. Informatie over prijzen/winsten | 01.282.739/09 | Pagina die betrekking heeft op de uitbetaling van winsten aan spelers. | | | Website bevat Nederlandse of de Engelse taal | 01.282.739/02/08 | (02) De website is volledig in de Engelse taal. (08) Nederlands is geen optie in het talenmenu. | D. | | Betaalmethode iDEAL of andere betaalmethode die doorgeleidt naar Nederlandse bank | 01.281.807/02 | Er is vanuit een Nederlandse bankrekening geld op de eWallet van het cryptoaccount van de Kansspelautoriteit gestort. | E. | | F. Nederland is niet benoemd uitgesloten land in de T&amp;C | | 01.282.739/02/03 Nederland staat niet benoemd als uitgesloten land in artikel 14 van de T&amp;C. | als | ## Overtreder 30. Voor het hiervoor beschreven kansspelaanbod wordt Winning Poker Network (hierna: overtreder) verantwoordelijk gehouden. In de 'WPN Manifesto'' sectie van de website wordt Winning Poker Network als eigenaar en beheerder van de website genoemd. Op grond hiervan wordt deze onderneming als overtreder aangemerkt. 17 Daarnaast wordt WPN onderaan de homepage vermeld. 18 17 Bijlage 14777/01.282.739/07 About WPN. 18 Bijlage 14777/01.282.739/02 Homepage. OPENBAAR &lt;!-- image --&gt; Kansspelautoriteit 28 februari 2023 Kenmerk 14777/01.285.044 31. Overtreder is niet in het bezit van een vergunning voor het aanbieden van online kansspelen in Nederland. 19 ## 4 Overtreding van de Wet op de kansspelen 32. Op grond van het voorgaande staat naar het oordeel van de Kansspelautoriteit vast dat overtreder gelegenheid geeft tot deelname aan een kansspel waarvoor geen vergunning is verleend. 33. Op grond van het voorgaande stelt de Kansspelautoriteit vast dat overtreder artikel 1, eerste lid, aanhef en onder a, van de Wok heeft overtreden. ## 5 Zienswijze ## Procedureel 34. In de brief van 28 november 2022 heeft de Kansspelautoriteit het voornemen tot het opleggen van een last onder dwangsom kenbaar gemaakt aan overtreder. 20 Hiermee is de gelegenheid geboden om binnen twee weken na dagtekening van de brief een zienswijze, mondeling of schriftelijk, te geven op het voornemen. 35. In reactie op het voornemen tot het opleggen van een last onder dwangsom is op 12 december 2022 namens overtreder per email aan de Kansspelautoriteit medegedeeld dat de mogelijkheid om vanuit Nederland te spelen op www.amerciascardroom.eu in de avond van 12 december 2022, Costa Ricaanse tijd gestaakt zal worden. ## 6 Overwegingen tot oplegging last 36. Handhavend optreden tegen aanbieders van kansspelen waarvoor geen vergunning is verleend is noodzakelijk om de overtreding te doen beëindigen, en beëindigd te houden, en de zwaarwegende belangen van de Wok zoals hierboven 19 Een overzicht van alle vergunninghouders is te vinden op https://kansspelautoriteit.nl. 20 Bijlage 14777/01.278.190 Begeleidende brief. OPENBAAR &lt;!-- image --&gt; Kansspelautoriteit 28 februari 2023 Kenmerk 14777/01.285.044 vermeld, te beschermen. Naast het opleggen van boetes, kan de Kansspelautoriteit ook handhaven door middel van het opleggen van een last onder dwangsom. 37. Met het oog op het evenredigheidsbeginsel van artikel 3:4, tweede lid, van de Awb is de Kansspelautoriteit van oordeel dat de belangen van overtreder derhalve niet onevenredig worden geschaad door dit besluit en het daarmee gediende belang. Zij verwijst daarvoor naar de overwegingen in paragrafen 5 en 6. ## 7 Hoogte dwangsom en begunstigingstermijn 38. Zoals in dit besluit toegelicht is handhaving van de regels in de kansspelsector en voorkomen van illegaal kansspelaanbod noodzakelijk. De kansspelsector is extra gevoelig voor fraude, bedrog en verslaving waarvan de consument de dupe kan worden. Het zijn deze te beschermen - en in beginsel geschonden belangen die de Kansspelautoriteit heeft meegewogen bij de vaststelling van de hoogte van de dwangsom en de begunstigingstermijn. ## Hoogte dwangsom 39. Ten aanzien van de hoogte van de dwangsom, bepaalt artikel 5:32b, derde lid van de Awb dat de hoogte ervan in redelijke verhouding dient te staan tot de zwaarte van het geschonden belang en tot de beoogde werking van de dwangsom. Daarnaast moet van de hoogte van de dwangsom voldoende (financiële) prikkel uitgaan voor de overtreder om de overtreding te beëindigen. 40. Bij de vaststelling van de hoogte van de dwangsom heeft de Kansspelautoriteit acht geslagen op het feit dat de opbrengst van het aanbieden van kansspelen online per dag hoog kunnen zijn. 41. De Kansspelautoriteit weegt de belangen van verslavingspreventie, kwetsbare groepen, zoals minderjarigen, een betrouwbaar spelaanbod, veilig betalingsverkeer en het tegengaan van illegaliteit en criminaliteit, mee bij de vaststelling van de hoogte van de dwangsom. OPENBAAR ## Begunstigingstermijn 42. Volgens vaste jurisprudentie van de Afdeling bestuursrechtspraak van de Raad van State 21 geldt bij het bepalen van de lengte van de begunstigingstermijn als uitgangspunt dat deze termijn niet wezenlijk langer mag worden gesteld dan noodzakelijk is om de overtreding te kunnen opheffen. Een begunstigingstermijn mag ook niet wezenlijk korter worden gesteld dan noodzakelijk is om de overtreding te kunnen opheffen. 43. De Kansspelautoriteit houdt bij de vaststelling van de begunstigingstermijn rekening met het feit dat de gelegenheid om vanuit Nederland deel te nemen aan kansspelen op afstand zeer snel kan worden beëindigd. 44. Dit is onder andere gebleken uit het feit dat diverse illegale aanbieders eind september 2021 naar aanleiding van het nieuwe handhavingsbeleid van de Kansspelautoriteit 22 binnen enkele dagen het aanbod aan Nederlandse consumenten hebben gestaakt. ## 8 Besluit 45. De Kansspelautoriteit legt aan overtreder de volgende last onder dwangsom op: - a. Overtreder wordt op straffe van verbeurte van een dwangsom gelast uiterlijk binnen twee weken na dagtekening van dit besluit de overtreding(en) van artikel 1, eerste lid, onder a, van de Wok te staken en gestaakt te houden. - b. Overtreder kan dit doen door alle gelegenheid om vanuit Nederland deel te nemen aan kansspelen op afstand, waarvoor geen vergunning ingevolge de Wok is verleend, te beëindigen en beëindigd te houden. Dit omvat het aanbieden van kansspelen via de door de Kansspelautoriteit onderzochte website en alle andere websites die in eigendom/beheer zijn bij overtreder. Tevens omvat dit ook iedere andere activiteit (waaronder, maar niet uitsluitend, het aanbieden van kansspelapps) als gevolg 21 ECLI:NL:RVS:2018:2196 en ECLI:NL:RVS:2015:3891. 22 Handhavingsbeleid, Prioritering van handhavingsonderzoeken, Stcrnt. 2021/44765. &lt;!-- image --&gt; Kansspelautoriteit 28 februari 2023 Kenmerk 14777/01.285.044 OPENBAAR &lt;!-- image --&gt; Kansspelautoriteit 28 februari 2023 Kenmerk 14777/01.285.044 waarvan het mogelijk is vanuit Nederland deel te nemen aan kansspelen op afstand en waarvoor geen vergunning ingevolge de Wok is verleend, te beëindigen en beëindigd te houden. - c. Na het verstrijken van de onder randnummer a genoemde begunstigingstermijn verbeurt overtreder een dwangsom van € 25.000,per week of gedeelte van de week tot een maximum van € 75.000,-. 's-Gravenhage, 28 februari 2023 De raad van bestuur van de Kansspelautoriteit, namens deze, w.g. mr. Ella J. Seijsener Afdelingshoofd Handhaving OPENBAAR ## Bezwaar maken U kunt tegen deze beslissing bezwaar maken door een gemotiveerd bezwaarschrift in te dienen binnen zes weken na be [...]</t>
  </si>
  <si>
    <t>KSA__https___kansspelautoriteit.nl_sites_default_files_20230228_01-285-044_lod_openbare_versie_beveiligd.txt::Rechtshandeling</t>
  </si>
  <si>
    <t>legt [21453:21457]</t>
  </si>
  <si>
    <t>[...] eind september 2021 naar aanleiding van het nieuwe handhavingsbeleid van de Kansspelautoriteit 22 binnen enkele dagen het aanbod aan Nederlandse consumenten hebben gestaakt. ## 8 Besluit 45. De Kansspelautoriteit legt aan overtreder de volgende last onder dwangsom op: - a. Overtreder wordt op straffe van verbeurte van een dwangsom gelast uiterlijk binnen twee weken na dagtekening van dit besluit de overtreding(en) van artikel 1, eer [...]</t>
  </si>
  <si>
    <t>KSA__https___kansspelautoriteit.nl_sites_default_files_20230228_01-285-044_lod_openbare_versie_beveiligd.txt::Rechtsobject</t>
  </si>
  <si>
    <t>Aan:
Stichting 'PEN EM'
t.a.v
Burg. J.G. Legroweg 45 b 9761 TA  EELDE
9761 TA45Xb
Assen, 17 september 2021 Ons kenmerk 202101245-00959665
Behandeld door
Verplichtingennummer 79967
Onderwerp: Verlening aanvullende subsidie Haalbaarheidsstudie zero-emission luchtvaart N-NL
Geachte
Op 1 juni 2021 hebben wij u een subsidie verleend van € 25.000,00 voor de Haalbaarheidsstudie zero-emission luchtvaart N-HL. Inmiddels is gebleken dat het tweede deel van de haalbaarheidsstudie uitgevoerd kan worden.
## Besluit
Wij hebben besloten u een aanvullende subsidie van maximaal € 5.000,00 te verlenen, ter uitvoering van het tweede deel van de haalbaarheidsstudie. Daarmee bedraagt de subsidie maximaal € 30.000,00.
## Voorschot
Wij hebben besloten u een voorschot te verstrekken van € 5.000,00, zijnde 100% van de verleende subsidie. Dit voorschot maken wij binnen dertig dagen na dagtekening van deze brief over op bankrekeningnummer , onder vermelding van het kenmerk van deze brief.
## Prestatieverplichtingen
Bij het uitvoeren van de activiteit bent u gebonden aan de volgende prestatieverplichtingen:
- -Voor de aanvullende € 5.000,00 moet u het tweede deel van de haalbaarheidsstudie uitvoeren.
- -De projectactiviteiten starten op 28 april 2021 en worden uitgevoerd uiterlijk op 1 september 2021 . Indien hierin wijzigingen plaatsvinden, dient u dit bij ons aan te geven.
- -U levert binnen dertien weken nadat de activiteit is uitgevoerd, maar uiterlijk op 1 december 2021, een verzoek tot vaststelling in.
Bij correspondentie verzoeken wij u het zaaknummer 202101245 te vermelden.
- -U bewaart de stukken die betrekking hebben op de besteding van de subsidie en de uitvoering van de activiteit tot zes maanden nadat de activiteit is uitgevoerd.
## Aanvullend verzoek
Daarnaast verzoeken wij u om in uw communicatie over de activiteit tot uitdrukking te brengen dat deze mede mogelijk worden gemaakt door de provincie Drenthe. Dit met het oog op het informeren van de burgers over de besteding van belastinggelden.
## Meldingsplicht
Als blijkt dat u de gesubsidieerde activiteit niet zult uitvoeren of dat u niet aan alle verplichtingen zult voldoen, stelt u ons daarvan direct schriftelijk of per mail op de hoogte.
Daarnaast stelt u ons zo spoedig mogelijk op de hoogte van:
- -relevante wijzigingen in de financiële en organisatorische verhouding met derden;
- -wijzigingen van de statuten betreffende de vorm van de rechtspersoon, de persoon van de bestuurder(s) en het doel van de rechtspersoon.
Indien u niet voldoet aan de meldingsplicht, kunnen wij dit besluit tot subsidieverlening in uw nadeel wijzigen of intrekken en het uitbetaalde subsidiebedrag geheel of gedeeltelijk terugvorderen.
## Vaststelling
In het verzoek tot vaststelling toont u aan dat de activiteit is verricht en dat aan de opgelegde prestatieverplichtingen is voldaan. Het verzoek tot vaststelling bevat in ieder geval:
- -een activiteitenverslag.
Het vaststellingsverzoek kan gecombineerd worden met het vaststellingsverzoek van het eerste deel van de haalbaarheidsstudie, waarvoor wij u reeds € 25.000,00 hebben verleend.
Het niet tijdig indienen van het verzoek tot vaststelling kan gevolgen hebben voor de hoogte waarop de subsidie wordt vastgesteld. Als u geen verzoek tot vaststelling indient, stellen wij de subsidie ambtshalve vast. Wij doen dat op grond van de informatie die wij op dat moment hebben, waardoor de subsidie vaak lager of op nihil wordt vastgesteld. U ontvangt binnen 22 weken na ontvangst van uw verzoek tot vaststelling onze beslissing hierop.
Het verzoek tot vaststelling kunt u per e-mail toesturen naar post@drenthe.nl of per post naar het college van Gedeputeerde Staten van Drenthe, ter attentie van team Subsidies en Inkoop, Postbus 122, 9400 AC Assen.
## Juridisch kader
Op dit besluit is de volgende wet- en regelgeving van toepassing:
- de Verordening (EU) Nr. 651/2014 van de Commissie vna 17 juni 2014, waarbij bepaalde categorien steun op grond van de artikelen 107 en 108 van het verdrag met de interne markt verenigbaar worden verklaard, Algemene Groepsvrijstellingsverordening (AGVV (PbEU L187/1));
- de Algemene wet bestuursrecht
- de Algemene subsidieverordening Drenthe 2017
## Staatssteun
Voor uw aanvraag hebben wij gekeken of er sprake is van staatssteun. Dit is bij u het geval, omdat uw onderneming door middel van staatsmiddelen selectief wordt gesteund en er door het project een verstoring van de interne markt kan zijn. Deze steun valt onder de werking van de AGVV. In het bijzonder onder de vrijstellingscategorie voor steun voor onderzoek, ontwikkeling en innovatie
(hoofdstuk III Deel 4 van de AGVV) en dan artikel 25 van de AGVV, specifiek de haalbaarheidsstudie zoals bedoeld in artikel 25, lid 2 onder d van de AGVV.
De in aanmerking komende kosten kunnen voor maximaal 70% worden gesubsidieerd. De totale subsidiabele kosten van uw project bedragen € 156.750,00. De subsidie van de provincie Drenthe bedraagt in totaal € 30.000,00 waardoor de steunintensiteit 19% bedraagt.
Uw project voldoet aan de gestelde voorwaarden voor deze steun en aan de algemene bepalingen van de AGVV. De te verlenen subsidie heeft een stimulerend effect in de zin van voornoemde verordening van de Europese Commissie. Daarmee kan de subsidie geoorloofd worden verleend. Wij geven van de verlening van deze subsidie, overeenkomstig de desbetreffende bepalingen van de AGVV, binnen 20 werkdagen na dagtekening van deze beschikking kennis aan de Europese Commissie en publiceren deze beschikking op onze website. Volledigheidshalve zij hierbij opgemerkt dat de subsidieverlening van 1 juni 2021 ter hoogte van € 25.000,-- reeds is kennisgegeven en de beschikking is gepubliceerd op onze website.
Betaling van de subsidie sluiten wij uit, indien zou blijken dat de aan u onderneming verleende steun onrechtmatig is en onverenigbaar is verklaard met de interne markt.
## Steekproef
Zoals wij hierboven aangaven, hoeft u de besteding van de subsidie achteraf alleen inhoudelijk te verantwoorden. Onderdeel van ons subsidiebeleid, zoals vastgelegd in de Algemene subsidieverordening Drenthe 2017 en de Provinciale leidraad voor het tegengaan van misbruik en oneigenlijk gebruik van subsidies, is dat wij achteraf via steekproeven controleren of subsidies rechtmatig en doelmatig zijn besteed.
Ten behoeve van eventueel onderzoek dat zal worden verricht bent u verplicht de volgende gegevens over de besteding van de subsidie en de uitvoering van het project voor ons beschikbaar te houden tot zes maanden na de voltooiing van de activiteiten waarvoor wij de subsidie verlenen:
- bewijsmiddelen waaruit blijkt dat de gesubsidieerde activiteiten volledig zijn uitgevoerd;
- bewijsmiddelen waaruit blijkt dat de met de uitvoering van de gesubsidieerde activiteiten beoogde resultaten zijn behaald;
- bewijsmiddelen waaruit blijkt dat de subsidie is besteed aan de gesubsidieerde activiteiten. Indien u niet of niet geheel voldoet aan de verplichting om deze gegevens beschikbaar te houden, kan
dat tot gevolg hebben dat wij de subsidievaststelling intrekken en dat u de subsidie geheel of gedeeltelijk moet terugbetalen.
De gegevens die wij uit een steekproef verkrijgen, gebruiken wij in beginsel alleen om te beoordelen of de subsidie is besteed overeenkomstig de verlening. Slechts indien blijkt dat er sprake is geweest van misbruik of oneigenlijk gebruik van deze subsidie (bijvoorbeeld als de subsidie is besteed aan andere activiteiten dan waarvoor deze werd verleend, of als de activiteiten niet of niet geheel hebben plaatsgevonden en u dit niet tijdig hebt gemeld), kan dat voor ons aanleiding zijn om de subsidie lager vast te stellen, of om de subsidieverlening ten nadele van u te wijzigen of in te trekken. In dergelijke gevallen loopt u het risico dat u het ontvangen voorschot geheel of gedeeltelijk moet terugbetalen
## Nadere informatie
Mocht u nog vragen hebben, dan kunt u contact opnemen met
.
Hoogachtend,
Gedeputeerde Staten van Drenthe, namens dezen,
ir. R. Bakker, Teammanager Subsidies en Inkoop
&lt;!-- image --&gt;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t>
  </si>
  <si>
    <t>last onder dwangsom [21485:21504]</t>
  </si>
  <si>
    <t>[...] ing van het nieuwe handhavingsbeleid van de Kansspelautoriteit 22 binnen enkele dagen het aanbod aan Nederlandse consumenten hebben gestaakt. ## 8 Besluit 45. De Kansspelautoriteit legt aan overtreder de volgende last onder dwangsom op: - a. Overtreder wordt op straffe van verbeurte van een dwangsom gelast uiterlijk binnen twee weken na dagtekening van dit besluit de overtreding(en) van artikel 1, eerste lid, onder a, van de Wok te staken en gesta [...]</t>
  </si>
  <si>
    <t>KSA__https___kansspelautoriteit.nl_sites_default_files_20230523_01-291-294_openbaar_besluit_last_onder_dwangsom_vl_spellen.txt::Ontvanger</t>
  </si>
  <si>
    <t>KSA__https___kansspelautoriteit.nl_sites_default_files_20230523_01-291-294_openbaar_besluit_last_onder_dwangsom_vl_spellen.txt</t>
  </si>
  <si>
    <t>VL</t>
  </si>
  <si>
    <t>vl</t>
  </si>
  <si>
    <t>VL [54403:54405]</t>
  </si>
  <si>
    <t>[...] nen te worden genomen. Het is aan de overtreder een keuze te maken welke maatregelen getroffen dienen te worden om de overtreding te beëindigen. 42 ## Besluit 84. De raad van bestuur van de Kansspelautoriteit legt VL de volgende last onder dwangsom op: 2. -VL moet uiterlijk 13 juni 2023, 12 uur, de overtreding van artikel 1, eerste lid, aanhef en onder a, van de Wok - bestaande uit het aanbieden van een kansspel op afstand, de Spel [...]</t>
  </si>
  <si>
    <t>KSA__https___kansspelautoriteit.nl_sites_default_files_20230523_01-291-294_openbaar_besluit_last_onder_dwangsom_vl_spellen.txt::Besluitvormend Orgaan</t>
  </si>
  <si>
    <t>Aan: Stichting Veenomenaal Veenpark t.a.v. het bestuur Berkenrode 4 7884 TR  BARGER-COMPASCUUM
&lt;!-- image --&gt;
Assen, 19 november 2021 Ons kenmerk 202103177-00970662
Behandeld door
Verplichtingennummer 80217
Onderwerp: Verlening subsidie professionalisering Veenpark (boekjaar 2021 en 2022)
## Geacht bestuur,
Op 27 oktober 2021 ontvingen wij uw subsidieaanvraag voor de professionalisering van de organisatie van het Veenpark. In deze brief informeren wij u over ons besluit op uw aanvraag.
De ontwikkeling van Veenpark tot museum van provinciaal belang is onderwerp dat opgenomen is in onze cultuurnota. Als zodanig is er voor u een boekjaarsubsidie van maximaal € 75.000,00 gereserveerd.
Met deze beschikking verlenen wij u een subsidie van maximaal € 150.000,00, uw boekjaarsubsidie voor de jaren 2021 en 2022. De subsidie voor 2022 wordt verleend onder voorbehoud van het vaststellen van de begroting door Provinciale Staten.
Afzonderlijk van deze beschikking ontvangt u een verleningsbeschikking voor nog eens € 150.000,00 vanuit de rijksgelden voor verbreding en vernieuwing die de provincie voor dit doel gereserveerd heeft.
## Voorschot
Wij hebben besloten u een voorschot te verstrekken van € 75.000,00, zijnde 50% van de verleende subsidie, uw boekjaarsubsidie voor 2021. Dit voorschot maken wij binnen dertig dagen na dagtekening van deze brief over op bankrekeningnummer , onder vermelding van het kenmerk van deze brief.
De overige € 75.000,00, uw boekjaarsubsidie voor 2022, maken wij in juni 2022 aan u over.
## Prestatieverplichtingen
Bij het uitvoeren van de activiteit bent u gebonden aan de volgende prestatieverplichtingen:
Bij correspondentie verzoeken wij u het zaaknummer 202103177 te vermelden.
Voor deze subsidie moet u de volgende prestaties uitvoeren overeenkomstig uw activiteitenplan.
- -Extra (tijdelijke) functies creëren en verhogen van het aantal FTE's.
- -Externe ondersteuning inhuren op het gebied van projectmanagement; onder andere een medewerker voor marketing en communicatie en een coördinator voor de vrijwilligers.
- -Externe ondersteuning inhuren om de voorwaarden voor de 'Code Cultural Governance 2019' te realiseren.
- -Externe ondersteuning inhuren om een 'Erkend Museum' te worden, in de vorm van een conservator, een collectiemedewerker en een medewerker voor educatie en publieksbegeleiding.
- -Externe administratief - juridische ondersteuning inhuren.
- -Externe IT- ondersteuning inhuren.
- -De projectactiviteiten starten op 27 oktober 2021 en worden uitgevoerd uiterlijk op 31 december 2022 . Indien hierin wijzigingen plaatsvinden, dient u dit bij ons aan te geven.
U levert vóór 1 juli 2022 tussentijdse rapportage een tussentijdse rapportage in.
U levert uiterlijk vóór 1 mei 2023 een verzoek tot vaststelling in. U kunt voor deze subsidie en de subsidie vanuit de rijksgelden verbreding en vernieuwing één verzoek tot vaststelling indienen.
U bewaart de stukken die betrekking hebben op de besteding van de subsidie en de uitvoering van de activiteit tot zes maanden nadat de activiteiten zijn uitgevoerd.
## Aanvullend verzoek
Daarnaast verzoeken wij u om in uw communicatie over de activiteit tot uitdrukking te brengen dat deze mede mogelijk worden gemaakt door de provincie Drenthe. Dit met het oog op het informeren van de burgers over de besteding van belastinggelden.
## Meldingsplicht
Als blijkt dat u de gesubsidieerde activiteit niet zult uitvoeren of dat u niet aan alle verplichtingen zult voldoen, stelt u ons daarvan direct schriftelijk of per mail op de hoogte.
Daarnaast stelt u ons zo spoedig mogelijk op de hoogte van:
- -relevante wijzigingen in de financiële en organisatorische verhouding met derden;
- -wijzigingen van de statuten betreffende de vorm van de rechtspersoon, de persoon van de bestuurder(s) en het doel van de rechtspersoon.
Indien u niet voldoet aan de meldingsplicht, kunnen wij dit besluit tot subsidieverlening in uw nadeel wijzigen of intrekken en het uitbetaalde subsidiebedrag geheel of gedeeltelijk terugvorderen.
## Vaststelling
In het verzoek tot vaststelling toont u aan dat de activiteiten zijn verricht en dat aan de opgelegde prestatieverplichtingen is voldaan. Het verzoek tot vaststelling bevat in ieder geval:
- -een activiteitenverslag;
- -een financieel verslag of jaarrekening.
Het niet tijdig indienen van het verzoek tot vaststelling kan gevolgen hebben voor de hoogte waarop de subsidie wordt vastgesteld. Als u geen verzoek tot vaststelling indient, stellen wij de subsidie ambtshalve vast. Wij doen dat op grond van de informatie die wij op dat moment hebben, waardoor de subsidie vaak lager of op nihil wordt vastgesteld. U ontvangt binnen 22 weken na ontvangst van uw verzoek tot vaststelling onze beslissing hierop.
Het verzoek tot vaststelling kunt u per e-mail toesturen naar post@drenthe.nl of per post naar het college van Gedeputeerde Staten van Drenthe, ter attentie van team Subsidies en Inkoop, Postbus 122, 9400 AC Assen.
## Juridisch kader
Op dit besluit is de volgende wet- en regelgeving van toepassing:
- de Algemene wet bestuursrecht
- de Algemene subsidieverordening Drenthe 2017
## Staatssteun
Voor uw aanvraag hebben wij gekeken of er sprake is van staatssteun. Dit is bij u het geval, omdat uw onderneming door middel van staatsmiddelen selectief wordt gesteund, en er door het project een verstoring van de interne markt kan zijn. Deze steun valt onder de werking van de AGVV. In het bijzonder onder de vrijstellingscategorie voor steun voor cultuur en instandhouding van het erfgoed (Hoofdstuk III Deel 11, artikel 53 van de AGVV), meer specifiek exploitatiesteun.
De in aanmerking komende kosten kunnen voor maximaal 80% worden gesubsidieerd. De totale kosten voor de exploitatie van het Veenpark voor de jaren 2021-2022 bedragen € 2.246.383,--. Er wordt aan de provincie Drenthe een subsidie gevraagd van € 300.000,-- voor de uitbreiding van de organisatie met diverse functies en het inhuren van externe ondersteuning op meerdere vakgebieden voor de rest van het jaar 2021 en 2022. De steunintensiteit bedraagt hiermee 13%, waarmee het onder de maximale steunintensiteit blijft.
Uw project voldoet aan de gestelde voorwaarden voor deze steun en aan de algemene bepalingen van de AGVV. De te verlenen subsidie heeft een stimulerend effect in de zin van voornoemde verordening van de Europese Commissie. Daarmee kan de subsidie geoorloofd worden verleend.
Wij geven van de verlening van deze subsidie, overeenkomstig de desbetreffende bepalingen van de AGVV, binnen 20 werkdagen na dagtekening
van beide beschikkingen kennis aan de Europese Commissie. Ten behoeve van deze kennisgeving publiceren zowel de provincie Drenthe als de gemeente Emmen de aan u toegezonden beschikkingen op onze websites.
Betaling van de subsidie sluiten wij uit, indien zou blijken dat de aan uw onderneming verleende steun onrechtmatig is en onverenigbaar is verklaard met de interne markt.
## Nadere informatie
Mocht u nog vragen hebben, dan kunt u contact opnemen met
.
Hoogachtend,
Gedeputeerde Staten van Drenthe,
namens dezen,
ir. R. Bakker, Teammanager Subsidies en Inkoop
&lt;!-- image --&gt;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t>
  </si>
  <si>
    <t>De raad van bestuur van de Kansspelautoriteit [54352:54397]</t>
  </si>
  <si>
    <t>de raad van bestuur van de Kansspelautoriteit [27:72]</t>
  </si>
  <si>
    <t>www.provincie.drenthe.nl
Aan: Stichting Drenthevents t.a.v. het bestuur Druwerbrink 111 7812 TC  EMMEN
Assen, 3 december 2024 Ons kenmerk: 202401737-01138564 Behandeld door (0592) 36 Verplichtingennummer V007340 Onderwerp: Verlening subsidie Pitfest
Geacht bestuur,
Op 26 september 2024 ontvingen wij uw subsidieaanvraag. U vraagt een boekjaarsubsidie aan van € 25.000,00. In deze brief leest u ons besluit.
## Advies Provinciale Adviescommissie Cultuur
Wij hebben uw aanvraag op 21 en 22 oktober 2024 ter advisering voorgelegd aan de Provinciale Adviescommissie Cultuur (hierna: adviescommissie). De adviescommissie heeft ons gemotiveerd geadviseerd om in totaal 19 punten toe te kennen aan uw aanvraag. U vindt het advies in de bijlage bij deze brief. Daarnaast hebben wij een bijlage toegevoegd met daarin een totaaloverzicht van de aanvragen waarover de adviescommissie haar advies uitgebracht heeft.
## Wij nemen het advies over
Wij zijn van mening dat de adviescommissie uw aanvraag op een juiste en zorgvuldige wijze heeft beoordeeld en het resultaat daarvan zijn weerslag vindt in het door de adviescommissie uitgebrachte advies.
## U ontvangt een subsidie van € 25.000,00
Dit is de subsidie die wij u verlenen. U heeft voldoende punten behaald om voor subsidie in aanmerking te komen. Voor de motivering van de puntentoekenning verwijzen wij naar het advies van de adviescommissie in de bijlage bij deze brief.
## U ontvangt een voorschot van € 20.000,00
De subsidie ontvangt u in een aantal delen. Het bedrag, zijnde 80% van de subsidie, maken wij in de maand januari 2025 over naar uw IBAN . Wij vermelden er het kenmerk van deze brief bij. Bij de vaststelling van de subsidie kunt u, na beoordeling van uw aanvraag tot vaststelling, het restantbedrag ontvangen.
## Activiteiten
Bij correspondentie verzoeken wij u het zaaknummer 202401737 te vermelden. U ontvangt de subsidie voor de activiteiten binnen het boekjaar 2025. Met deze subsidie gaat u festival
&lt;!-- image --&gt;
&lt;!-- image --&gt;
## eDrenthe provincieI
&lt;!-- image --&gt;
&lt;!-- image --&gt;
Pitfest organiseren. Stichting DrenthEvents draagt met Pitfest op een bijzondere manier bij aan de promotie van alternatieve muziek in Noord-Nederland, door een diverse mix van extreme muziekstijlen te presenteren. Het doel is om jaarlijks minimaal drie Drentse bands de mogelijkheid te bieden zich voor een breder publiek te profileren en zo hun bereik te vergroten. Voor de exacte omschrijving van alle activiteiten verwijzen wij naar uw aanvraag en de daarbij behorende bijlagen.
## Uw subsidie hebben wij als volgt berekend
Op grond van de subsidieregeling onder de discipline festivals bedraagt de subsidie 50% van de subsidiabele kosten tot een maximum van € 25.000,00. De subsidiabele kosten bedragen uit uw begroting bedragen € 299.639,22. Het subsidiebedrag bedraagt hiermee maximaal € 25.000,00.
## Subsidieverplichtingen
Aan de subsidie zijn de volgende verplichtingen verbonden:
U voert de activiteiten uit in de periode van 1 januari 2025 tot en met 31 december 2025
## U meldt het ons als u de activiteiten anders of niet gaat uitvoeren
U doet deze melding binnen twee weken nadat u het weet. U doet deze melding schriftelijk via subsidieloket@drenthe.nl. Deze melding is voor u van belang. Als u de activiteiten niet, niet helemaal of anders uitvoert dan in uw aanvraag en deze brief is genoemd, kan de subsidie lager worden vastgesteld of worden ingetrokken. U moet dan een bedrag aan ons terugbetalen. Daarnaast doet u melding als u niet voldoet aan de subsidieverplichtingen en in gevallen als bedoeld in artikel 16, tweede lid van de Algemene subsidieverordening provincie Drenthe 2023.
## U zorgt voor een goede administratie
Bij een eventuele controle kunt u aantonen dat u de activiteiten heeft uitgevoerd en de kosten heeft gemaakt. Dat kan bijvoorbeeld blijken uit bewaarde rekeningen, bonnen, een urenadministratie of andere gebruikelijke manieren om activiteiten, kosten of tijdsbesteding helder te maken. U bewaart deze minimaal zeven jaar na het einde van de projectperiode.
## U dient vóór 1 mei 2026 een aanvraag tot vaststelling in
U stuurt deze aanvraag naar subsidieloket@drenthe.nl. Uw aanvraag tot vaststelling bestaat uit:
-  Een inhoudelijk verslag, waaruit blijkt dat de activiteiten waarvoor de subsidie is verleend zijn uitgevoerd en dat is voldaan aan de subsidieverplichtingen.
-  Een kostenverantwoording, in hetzelfde format als uw aangeleverde begroting welke meegestuurd is bij de aanvraag, waaruit blijkt wat de werkelijk gemaakte subsidiabele kosten zijn van de activiteiten en de hieraan verbonden inkomsten.
Als u de activiteiten heeft uitgevoerd en aan de subsidieverplichtingen heeft voldaan, stellen wij de subsidie vast op getal 50% van de werkelijk gemaakte subsidiabele kosten, met als maximum het verleende subsidiebedrag.
Zorgt u ervoor dat wij uw aanvraag tot vaststelling op tijd ontvangen. Hiermee voorkomt u dat wij uw subsidie ambtshalve moeten vaststellen. Hierdoor wordt de subsidie in veel gevallen lager of op nihil vastgesteld. De ontvangen voorschotten moet u dan terugbetalen.
## Staatssteun
&lt;!-- image --&gt;
Voor uw aanvraag hebben wij gekeken of er sprake is van staatssteun. Dit is bij u het geval, omdat uw activiteiten door middel van staatsmiddelen selectief worden gesteund en er door deze steun een verstoring van de interne markt kan zijn. Deze steun valt onder de Algemene groepsvrijstellingsverordening (hierna: AGVV), in het bijzonder onder de vrijstellingscategorie voor steun voor cultuur en instandhouding van het erfgoed (Hoofdstuk lll, Deel ll, artikel 53 van de AGVV), meer specifiek investeringssteun. De totale subsidiabele kosten van uw project zijn geraamd op € 299.639,22. Het bedrag aan steun van de provincie Drenthe bedraagt € 25.000,00. Daarmee bedraagt de steunintensiteit van deze subsidie 8,34%. De steun blijft hiermee binnen de maximaal toegestane steunintensiteit van 80%.
## Een vergunning nodig?
Misschien heeft u voor de uit te voeren activiteiten nog een vergunning of andere vorm van toestemming nodig, mogelijk zelfs van ons. Deze subsidie staat geheel los van het krijgen van die vergunning die u nodig heeft voor uw activiteiten. Daarvoor gelden namelijk andere regels.
## Steekproefcontrole
Naast de beoordeling van uw aanvraag tot vaststelling kunnen wij deze subsidie ook controleren. De steekproefcontroles hebben tot doel misbruik en onregelmatigheden van subsidiegelden tegen te gaan. Wij controleren of de subsidie rechtmatig en doelmatig is besteed en of u heeft voldaan aan de aan de subsidie verbonden verplichtingen. Indien wij misbruik of onregelmatigheden constateren loopt u het risico dat de subsidie geheel of gedeeltelijk teruggevorderd wordt. Het is zeer belangrijk dat u bewijsstukken bewaart en eventuele wijzigingen op tijd aan ons meldt.
## Juridisch kader
Voor dit besluit gelden:
- -de Algemene wet bestuursrecht
- -de Algemene subsidieverordening provincie Drenthe 2023
- -de Subsidieregeling versterking en verbreding Drentse culturele basisinfrastructuur
- -de Verordening (EU) nr. 651/2014 van de Commissie van 17 juni 2014 waarbij bepaalde categorieën steun op grond van de artikelen 107 en 108 van het Verdrag met de interne markt verenigbaar worden verklaard (PbEU 2014, L 187)
## Communicatie
Wij vragen u, of u in uw communicatie over het project wilt vermelden dat het project mede mogelijk gemaakt wordt door de Provincie Drenthe.
## Openbare informatie over uw subsidie
De naam van de aanvrager, de naam van het project of de korte omschrijving van de activiteiten, het verstrekte subsidiebedrag en het zaaknummer nemen wij op in het subsidieregister op onze website. Namen van personen worden niet genoemd.
Daarnaast publiceren wij de volledige subsidiebeschikking op onze website. Dit doen wij omdat dit een algemene verplichting is van de AGVV. De subsidiebeschikking wordt ook gepubliceerd op de website van de Europese Commissie. Namen van personen worden niet genoemd.
## Heeft u vragen?
Als u vragen heeft neem dan contact op met
Hoogachtend,
Gedeputeerde Staten van Drenthe, namens dezen,
L. van Oosten-van Raalte Themamanager Inkoop &amp;amp; Subsidies
&lt;!-- image --&gt;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
&lt;!-- image --&gt;
, telefoonnummer (0592) 36
.
## ADVIES PROVINCIALE ADVIESCOMMISSIE CULTUUR
Aanvrager: Pitfest, Stichting DrenthEvents
Activiteiten: Pitfest, muziek
Gevraagd subsidiebedrag: € 25.000,00
Discipline: festival
Bij de vergadering van de Adviescommissie Cultuur op 21/22 oktober 2024 waren aanwezig:
Mevrouw A. Nijhof (voorzitter)
Mevrouw R. Bijlsma
Mevrouw A. Boomstra
De heer P. Hiemstra
Mevrouw. G. Isphording
De heer T. Ufkes
## Punten
| Artistieke kwaliteit (min. 3)                     |   7 |
|---------------------------------------------------|-----|
| Maatschappelijke betekenis (min. 1)               |   3 |
| Jeugd                                             |   3 |
| Spreiding en bereik (min. 1)                      |   4 |
| Financieel draagvlak                              |   1 |
| Kwaliteit organisatie en bedrijfsvoering (min. 1) |   1 |
| Totaal (tenminste 13 punten, artikel 13 lid 1.)   |  19 |
## Opmerkingen van de adviescommissie
## Artistieke kwaliteit: 7
De commissie heeft grote waardering voor de acts die naar Drenthe worden gehaald, er is sprake van een grote oorspronkelijkheid. Niets veroudert zo snel als nieuwe muziek en Pitfest laat zien dat zij goed geïnformeerd is en meebeweegt op tendensen zonder zijn eigen identiteit te verliezen. Er is een mooie mix voor gevestigde en nieuwe bands, waarbij ook oog is voor de mix van Drentse en internationale artiesten. De professionele benadering van de organisatie en de programmering wordt geroemd.
## Maatschappelijke betekenis: 3
Pitfest biedt alternatieve muziekgenres en kunstvormen een podium, er zijn samenwerkingen in culturele en creatieve industrie. Het festival biedt een open en toegankelijke ruimte voor muziekliefhebbers en artiesten die zich vaak niet thuis voelen bij mainstream evenementen. Pitfest geeft podium aan een muziekgenre met een specifieke doelgroep. Daarnaast is er ruimte in de programmering voor samenwerkingen met andere disciplines. Daarbij is er ook veel sociale verbinding met en tussen de vrijwilligers en publiek. Voor de Drentse bands en het jong talent is Pitfest een unieke kans. Circulair en duurzaam zijn als thema ook geborgd in de organisatie.
## Jeugd: 3
De doelgroep van Pitfest is 16-30 jaar, waarbij ook ruimte is voor jonge bands. Jongeren kunnen ook als vrijwilliger meehelpen en worden betrokken bij het blijven organiseren in de toekomst. Door de input van
&lt;!-- image --&gt;
&lt;!-- image --&gt;
de jongeren blijft Pitfest aantrekkelijk voor deze groep. Er wordt rekening gehouden met het entreetarief voor jongeren.
## Spreiding en bereik: 4
Pitfest heeft een bovenlokale aantrekkingskracht, het specifieke aanbod maakt Pitfest uniek en trekt bezoekers uit heel Europa naar Zuidoost Drenthe.
De vestigingsplaats van de organisatie levert bij dit criterium een extra punt op, omdat deze in Zuidoost Drenthe is.
## Financieel draagvlak: 1
Pitfest krijgt structurele subsidie van de gemeente Emmen. Er is incidentele subsidie ontvangen van het rijk. En de eigen inkomsten zijn goed op orde.
## Kwaliteit organisatie en bedrijfsvoering: 1
Bij de Fair Practice Code had de commissie een uitgebreidere onderbouwing willen zien, waarbij de eerlijke beloning voor artiesten en medewerkers met cijfers en voorbeelden was verduidelijkt. Wat verstaat de organisatie precies onder het evenwicht tussen betaalbaarheid voor het publiek en de eerlijke vergoeding voor de betrokkenen.
Ook bij de Cultural Governance code had de commissie een uitgebreidere onderbouwing willen ontvangen. De structuur van de organisatie, de samenstelling van het bestuur en de werkgroepen, hadden beter toegelicht kunnen worden in de aanvraag.
Voor toepassing van de Code Diversiteit &amp;amp; Inclusie geeft de commissie één punt.
Het is voor de commissie onduidelijk hoe de structuur van de organisatie in elkaar zit. Dit zou beter beschreven kunnen worden.
## Conclusie
Pitfest is het enige grote festival in dit genre in Drenthe, daarmee is Pitfest een waardevolle toevoeging. De aanvraag ademt gedrevenheid en het is goed om te zien dat Pitfest een actieve houding heeft om bands te scouten zowel provinciaal, landelijk als internationaal.
Assen,
Handtekening voorzitter,
&lt;!-- image --&gt;
&lt;!-- image --&gt;
## Totaaloverzicht Subsidie Versterking en verbreding Drentse culturele basisinfrastructuur
|   Nr. | Naam Aanvrager                                 | Discipline        | Aangevraagd bedrag   |   Score | Besluit   |
|-------|------------------------------------------------|-------------------|----------------------|---------|-----------|
|     1 | Stichting Drents Productiehuis Mevrouw Ogterop | Theater           | € 65.000,00          |      21 | Verlenen  |
|     2 | Stichting Wabi Sabi                            | Theater           | € 65.000,00          |      21 | Verlenen  |
|     3 | Stichting Roestvrij Theater                    | Theater           | € 65.000,00          |      24 | Verlenen  |
|     4 | Margaretha Consort                             | Muziek            | € 35.000,00          |      16 | Verlenen  |
|     5 | Stichting Somer                                | Muziek            | € 35.000,00          |      17 | Verlenen  |
|     6 | Forum Groningen                                | Film              | € 25.000,00          |      17 | Verlenen  |
|     7 | Stichting Zuidhaege                            | Dans              | € 25.000,00          |      10 | Afwijzen  |
|     8 | Stichting Amonet                               | Interdisciplinair | € 25.000,00          |      14 | Verlenen  |
|     9 | DE PROEF Campus                                | Interdisciplinair | € 50.000,00          |      17 | Verlenen  |
|    10 | Stichting DrenthEvents                         | Festival          | € 25.000,00          |      19 | Verlenen  |
|    11 | Stichting Pinkenpop                            | Festival          | € 15.000,00          |       6 | Afwijzen  |
|    12 | Stichting Festival Midzomernacht Diever        | Festival          | € 25.000,00          |      19 | Verlenen  |
|    13 | Stichting LACDA                                | Beeldende kunst   | € 25.000,00          |      17 | Verlenen  |</t>
  </si>
  <si>
    <t>## OPENBAAR Besluit van de raad van bestuur van de Kansspelautoriteit als bedoeld in artikel 35 van de Wet op de kansspelen. Kenmerk: 01.290.898 Openbaar onder kenmerk: 01.291.294 ## Besluit ## Samenvatting 1. De raad van bestuur van de Kansspelautoriteit (hierna: de Kansspelautoriteit) heeft vastgesteld dat de VriendenLoterij N.V. (hierna: VL) met de Spellen Loterij, waarvan de (online) spellen VriendenLoterij Miljonairs, Club-man en Bingo Crush een onderdeel zijn, een online kansspel aanbiedt, zonder daartoe over de vereiste vergunning te beschikken. Hiermee handelt VL in strijd met artikel 1, aanheft en onder a, van de Wet op de kansspelen (hierna: de Wok). De Kansspelautoriteit legt VL een last onder dwangsom op om het onvergunde online kansspel te staken en gestaakt te houden. 2. In aanvulling hierop valt, ongeacht of het door VL aangeboden kansspel een loterij is, het aangeboden kansspel niet onder de uitzondering van artikel 31, tweede lid, van de Wok. Deze uitzondering heeft betrekking op het online mogen aanbieden van deelnamebewijzen, zonder daartoe beschikking te hebben over een vergunning voor kansspelen op afstand. VL biedt met dit kansspel op afstand online meer aan dan enkel deelnamebewijzen. ## Betrokken partij 3. Dit besluit betreft het handelen van de VriendenLoterij N.V. gevestigd aan de Beethovenstraat 200, 1077 JZ te Amsterdam. &lt;!-- image --&gt; OPENBAAR Kansspelautoriteit 15 mei 2023 01.291.294 4. VL is houder van een vergunning voor het organiseren van niet-incidentele loterijen, verstrekt op basis van artikel 3 van de Wok. Onder deze vergunning mogen loterijen georganiseerd worden ten behoeve van het algemeen belang. De vergunning van VL, geldig van 1 januari 2022 tot en met 31 december 2026, is op 21 oktober 2021 verleend door de raad van bestuur, onder kenmerk 300027/14481. 1 VL is onderdeel van de Holding Nationale Goede Doelen Loterijen N.V. ## Juridisch kader ## Bevoegdheid Kansspelautoriteit 5. Op grond van artikel 33b van de Wok heeft de Kansspelautoriteit onder meer tot taak het toezicht op de naleving van de toepasselijke wet- en regelgeving en de vergunningen, alsmede de handhaving daarvan. 6. Artikel 35 van de Wok bepaalt dat de Kansspelautoriteit een last onder bestuursdwang kan opleggen wegens overtreding van de voorschriften vastgesteld bij of krachtens de Wok, met uitzondering van titel VA., paragraaf 2 van de Wok. 7. Artikel 5:32, eerste lid, van de Algemene wet bestuursrecht (hierna: Awb) bepaalt dat een bestuursorgaan dat bevoegd is een last onder bestuursdwang op te leggen, in plaats daarvan aan de overtreder een last onder dwangsom kan opleggen. ## Kansspelen 8. Artikel 1, eerste lid, aanhef en onder a, van de Wok bepaalt dat het verboden is om gelegenheid te geven om mede te dingen naar prijzen of premies, indien de aanwijzing der winnaars geschiedt door enige kansbepaling waarop de deelnemers geen overwegende invloed kunnen uitoefenen, tenzij daarvoor ingevolge deze wet vergunning is verleend. 9. Artikel 3, eerste lid, van de Wok bepaalt dat tenzij deze wet anders bepaalt, voor een gelegenheid als bedoeld in artikel 1, onder a, een vergunning kan worden verleend, indien deze gelegenheid wordt opengesteld uitsluitend ten einde met 1 Aan VL is op 23 december 2016 een vergunning verleend onder kenmerk 10234 door de raad van bestuur van de Kansspelautoriteit en gold van 1 januari 2017 tot en met 31 december 2021. 15 mei 2023 01.291.294 - de opbrengst daarvan enig algemeen belang te dienen. De vergunning wordt verleend door de raad van bestuur van de Kansspelautoriteit, bedoeld in artikel 33a van de Wok. ## Kansspelen op afstand 10. Artikel 31, eerste lid, van de Wok bepaalt dat onder een kansspel op afstand wordt verstaan: een gelegenheid als bedoeld in artikel 1, eerste lid, onder a van deze wet, die op afstand met elektronische communicatiemiddelen wordt gegeven en waaraan wordt deelgenomen zonder fysiek contact met degene die die gelegenheid geeft of die voor deelname aan die kansspelen ruimte en middelen ter beschikking stelt. 11. Artikel 31a, eerste lid van de Wok bepaalt dat de Kansspelautoriteit een vergunning kan verlenen tot het organiseren van kansspelen op afstand. ## Onderscheid loterijen en kansspelen op afstand 12. Artikel 31, tweede lid, van de Wok bepaalt dat, met uitzondering van het aanbieden van deelnamebewijzen aan de bij of krachtens algemene maatregel van bestuur aangewezen kansspelen waarvoor op grond van een andere dan titel Vb vergunning is verleend, uitsluitend een vergunning wordt verleend voor het organiseren van kansspelen op afstand overeenkomstig de bepalingen van titel Vb. De in de algemene maatregel van bestuur aangewezen kansspelen zijn genoemd in artikel 1.2 van het Besluit kansspelen op afstand (hierna: Besluit KOA). Hieronder vallen onder andere de kansspelen die krachtens een vergunning op grond van artikel 3 van de Wok worden georganiseerd. 13. In de toelichting bij artikel 1.2 van het Besluit KOA heeft de wetgever vermeld dat voor de verkoop van deelnamebewijzen via het internet geen vergunning voor kansspelen op afstand is vereist, omdat dit onder de uitzondering van artikel 31, tweede lid, van de Wok valt. De wetgever vervolgt dat hiermee de voorheen gangbare praktijk wordt bestendigd waarbij de speler thuis vanachter zijn computer via het internet een lot kan kopen. 2 14. Artikel 2.1, tweede lid, van het Besluit KOA bepaalt dat geen vergunning verleend kan worden voor het op afstand organiseren van loterijen. 2 Toelichting op het besluit Kansspelen op afstand (Stb-2021, 37), p. 87 en 88 OPENBAAR Kansspelautoriteit 15 mei 2023 01.291.294 15. In de toelichting bij artikel 2.1, tweede lid, van het Besluit KOA heeft de wetgever benadrukt dat 'hiermee een onderscheid is aangebracht tussen loterijproducten en andere kansspelen als sportweddenschappen, weddenschappen op de uitslagen van paardenrennen en harddraverijen, en casinospelen.' 3 ## Vergunning 16. In de vergunning is opgenomen dat deze is verstrekt aan VL voor het organiseren van niet-incidentele loterijen als bedoeld in artikel 3 van de Wok. VL beschikt niet over een vergunning voor het organiseren van kansspelen op afstand als bedoeld in artikel 31a, eerste lid, van de Wok. ## Procedure ## Aanleiding 17. Het is in Nederland verboden kansspelen aan te bieden zonder daartoe over de vereiste vergunning te beschikken. Van illegaal aanbod is ook sprake wanneer een partij een kansspel aanbiedt dat niet onder de aan haar verstrekte vergunning georganiseerd mag worden. 18. In de Wok heeft de wetgever voorzieningen getroffen om specifieke vormen van kansspelen te reguleren. Naast de in de Wok bij naam genoemde kansspelen de Staatsloterij, de Lotto, de Instantloterij, de landgebonden sportweddenschappen en de Totalisator - kan de Kansspelautoriteit op grond van artikel 3, eerste lid, van de Wok, vergunningen verstrekken voor een gelegenheid waarbij de opbrengst ten goede komt aan het algemeen belang. In de praktijk verstrekt de Kansspelautoriteit op grond artikel 3, eerste lid, van de Wok enkel de zogeheten 'incidentele artikel 3 loterijvergunningen' en 'nietincidentele artikel 3 loterijvergunningen'. In aanvulling op bovenstaande voorzieningen kan de Kansspelautoriteit sinds 1 april 2021, met de invoering van de Wet Kansspelen op afstand, vergunningen verstrekken voor het aanbieden van kansspelen op afstand. Uit de gemaakte indeling van kansspelen in de Wok blijkt duidelijk dat er geen vermenging van kansspelen plaats moet vinden. Dat voor de onderscheiden categorieën kansspelen verschillende beschermingsregimes voor consumenten gelden onderstreept die opvatting. 3 Toelichting op het Besluit Kansspelen op afstand (Stb. 2021, 37), p. 87 15 mei 2023 01.291.294 19. Op 28 februari 2022 heeft VL de Kansspelautoriteit geïnformeerd over een uitbreiding van haar spelaanbod. VL is dit verplicht op basis van voorschrift 24 aanhef en onder a uit haar vergunning. De Kansspelautoriteit toetst de aanpassing van het aanbod aan hetgeen is toegestaan onder de verleende artikel 3 vergunning. Dit heeft geleid tot een onderzoek naar de spellen Vriendenloterij Miljonairs, Club-Man en Bingo Crush . ## Proces 20. Op 28 februari 2022 heeft VL de Kansspelautoriteit per mail geïnformeerd over het verder uitbreiden van haar spelaanbod. 4 Het gaat om de volgende spellen die in 2022 georganiseerd zullen worden onder de volgende vergunningen: VriendenLoterij Miljonairs (vergunning VL) HOGER-LAGER (vergunning VL) WAAR IS DE BAL (vergunning VL) In de mail werd door VL erop gewezen dat spelconcepten van bovenstaande spellen vergelijkbaar zijn met die van een door de Nationale Postcode Loterij N.V. (hierna: NPL) aangeboden spel Deal or no Deal . NPL heeft eveneens een vergunning op grond van artikel 3, eerste lid, van de Wok voor het organiseren van niet-incidentele loterijen. NPL en VL maken deel uit van dezelfde groep van ondernemingen, waarbij Holding Nationale Goede Doelen Loterijen N.V. (hierna: de Holding) de moedermaatschappij betreft. 21. Toezichthouders van de Kansspelautoriteit (hierna: toezichthouders) hadden eerder in oktober 2021 kennis genomen van dit door de Nationale Postcode Loterij aanboden spel Deal or no Deal . Dit spel Deal or no Deal kan op de website 5 van de NPL gespeeld worden en betreft een online boxenspel, vergelijkbaar met het gelijknamige televisieprogramma Deal or no Deal. Op de website is te lezen dat consumenten bij het spelen van het boxenspel 'fictieve bedragen' kunnen winnen, maar bij de daaraan gekoppelde loterij automatisch meedingen naar 'echte' prijzen. 22. Als reactie op de e-mail van 28 februari 2022 heeft de Kansspelautoriteit op 21 maart 2022 VL per e-mail geïnformeerd dat zij de desbetreffende mail en de inhoud daarvan gaat bekijken. 6 De Kansspelautoriteit heeft aangegeven VL zo 4 01.259.420 E-mail d.d. 28 februari 2022 5 https://spellen.vriendenloterij.nl/ 6 01.261.200 E-mail d.d. 21 maart 2022 OPENBAAR Kansspelautoriteit 15 mei 2023 01.291.294 - spoedig mogelijk te laten weten of zij nadere vragen heeft ten aanzien van de inhoud van de mail. ## Onderzoek 23. Toezichthouders startten op 16 mei 2022 een onderzoek naar het in de mail van 28 februari 2022 aangekondigde spelaanbod van VL. 7 Ten tijde van het starten van het onderzoek waren de per email aangekondigde spellen van VL nog niet online. 24. Op 23 mei 2022 heeft VL gereageerd op de e-mail van de Kansspelautoriteit van 16 mei 2022 betreffende de aankondiging van het onderzoek. 8 VL heeft middels deze mail gevraagd waar het onderzoek van de Kansspelautoriteit zich specifiek op richt. VL stelde hierbij dat zij altijd transparant is geweest over hoe de spellen eruit zouden komen te zien. In de slotalinea van de mail kondigde VL aan ondertussen door te blijven gaan met de ontwikkeling van de spellen. 25. De Kansspelautoriteit heeft op 7 juni 2022 gereageerd op de e-mail van VL van 23 mei 2022. 9 De Kansspelautoriteit heeft hierbij een reactie gegeven dat het onderzoek zich richt op specifieke kansspelelementen in enkele spellen van VL en dat het verder ontwikkelen van de spellen een eigen keuze is van VL. 26. Op 27 juli 2022 heeft de Kansspelautoriteit een brief gestuurd aan VL met daarin het verzoek om vóór 1 oktober 2022 het aanbieden van de spellen, en alle toekomstig geplande spellen, te staken en gestaakt te houden. 10 In het kort komt het erop neer dat de Kansspelautoriteit vindt dat VL een online kansspel aanbiedt, waarvoor ze geen vergunning heeft. Met het online aanbieden van de loterij, waaraan spellen en/of spelelementen zijn toegevoegd, wordt online meer aangeboden dan enkel deelnamebewijzen, waardoor deze loterij niet kan worden aangeboden op grond van de vergunning waarover VL wel beschikt. De Kansspelautoriteit heeft in deze brief aangegeven dat het van groot belang is, en zo heeft de wetgever het ook bedoeld, juist met de regulering van de kansspelen op afstand, dat het aanbieden van kansspelen op afstand en het loterij-aanbod strikt gescheiden blijven en dat er geen vermenging plaatsvindt tussen deze 7 01.265.788 E-mail d.d. 16 mei 2022 8 01.266.394 E-mail d.d. 23 mei 2022 9 01.267.310 E-mail d.d. 7 juni 2022 10 01.270.693 Brief d.d. 27 juli 2022 15 mei 2023 01.291.294 - vormen van kansspelen. Voor kansspelen op afstand, die geen loterijen mogen betreffen, gelden namelijk specifieke voorschriften vanwege het risicovolle karakter ervan. Het is niet de bedoeling dat aan loterijen (risicovollere) spelelementen worden toegevoegd of in de loterijen worden verwerkt, al helemaal niet als het gaat om online spelvormen. 27. Op 15 augustus 2022 heeft VL een mail gestuurd aan de Kansspelautoriteit met daarin een verzoek om in een overleg een toelichting te ontvangen op de brief van de Kansspelautoriteit van 27 juli 2022. 11 28. Op 22 augustus 2022 heeft de Kansspelautoriteit aan VL via mail laten weten dat de Kansspelautoriteit graag eerst hoort waarover precies onduidelijkheid bestaat, gezien de uitgebreide toelichting in de brief van 27 juli 2022. 12 29. VL heeft op deze mail gereageerd op 24 augustus 2022 en heeft vragen gesteld aan de Kansspelautoriteit. 13 Deze vragen hadden betrekking op: - de criteria die de Kansspelautoriteit hanteert om te beoordelen of de spellen kansspelen zijn; - het spelelement dat maakt dat de genoemde spellen meer zijn dan enkel het verstrekken van deelnamebewijzen; - of de spellen in de huidige vorm nooit legaal kunnen worden aangeboden. 30. Op 8 september 2022 heeft VL een herinnering gestuurd aan de Kansspelautoriteit over de door haar gestelde vragen. 14 31. Op 9 september 2022 heeft de Kansspelautoriteit de vragen van VL per mail beantwoord. 15 De Kansspelautoriteit heeft bij de beantwoording van de vragen met name verwezen naar de inhoud van de brief van 27 juli 2022 en heeft hier de criteria ter beoordeling van een kansspel, aan toegevoegd. 11 01.272.403 E-mail d.d. 15 augustus 2022 12 01.272.673 E-mail d.d. 22 augustus 2022 13 01.272.753 E-mail d.d. 24 augustus 2022 14 01.273.961 E-mail d.d. 8 september 2022 15 01.273.962 E-mail d.d. 9 september 2022 15 mei 2023 01.291.294 32. Op 30 september 2022 heeft VL inhoudelijk gereageerd op de brief van de Kansspelautoriteit van 27 juli 2022. 16 VL heeft aangegeven dat ze de spellen heeft aangepast, maar het aanbod van de spellen niet staakt. De aanpassing ziet op het element waarmee spelers bij het halen van het vooraf vastgestelde resultaat kans maken op extra prijzen. Dit element is komen te vervallen. In deze brief werd voor het eerste gesproken over de inmiddels actief aangeboden spellen van VL: VriendenLoterij Miljonairs , Club-man en Bingo Crush . 33. Op 6 oktober 2022 heeft VL aangepaste deelnemersreglementen voor de spellen aan de Kansspelautoriteit gestuurd. 17 37. Naar aanleiding van bovenstaande aanpassingen hebben toezichthouders van de Kansspelautoriteit op 27 oktober, 16 en 29 november 2022 onderzoek gedaan naar het spelconcept van de Spellen Loterij en de online spellen VriendenLoterij Miljonairs, Club-man en Bingo Crush gespeeld. Zie voor feiten en bevindingen van het onderzoek de verslagen van ambtshandelingen van 2 november en 29 november 2022. 18 34. Per brief van 20 februari 2023 19 maakte de Kansspelautoriteit het voornemen tot het opleggen van een last onder dwangsom kenbaar aan VL. Met deze brief is aan VL de mogelijkheid geboden om een zienswijze, mondeling en/of schriftelijk, te geven op het voorgenomen besluit. 35. VL heeft per e-mail van 6 maart 2023 20 te kennen gegeven een mondelinge zienswijze te willen geven en heeft uitstel gevraagd. 36. Op 13 maart 2023 21 diende VL een schriftelijke zienswijze in. 37. Op 6 april 2023 heeft VL mondeling haar zienswijze naar voren gebracht ten kantore van Kansspelautoriteit. Deze mondelinge zienswijze diende als aanvulling op de reeds ingediende schriftelijke zienswijze. Een afschrift van de 16 01.275.612 E-mail d.d. 30 september 2022 17 01.276.011 E-mail d.d. 6 oktober 2022 18 Verslag met betrekking tot de spellen van Vrienden Loterij N.V., met kenmerk 01.277.654 en Verslag met betrekking tot aanvullend onderzoek naar de spellen van Postcode Loterij N.V., met kenmerk 01.279.772 19 Met kenmerk 01.285.630 20 Met kenmerk 01.285.929 21 Met kenmerk 01.287.522 OPENBAAR Kansspelautoriteit 15 mei 2023 01.291.294 - door VL op opgestelde spreeknotities zijn tijdens de hoorzitting gedeeld met de Kansspelautoriteit. 22 38. Op 7 april 2023 23 heeft de Kansspelautoriteit een aangepast deelnemersreglement van de Spellen Loterij van de Postcode Loterij ontvangen. Daarbij is melding gedaan dat het deelnemersreglementen van de Spellen Loterij van de Vrienden Loterij dezelfde wijzigingen kent. 39. De Kansspelautoriteit heeft verslag gemaakt van de hoorzitting van 6 april 2023. Dit verslag is op 19 april 2023 aan VL toegestuurd. VL had tot 26 april 2023 om op het verslag te reageren. 24 VL heeft laten weten geen aanvullingen of ander commentaar te hebben op het verslag. 25 ## Bevindingen ## Aanpassingen spellen 38. VL heeft naar aanleiding van de brief van de Kansspelautoriteit van 27 juli 2022 haar spellenaanbod aangepast. Het element dat deelnemers aan de spellen door het halen van een vooraf vastgesteld resultaat kans maken op extra prijzen is komen te vervallen. Daarnaast is aangepast dat iedere deelnemer die zich aanmeldt voor de spellen en daarvoor een account aanmaakt, enkel en alleen door het starten van een van de spellen deelneemt aan de trekking van die betreffende week. Dit was voor de aanpassingen na het uitspelen van het spel. Spelers ontvangen, na het starten van het spel, automatisch een lotnummer en komen op trekking ongeacht de uitslag van het spel. Het is daarbij evenmin nodig dat ze het spel uitspelen. 39. Tijdens de hoorzitting van 6 april 2023 heeft VL aan de Kansspelautoriteit gemeld dat zij recent wederom aanpassingen heeft verricht aan het deelnemersreglement. Deze aanpassingen zien er onder andere op dat alléén deelnemers van de Vrienden Loterij kunnen deelnemen aan de Spellen Loterij. Niet-deelnemers aan de Vrienden Loterij kunnen niet meer meedoen met de Spellen Loterij en kunnen de (online) spellen ook niet meer spelen. Dit komt 22 Met kenmerk 01.289.240 23 Met kenmerk 01.285.929 24 01.289.240 E-mail d.d. 19 april 2023 25 01.289.240 E-mail d.d. 28 april 2023 OPENBAAR 15 mei 2023 01.291.294 doordat de optie tot credits kopen is komen te vervallen, alsook de wallet. Voor de volledigheid wordt nog opgemerkt dat VL in het gewijzigde deelnemersreglement aangeeft dat het vrij is om acties, dan wel campagnes te organiseren waarbij deelnemers op andere wijze credits kunnen verkrijgen. Onvoldoende duidelijk is of dit er niet toe kan leiden dat deelnemers, ondanks de wijziging, (toch) credits kunnen verwerven. 40. In dit besluit zijn deze aanpassingen in het deelnemersreglement, voor zover die tot nieuwe inzichten met betrekking tot de onderzoeksresultaten hebben geleid, meegenomen. Voornoemde aanpassingen zagen niet op inhoud van de (online) spellen VriendenLoterij Miljonairs, Club-man en Bingo Crush , waardoor de onderzoeksverslagen van november 2022, voor zover deze betrekking hebben op de inhoud van de spellen, actueel zijn. Allereerst worden overkoepelende spelconcepten besproken. Hierna volgt een bespreking van de spellen, per spel. ## Spelconcepten 40. Op de website van VL is een specifieke pagina 26 ingericht waar de spellen VriendenLoterij Miljonairs, Club-man en Bingo Crush aangeboden worden. Op de pagina worden de spellen aanduidt als ' VriendenLoterij Spellen' (hierna: de Spellen Loterij). Hierbij wordt vermeld dat deelnemers van de Vrienden Loterij per deelnemend lot (aan de Vrienden Loterij) dagelijks een vijf gratis credits krijgen om op deze pagina de spellen VriendenLoterij Miljonairs, Club-man en Bingo Crush te spelen en daarmee kans te maken op geldprijzen. 41. Het spelconcept van de Spellen Loterij is onderverdeeld in een eerste deel, een online spel ( VriendenLoterij Miljonairs, Club-man en Bingo Crush) , en een tweede deel waarbij sprake is van een loterij. De online spellen bestaan uit een quiz bij Weekend Miljonairs , een arcade game bij Club-man en een puzzelspel bij Bingo Crush . Alle spelers van de online spellen nemen automatisch deel aan de daaraan gekoppelde loterij. Spelers van alle drie de spellen nemen uiteindelijk deel aan dezelfde loterijtrekking. 42. Na de meeste recente wijziging van het deelnemersreglement kunnen alléén deelnemers van de Vrienden Loterij deelnemen aan de Spellen Loterij. Nietdeelnemers aan de Vrienden Loterij kunnen geen account aanmaken op de website van de Spellen Loterij, waardoor zij niet kunnen deelnemen aan de 26 https://spellen.vriendenloterij.nl/ OPENBAAR 15 mei 2023 01.291.294 Spellen Loterij, noch de spellen kunnen spelen. Dit komt doordat de optie tot credits kopen is komen te vervallen, alsook de wallet. Deelnemers van de Vrienden Loterij die het daarvoor noodzakelijke account aanmaken op de website van de Spellen Loterij, en enkel en alleen een spel spelen, doen mee met de trekking van die desbetreffende week. Spelers ontvangen, na het starten van het spel, automatisch een lotnummer en komen op de trekking ongeacht de uitslag van het spel. ## VriendenLoterij Miljonairs 43. Het spel VriendenLoterij Miljonairs is een quiz (afbeelding 1). Het spel bestaat uit 15 meerkeuzevragen die een speler moet beantwoorden. Als de vraag goed is beantwoord gaat de speler door naar de volgende vraag. Hoe meer vragen goed beantwoordt, hoe verder een speler komt in het spel. Bij een foutief antwoord, is de speler direct af. De speler kan tijdens het spelen van het spel hulplijnen inroepen. Afbeelding 1: Vrienden Loterij Miljonairs &lt;!-- image --&gt; OPENBAAR 15 mei 2023 01.291.294 44. Uit het aanvullend onderzoek uitgevoerd door een toezichthouder van de Kansspelautoriteit op 16 november 2022 27 blijkt op welk moment de speler een ticket ontvangt voor de loterij gekoppeld aan de spellen. De ingezette credit wordt omgezet in een lotnummer nadat de speler de eerste vraag heeft gekozen en het spel daadwerkelijk aan het spelen is. ## Club-Man 45. Het spel Club-Man is een arcade game (afbeelding 2). Het doel van het spel is zoveel mogelijk ballen verzamelen. Voordat een spel start, moet de speler een voetbalclub kiezen waarvoor hij speelt. Dit zijn voetbalclubs uit de Eredivisie. Door het gebruiken van een joystick (of pijltjestoetsen) kan de speler zich door het veld heel bewegen, en moet hierbij de scheidsrechters ontwijken. Door middel van het pakken van een doel, scoort de speler en hebben de scheidsrechters alleen nog maar geel op zak. Afbeelding 2: Club-Man &lt;!-- image --&gt; 27 Verslag met betrekking tot extra onderzoek naar de spellen van Vrienden Loterij N.V., met kenmerk 01.279.772 OPENBAAR 15 mei 2023 01.291.294 46. Uit het aanvullend onderzoek uitgevoerd door een toezichthouder van de Kansspelautoriteit op 16 november 2022 28 blijkt op welk moment de speler een ticket ontvangt voor de loterij gekoppeld aan de spellen. De ingezette credit wordt omgezet in een lotnummer nadat het bewegingsveld in beeld is gekomen en de speler het spel daadwerkelijk aan het spelen is. ## Bingo Crush 47. Het spel Bingo Crush is een puzzelspel (afbeelding 3). Dit spel draait om het combineren van bingoballen. Door het swipen van de ballen moet een speler drie balletjes van dezelfde kleur en op een rij krijgen. Dit kan een horizontale of verticale rij zijn. Met het scoren van een ster, kan een speler een hele rij wegspelen. Hierbij moet een speler zoveel mogelijk punten scoren om een level te halen. Er zijn 10 levels. Hoe verder een speler komt, hoe moeilijker de level. Afbeelding 3: Bingo Crush &lt;!-- image --&gt; 28 Verslag met betrekking tot extra onderzoek naar de spellen van Vrienden Loterij N.V., met kenmerk 01.279.772 15 mei 2023 01.291.294 48. Uit het aanvullend onderzoek uitgevoerd door een toezichthouder van de Kansspelautoriteit op 29 november 2022 29 blijkt op welk moment de speler een ticket ontvangt voor de loterij gekoppeld aan de spellen. De ingezette credit wordt omgezet in een lotnummer nadat het puzzelveld in beeld is gekomen en de speler het spel daadwerkelijk aan het spelen is. ## Loterij 49. De Spellen Loterij omvat zowel de (online) spellen VriendenLoterij Miljonairs, Club-man en Bingo Crush als een trekking. De Spellen Loterij bestaat uit een wekelijkse trekking. Op de website van VL staat vermeld dat de loterij één prijzenpakket betreft, ongeacht welk spel de speler speelt of de score van de speler, en dat de speler door spellen te starten kans maakt op de prijzen. 30 50. In het deelnemersreglement behorende bij de spellen aangeboden door VL, te raadplegen op de website van de Spellen Loterij, staat in artikel 3 dat deelnemers die een spel starten automatisch een lotnummer ontvangen bestaande uit een combinatie van 2 cijfers, gevolgd door 8 cijfers, gevolgd door 2 letters, bijvoorbeeld 91-12345678-AA. Met het lotnummer speelt de deelnemer automatisch mee in de weektrekking van de Spellen Loterij. 31 51. De Spellen Loterij bestaat volgens artikel 3 van het deelnemersreglement uit het volgende element: de persoon die een spel start, doet met zijn lotnummer(s) automatisch mee in de eerstkomende trekking van de Spellen Loterij waarvoor dit mogelijk is. Het al dan niet uitspelen van het spel is daarbij niet relevant. De uitslag van het spel heeft geen invloed op de uitkomst van de trekking. 32 52. In artikel 5 van het deelnemersreglement staat vermeld dat de speler deelname aan een spel per keer dat hij of zij het spel speelt, een uniek lotnummer ontvangt waarmee hij of zij automatisch meedoet in de eerstvolgende weektrekking van de Spellen Loterij waarvoor dit mogelijk is. ## Website 53. De spellen worden op de website van VL aangeboden onder de knop 'spellen'. 33 29 Verslag met betrekking tot extra onderzoek naar de spellen van Postcode Loterij N.V., met kenmerk 01.278.580 30 https://spellen.vriendenloterij.nl/prijzen 31 01.276.011 E-mail d.d. 6 oktober 2022 32 01.276.011 E-mail d.d. 6 oktober 2022 33 https://spellen.vriendenloterij.nl/ 54. Als men via de kop 'spellen' klikt op 'VriendenLoterij Miljonairs' wordt men naar de webpagina van het spel VriendenLoterij Miljonairs geleid. Op deze pagina is de tekst ' Speel VriendenLoterij Miljonairs en maak kans op geldprijzen tot wel €10.000,-!' 34 te lezen. Ook staat er de tekst ' Hoeveel kennis heb jij? Test het nu met VriendenLoterij Miljonairs!'. Ook staat op de webpagina de tekst ' Door het spel te starten maak je automatisch kans op mooie geldprijzen! Als je een credit inzet en een spel speelt, maak je kans op geldprijzen tot wel € 25.000,-. Hoe ver kom jij?'. Bovenaan de webpagina staat een groene button met de tekst ' speel Vriendenloterij Miljonairs' . 55. Als men via de kop 'spellen' klikt op 'Club-Man' wordt men naar de webpagina van het spel Club-Man geleid. Op deze pagina is de tekst ' Speel Club-Man en maak kans op geldprijzen tot wel €10.000,-! ' te lezen. Ook staat er de tekst ' Hoe behendig ga jij door het veld?. ' Ook staat op de webpagina de tekst ' door spellen te starten maak je kans op mooie prijzen! Als je een credit inzet en het spel speelt, maak je kans op geldprijzen tot wel € 25.000,'. Bovenaan de webpagina staat een groene button met de tekst ' speel Club-Man' . 56. Als men via de knop 'spellen' klikt op 'Bingo Crush' wordt men naar de webpagina van het spel Bingo Crush geleid. Op deze pagina is de tekst ' Speel Bingo Crush en maakkans op geldprijzen tot wel €25.000,-! ' te lezen. Ook staat er de tekst ' Combineer de Bingoballen! Scoor zoveel mogelijk punten'. ' Ook staat op de webpagina de tekst ' Door spellen te starten maak je kans op mooie prijzen! Als je een credit inzet en het spel speelt, maak je kans op geldprijzen tot wel €25.000,-.. ' Bovenaan de webpagina staat een groene button met de tekst 'speel Bingo Crush'. ## Beoordeling kansspel 57. De website van de Spellen Loterij is zo ingericht dat de consument wordt geleid naar het spelen van de spellen. Op de website staan groene buttons met de teksten 'Naar de spellen of speel een spel'. De consument wordt uitgenodigd de spellen te spelen. Op de website is bijvoorbeeld de volgende tekst opgenomen: 'Als deelnemer van de VriendenLoterij krijg je per lot élke dag VIJF CREDITS om bij de VriendenLoterij Spellen jouw favoriete spel te spelen. Hiermee maak je kans op alle mooie wekelijkse geldprijzen..'. Ook staat er 'Door een spel te starten maakt u automatisch kans op geldprijzen tot wel €25.000,-!. Tijdens het 34 Op de website wordt wisselend gesproken over de te winnen geldprijzen (tot wel € 10.000,- of tot wel € 25.000,-). 15 mei 2023 01.291.294 - spelen van de spellen is er geen mogelijkheid opgenomen in beeld om het spelen van het spel te stoppen. Enkel door het op de 'terugknop' van de webbrowser te klikken kan het spel gestopt worden. 58. Het deelnemersreglement voor de Spellen Loterij ziet op de voorwaarden en het concept van zowel de (online) spellen als de daaraan gekoppelde trekking. Verder is op de webpagina's met het aanbod van de spellen geen mogelijkheid opgenomen om direct loten voor de Spellen Loterij te kopen. De online spellen maken hiermee integraal onderdeel uit van de Spellen Loterij, evenals de daaraan gekoppelde trekking. 59. Uit het deelnemersreglement, noch uit de teksten op de website, kan worden afgeleid dat de (online) spellen en de trekking als afzonderlijke spellen moeten worden gezien. In tegendeel. Zoals uit hetgeen hiervoor is weergegeven blijkt duidelijk dat de spelelementen tezamen met de loterij-elementen van de Spellen Loterij één integraal geheel vormen en als een geheel beoordeeld moeten worden om vast te stellen of de gelegenheid een kansspel is in de zin van de Wok. 60. Met de Spellen Loterij kunnen deelnemers van de Postcode Loterij dagelijks, door een (online) spel te starten, meedingen met prijzen en premies. De aanwijzing van de winnaar geschiedt door enige kansbepaling, namelijk de wekelijkse trekking, waarbij de deelnemers geen overwegende invloed kunnen uitoefenen. De gelegenheid als de Spellen Loterij voldoet daarmee aan de definitie van een kansspel zoals opgenomen in artikel 1, eerste lid, aanhef en onder a, van de Wok. 61. Het door VL aangeboden kansspel met daarbij de spelvarianten wordt, via de website van VL, op afstand aangeboden. Het spelen van de spellen VriendenLoterij Miljonairs, Club-man en Bingo Crush van begin tot eind van de spellen, het bekijken van de uitslag van de spellen en de loterij speelt zich volledig online af, waarbij geen fysiek contact tot stand komt of mogelijk is tussen speler en aanbieder. 62. Hiermee voldoet het kansspel de Spellen Loterij aan de definitie van kansspelen op afstand, zoals opgenomen in artikel 31, eerste lid, van de Wok. 63. In aanvulling op bovenstaande stelt de Kansspelautoriteit vast dat, ongeacht of het door VL aangeboden kansspel een loterij is, het aangeboden kansspel niet OPENBAAR 15 mei 2023 01.291.294 onder de uitzondering van artikel 31, tweede lid, van de Wok valt. Deze uitzondering heeft betrekking op het online aanbieden van deelnamebewijzen, zonder daartoe te beschikken over een vergunning voor kansspelen op afstand. VL biedt met het kansspel op afstand online meer aan dan enkel deelnamebewijzen. ## Overtreding 64. Op grond van voorgaande bevindingen stelt de Kansspelautoriteit vast dat VL een kansspel op afstand aanbiedt, terwijl zij niet over de daarvoor vereiste vergunning beschikt. VL overtreedt hiermee artikel 1, aanhef en onder a, van de Wok. VL heeft geen vergunning voor het organiseren van kansspelen op afstand zoals bedoeld in artikel 31a van de Wok. ## Zienswijze VL 41. Samenvattend heeft VL als zienswijze naar voren gebracht dat haar (online) spellen VriendenLoterij Miljonairs, Club-man en Bingo Crush geen kansspelen zijn zoals bedoeld in artikel 1, eerste lid, onder a, van de Wok, zodat voor het aanbieden ervan geen vergunning vereist is. Ook is het VL onduidelijk welke specifieke elementen in de opzetten van deze spellen strijdig zouden zijn met toepasselijke wet- en regelgeving. VL stelt dat het voorgenomen besluit ongegrond is en verzoekt de Ksa haar standpunt ter zake te heroverwegen. Hieronder wordt nader ingegaan op de onderdelen van de zienswijze. ## Innovatie 42. Allereerste benadrukt VL dat zij een maatschappelijke organisatie is. Met de opbrengsten van haar loterijen worden tal van maatschappelijke doelen in binnen- en buitenland gesteund. Om dit te realiseren is innovatie nodig. Een spelletjesplatform wordt gezien als een manier om de deelnemers iets extra's te bieden ('fun') en zo betrokken te behouden bij de loterijen en de goede doelen, aldus VL. VL stelt dat zij met onderhavige spellen in feite niets nieuws doet, omdat VL al ruime tijd online spellen aanbiedt (zie overzicht afbeeldingen s</t>
  </si>
  <si>
    <t>Provinciehuis Westerbrink 1, Assen Postadres Postbus 122, 9400 AC Assen
www.provincie.drenthe.nl
&lt;!-- image --&gt;
Aan:
Hilbrands Laboratorium B.V.
t.a.v.
Kampsweg 27 9418 PD  WIJSTER
9418PD27
Assen, 5 november 2025
Ons kenmerk: 202501170-01172856
Behandeld door
Verplichtingennummer V014110
Onderwerp: Verlening subsidie De Drentse Lelie
Geachte
Op 23 mei 2025 ontvingen wij uw subsidieaanvraag. U vraagt een subsidie aan van € 758.260,00. In deze brief leest u ons besluit.
## U ontvangt een subsidie van 91,6% van de subsidiabele kosten tot een maximum van € 750.000,00
Dit is de subsidie die wij u verlenen. U ontvangt de subsidie voor de uitvoering van het project De Drentse Lelie. Met dit project wilt u samen met 19 Drentse lelietelers de impact van de Drentse lelieteelt op het milieu en de omgeving aan het einde van 2027 verlagen tot een vergelijkbaar niveau als dat van gangbare akkerbouwgewassen. Hiervoor hebben alle deelnemende partijen (de Drentse lelietelers, Hilbrands Laboratorium en de provincie Drenthe) op 25 november 2024 een intentieverklaring ondertekend.
De aan u verleende subsidie van maximaal € 750.000,00 is € 8.260.00 lager dan u bij ons heeft aangevraagd. De reden hiervoor is dat het maximaal beschikbare bedrag voor de uitvoering van uw activiteiten € 750.000,00 betreft.
## U ontvangt een voorschot van € 600.000,00
De subsidie ontvangt u in een aantal delen. Het eerste bedrag van € 300.000,00 maken wij binnen vier weken over naar uw Wij vermelden er het kenmerk van deze brief bij. Het volgende voorschot van € 150.000,00 kunt u aanvragen als u ons een tussenrapportage stuurt. Daarover leest u meer verderop in deze brief. U kunt in totaal een maximaal voorschot van € 600.000,00 ontvangen. Dit betreft 80% van de verleende subsidie. Het bevoorschottingsritme is als volgt.
&lt;!-- image --&gt;
&lt;!-- image --&gt;
## provincieDrenthe
&lt;!-- image --&gt;
|                             | Bedrag       |   Percentage |
|-----------------------------|--------------|--------------|
| Bij verlening               | € 300.000,00 |           40 |
| Tussenrapportage 01-02-2027 | € 150.000,00 |           20 |
| Tussenrapportage 01-02-2028 | € 150.000,00 |           20 |
| Totaal subsidievoorschot    | € 600.000,00 |           80 |
Bij de vaststelling van de subsidie kunt u, na beoordeling van uw aanvraag tot vaststelling, het restantbedrag ontvangen.
## Activiteiten
Hilbrands Laboratorium voert het project De Drentse Lelie uit. Hoofddoel van uw activiteiten is dat deze leiden naar een toekomstbestendige lelieteelt in Drenthe en dat het gebruik van chemische gewasbeschermingsmiddelen eind 2027 op een vergelijkbaar niveau ligt als dat van andere gangbare akkerbouwgewassen. Met deze subsidie voert u activiteiten uit die zijn verdeeld over drie verschillende projectfasen. Het gaat om het volgende:
## Fase 1: voorbereidende werkzaamheden
- -Aankondiging van het initiatief
- -Ondertekening Intentieverklaring Drentse Lelie
- -Inrichting van het project
- -Betrekken van de stakeholders
- -Vrijmaken van budgetten
## Fase 2: Implementatie en acties op de leliepercelen
- -Alle negentien lelietelers nemen met minimaal één perceel deel aan de reducerende activiteiten met betrekking tot het gebruik van chemische gewasbeschermingsmiddelen. U begeleidt hierin de deelnemende negentien lelietelers gedurende de looptijd van de activiteiten. Het gaat hierbij bijvoorbeeld om de inzet van sterke cultivars en uitfasering van zwakke. Daarnaast voert u bodemanalyses uit op de percelen van de bedrijven om tot een nauwkeurige afstemming van nutriënten op de gewasbehoefte te komen. De reducerende maatregelen worden ieder seizoen uitgebreid naar andere percelen.
- -In 2026 nemen alle deelnemers deel met minimaal twee leliepercelen en minimaal 30% van het aantal leliepercelen op het bedrijf. Daarnaast worden vanaf 2026 ook de gezondheidsindicatoren betrokken bij het onderzoek. Eindresultaat is dat in 2027 50% van alle leliepercelen onder het project vallen.
- -In 2025 draaien twee bedrijven volledig mee in de bestaande Biodiversiteitsmonitor Akkerbouw (BMA) van de provincie Drenthe. Afhankelijk van de voortgang en haalbaarheid wordt toepassing van de BMA gedurende de looptijd van het project uitgebreid met als doel in 2027 alle deelnemende bedrijven hier onder te laten vallen.
## Fase 3: Borging en afronding
- -Dataverzameling van de deelnemende telers. De gehele bedrijfsvoering wordt gemonitord door teeltregistratie, gezondheidsmeetlat en de BMA. U gebruikt voor het meten van de gezondheidseffecten het meetsysteem die ontwikkeld is door CLM Onderzoek en Advies. De data wordt vertaald naar dashboards die toegankelijk zijn voor iedere deelnemer.
&lt;!-- image --&gt;
Uw subsidieaanvraag en het projectplan de Drentse Lelie zijn de basis voor deze omschrijving. Er zijn nieuwe wetenschappelijke inzichten op het gebied van PFAS-pesticiden. Daar waar mogelijk zou het wenselijk zijn om in het project daar aandacht voor te hebben.
## Aanvullende eisen
Aanvullend op de activiteiten die u in uw projectplan beschrijft vragen wij u het volgende mee te nemen tijdens de uitvoering van het project:
-  Uw activiteiten zijn erop gericht een vergelijkbaar niveau van het gebruik van chemische gewasbeschermingsmiddelen te bereiken als bij het gebruik daarvan bij de gangbare akkerbouwgewassen. In uw projectplan is echter niet duidelijk wat het vergelijkbare niveau is. Wij vragen u om dit in uw eerste tussentijdse rapportage, in te dienen voor 1 februari 2026, nader te kwantificeren. Daarmee wordt na afloop duidelijk in hoeverre het doel is gerealiseerd.
-  In uw projectplan staat als uitgangspunt opgenomen dat de teeltstrategie wordt afgestemd op de nabije omgeving, waarbij rekening wordt gehouden met kwetsbare gebieden. Daar noemt u specifiek Natura 2000, scholen en dorpsbebouwing. Wij vragen u om de grondwaterbeschermingsgebieden hieraan toe te voegen.
-  U stemt de voortgang van uw activiteiten conform het projectplan af met de Stuurgroep, de Adviesraad en uw contactpersoon binnen de provincie Drenthe.
-  De resultaten van het gesteunde project worden op een openbaar toegankelijke website beschikbaar gesteld vanaf de einddatum van het gesteunde project of vanaf de datum waarop informatie over die resultaten wordt gegeven aan leden van een specifieke organisatie, afhankelijk van wat als eerste plaatsvindt. De resultaten blijven op het internet beschikbaar gedurende ten minste vijf jaar vanaf de einddatum van het gesteunde project.
## Uw subsidie hebben wij als volgt berekend
De subsidie bedraagt 91,6% van de subsidiabele kosten tot een maximum van € 750.000,00. De kosten die voor een subsidie in aanmerking komen zijn:
| Activiteit: uitvoering van het onderzoeks-/ontwikkelingsproject   | Activiteit: uitvoering van het onderzoeks-/ontwikkelingsproject   | Activiteit: uitvoering van het onderzoeks-/ontwikkelingsproject   |
|-------------------------------------------------------------------|-------------------------------------------------------------------|-------------------------------------------------------------------|
| Soort kosten                                                      | Kosten begroting                                                  | Verstrekte subsidie                                               |
| Begeleiding praktijkbedrijven                                     | € 165.940,00                                                      | € 165.940,00                                                      |
| Communicatie                                                      | € 296.690,00                                                      | € 262.160,00                                                      |
| Monitoring en borging                                             | € 250.150,00                                                      | € 215.620,00                                                      |
| Projectmanagement                                                 | € 106.280,00                                                      | € 106.280,00                                                      |
| Totaal                                                            | € 819.060,00                                                      | € 750.000,00                                                      |
## Subsidieverplichtingen
Aan de subsidie zijn de volgende verplichtingen verbonden:
- -U voert de activiteiten uit in de periode van 1 januari 2025 tot en met 30 juni 2029
- -U meldt het ons als u de activiteiten anders of niet gaat uitvoeren
U doet deze melding binnen twee weken nadat u het weet. U doet deze melding schriftelijk via subsidieloket@drenthe.nl. Deze melding is voor u van belang. Als u de activiteiten niet, niet helemaal of anders uitvoert dan in uw aanvraag en deze brief is genoemd, kan de subsidie lager worden vastgesteld of worden ingetrokken. U moet dan een bedrag aan ons terugbetalen. Daarnaast doet u melding als u niet voldoet aan de subsidieverplichtingen en in gevallen als bedoeld in artikel 16, tweede lid, van de Algemene subsidieverordening provincie Drenthe 2023.
- -U voert een gescheiden boekhouding met betrekking tot de financiering, de kosten en de inkomsten van het gesteunde project
- -
gemaakt. Dat kan bijvoorbeeld blijken uit bewaarde rekeningen, bonnen, een urenadministratie of deze minimaal zeven jaar na het einde van de projectperiode.
- U zorgt voor een goede administratie Bij een eventuele controle kunt u aantonen dat u de activiteiten heeft uitgevoerd en de kosten heeft andere gebruikelijke manieren om activiteiten, kosten of tijdsbesteding helder te maken. U bewaart
- U dient jaarlijks vóór 1 februari van de jaren 2026 tot en met 2028 een tussenrapportage in over de
- -uitvoering van de activiteiten
U stuurt de tussenrapportages naar subsidieloket@drenthe.nl onder vermelding van zaaknummer 202501170. In uw tussenrapportage geeft u aan hoe ver u bent met de uitvoering van de activiteiten, hoeveel kosten u al heeft gemaakt en of er wijzigingen zijn in de uitvoering of de begroting. Bij een positieve beoordeling van uw tussenrapportage ontvangt u een nieuw subsidievoorschot.
- -
U dient vóór 30 september 2029 een aanvraag tot vaststelling in U stuurt deze aanvraag naar subsidieloket@drenthe.nl. Uw aanvraag tot vaststelling bestaat uit een inhoudelijk verslag, waaruit blijkt dat de activiteiten waarvoor de subsidie is verleend zijn uitgevoerd en dat is voldaan aan de subsidieverplichtingen. Ook stuurt u een kostenverantwoording mee waaruit blijkt wat de werkelijk gemaakte subsidiabele kosten zijn van de activiteiten en de hieraan verbonden inkomsten.
Als u de activiteiten heeft uitgevoerd en aan de subsidieverplichtingen heeft voldaan, stellen wij de subsidie vast op 91,6% van de werkelijk gemaakte subsidiabele kosten, met als maximum het verleende subsidiebedrag. Zorgt u ervoor dat wij uw aanvraag tot vaststelling op tijd ontvangen. Hiermee voorkomt u dat wij uw subsidie ambtshalve moeten vaststellen. Hierdoor wordt de subsidie in veel gevallen lager of op nihil vastgesteld. De ontvangen voorschotten moet u dan terugbetalen.
&lt;!-- image --&gt;
## Staatssteun
Voor uw aanvraag hebben we gekeken of er sprake is van staatssteun. Dit is bij u het geval omdat uw onderneming door middel van staatsmiddelen selectief wordt gesteund en er door het project een verstoring van de interne markt kan zijn. Deze steun valt onder werking van de LVV. In het bijzonder onder de vrijstellingscategorie steun voor onderzoeks-en ontwikkeling en innovatie, meer specifiek steun voor onderzoek en ontwikkeling in de landbouw- en bosbouwsector (Hoofdstuk III, afdeling 5, artikel 38 van de LVV). Voor steun van ten hoogste € 7.500.000,00 kan het maximale steunbedrag worden bepaald op 100% van de in aanmerking komende kosten. De totale subsidiabele kosten van uw onderzoeks-/ontwikkelingsproject bedragen € 750.000,00, waarvan € 750.000,00 in aanmerking komende kosten betreffen onder artikel 38 LVV.
Uw organisatie kwalificeert zich als een organisatie voor onderzoek en kennisverspreiding. Uw organisatie en uw project, mits ook hierboven gestelde verplichtingen worden nagekomen, voldoen aan de gestelde voorwaarden voor deze steun en aan de algemene bepalingen van de LVV. Daarmee kan de subsidie voor de activiteiten die direct samenhangen met het onderzoeksproject, geoorloofd worden verleend. Wij geven van de verlening van deze subsidie, overeenkomstig de desbetreffende bepalingen van de LVV, binnen 20 werkdagen na dagtekening van deze beschikking kennis aan de Europese Commissie en publiceren deze beschikking op onze website. Betaling van de subsidie sluiten wij uit indien zou blijken dat de aan uw onderneming verleende steun onrechtmatig is en onverenigbaar is verklaard met de interne markt.
## Een vergunning nodig?
Misschien heeft u voor de uit te voeren activiteiten nog een vergunning of andere vorm van toestemming nodig, mogelijk zelfs van ons. Deze subsidie staat geheel los van het krijgen van die vergunning die u nodig heeft voor uw activiteiten. Daarvoor gelden namelijk andere regels.
## Steekproefcontrole
Naast de beoordeling van uw aanvraag tot vaststelling kunnen wij deze subsidie ook controleren. De steekproefcontroles hebben tot doel misbruik en onregelmatigheden van subsidiegelden tegen te gaan. Wij controleren of de subsidie rechtmatig en doelmatig is besteed en of u heeft voldaan aan de aan de subsidie verbonden verplichtingen. Indien wij misbruik of onregelmatigheden constateren loopt u het risico dat de subsidie geheel of gedeeltelijk teruggevorderd wordt. Het is belangrijk dat u bewijsstukken bewaart en eventuele wijzigingen op tijd aan ons meldt.
## Juridisch kader
Voor dit besluit gelden:
- -de Algemene wet bestuursrecht
- -de Algemene subsidieverordening provincie Drenthe 2023
- -de Verordening (EU) nr. 2022/2472 van de Europese Commissie van 14 december 2022, waarbij bepaalde categorieën steun in de landbouw- en de bosbouwsector en in plattelandsgebieden op grond van de artikelen 107 en 108 van het Verdrag betreffende de werking van de Europese Unie met de interne markt verenigbaar worden verklaard (LVV (PbEU 2022, L 327/1))
## Communicatie
Wij vragen u of u in uw communicatie over het project wilt vermelden dat het project mede mogelijk gemaakt wordt door de provincie Drenthe.
&lt;!-- image --&gt;
## Openbare informatie over uw subsidie
De naam van de aanvrager, de naam van het project of de korte omschrijving van de activiteiten, het verstrekte subsidiebedrag en het zaaknummer nemen wij op in het subsidieregister op onze website. Daarnaast publiceren wij de volledige subsidiebeschikking op onze website. Dit doen wij omdat dit een algemene verplichting is van de LVV. De subsidiebeschikking wordt ook gepubliceerd op de website van de Europese Commissie. Namen van personen worden niet genoemd.
## Heeft u vragen?
Als u vragen heeft, neem dan contact op met telefoonnummer Hoogachtend,
Gedeputeerde Staten van Drenthe,
## , voorzitter , secretaris
Bijlage(n): /coll.
Afschrift aan: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
&lt;!-- image --&gt;
XX</t>
  </si>
  <si>
    <t>KSA__https___kansspelautoriteit.nl_sites_default_files_20230523_01-291-294_openbaar_besluit_last_onder_dwangsom_vl_spellen.txt::Rechtshandeling</t>
  </si>
  <si>
    <t>legt [54398:54402]</t>
  </si>
  <si>
    <t>[...] s dienen te worden genomen. Het is aan de overtreder een keuze te maken welke maatregelen getroffen dienen te worden om de overtreding te beëindigen. 42 ## Besluit 84. De raad van bestuur van de Kansspelautoriteit legt VL de volgende last onder dwangsom op: 2. -VL moet uiterlijk 13 juni 2023, 12 uur, de overtreding van artikel 1, eerste lid, aanhef en onder a, van de Wok - bestaande uit het aanbieden van een kansspel op afstand, de S [...]</t>
  </si>
  <si>
    <t>KSA__https___kansspelautoriteit.nl_sites_default_files_20230523_01-291-294_openbaar_besluit_last_onder_dwangsom_vl_spellen.txt::Rechtsobject</t>
  </si>
  <si>
    <t>last onder dwangsom [54418:54437]</t>
  </si>
  <si>
    <t>[...] enomen. Het is aan de overtreder een keuze te maken welke maatregelen getroffen dienen te worden om de overtreding te beëindigen. 42 ## Besluit 84. De raad van bestuur van de Kansspelautoriteit legt VL de volgende last onder dwangsom op: 2. -VL moet uiterlijk 13 juni 2023, 12 uur, de overtreding van artikel 1, eerste lid, aanhef en onder a, van de Wok - bestaande uit het aanbieden van een kansspel op afstand, de Spellen Loterij, zonder over de daar [...]</t>
  </si>
  <si>
    <t>KSA__https___kansspelautoriteit.nl_sites_default_files_20230831_01-292-391_aanwijzing_pn_ov.txt::Ontvanger</t>
  </si>
  <si>
    <t>KSA__https___kansspelautoriteit.nl_sites_default_files_20230831_01-292-391_aanwijzing_pn_ov.txt</t>
  </si>
  <si>
    <t>Play North</t>
  </si>
  <si>
    <t>play north</t>
  </si>
  <si>
    <t>Play North [26007:26018]</t>
  </si>
  <si>
    <t>[...] van bestuur is derhalve van oordeel dat het geven van een aanwijzing voor deze overtredingen op zijn plaats is. ## 6. Besluit aanwijzing 27. De raad van bestuur van de Kansspelautoriteit geeft een aanwijzing aan Play North inhoudende dat binnen drie maanden na dagtekening van dit besluit de overtredingen van onderstaande artikelen dienen te worden beëindigd en beëindigd te houden: 2. -artikel 3, tweede lid, onder d, van de Wwft juncto a [...]</t>
  </si>
  <si>
    <t>KSA__https___kansspelautoriteit.nl_sites_default_files_20230831_01-292-391_aanwijzing_pn_ov.txt::Besluitvormend Orgaan</t>
  </si>
  <si>
    <t>De raad van bestuur van de Kansspelautoriteit [25936:25981]</t>
  </si>
  <si>
    <t>De raad van bestuur van de Kansspelautoriteit [28064:28109]</t>
  </si>
  <si>
    <t>## Aan:
Maastricht University School of Business and Economics
t.a.v.
Tongersestraat 53
6211 LM  MAASTRICHT
6211 LM53
Drents onderzoek laaggeletterden, fase 2      Tongersestraat 53 6211 LM  202000804-00875292
6211 LM MAASTRICHT  Drents onderzoek laaggeletterden, fase 2
Assen, 7 april 2020 Ons kenmerk 202000804-00877529 Behandeld door Verplichtingennummer 78176
Onderwerp: Verlening subsidie Drents onderzoek laaggeletterden Fase 2
Maastricht University School of Business and Economics Mevrouw M. Segers Tongersestraat
MAASTRICHT      Ondertekening in mandaat (zonder zaaksluiting)        V 63030024/01/440670
Overige subsidies (1)9316097 Programma 6. Cultuur 9316396 Product 6.3 Cultuur en maatschappij Een
Geachte
,
Ja .78176 Projectsubsidie  AGVV
Op 5 maart 2020 ontvingen wij uw subsidieaanvraag voor het project 'Drents onderzoek laaggeletterden Fase 2' . Op 12 maart 2020 ontvingen wij de aanvullende informatie om de aanvraag compleet te maken. In deze brief informeren wij u over ons besluit op uw aanvraag.
In Drenthe zijn naast h et 'Bondgenootschap voor een Geletterd Drenthe' diverse lokale en regionale partijen actief om laaggeletterdheid te bestrijden of tegen te gaan. Met het project 'Drents onderzoek laaggeletterden Fase 1' heeft u de huidige Drentse situatie betreffende de aa npak van laaggeletterdheid in beeld gebracht (monitor), de impact van taalinterventies op de doelgroepen gemeten en succes- en faalfactoren van de aanpak en de (neven)opbrengsten in kaart gebracht. Met het vervolgproject wilt u hierop voortbouwen door duurzame inbedding van de monitor en de impactmeting te realiseren en door het monitoren van reeds in gang gezette beleidsinitiatieven en het borgen van kennisdeling.
## Besluit
Wij hebben besloten u een incidentele subsidie van maximaal € 75.000,00 , te verlenen op grond van artikel 1.6, eerste lid, onder c, van de Algemene Subsidieverordening provincie Drenthe 2017 (Asv 2017).
## Voorschot
Wij hebben besloten u een voorschot te verstrekken van € 60.000,00 , zijnde 80% van de verleende subsidie. Dit voorschot maken wij binnen dertig dagen na dagtekening van deze brief over op bankrekeningnummer , onder vermelding van het kenmerk van deze brief.
Bij correspondentie verzoeken wij u het zaaknummer 202000804 te vermelden.
## Prestatieverplichtingen
Voor deze subsidie moet u de volgende prestaties uitvoeren overeenkomstig uw activiteitenplan:
| Prestaties                                             | Prestaties                                                                                                                                                                                                                                                                                                                                                                                                                                                                                                                                                                                                                                                                                                          |   uren | Verleend subsidiebedrag   |
|--------------------------------------------------------|---------------------------------------------------------------------------------------------------------------------------------------------------------------------------------------------------------------------------------------------------------------------------------------------------------------------------------------------------------------------------------------------------------------------------------------------------------------------------------------------------------------------------------------------------------------------------------------------------------------------------------------------------------------------------------------------------------------------|--------|---------------------------|
| 1.                                                     | Monitoring werving en bereik (monitoronderzoek en verdiepende casestudies)                                                                                                                                                                                                                                                                                                                                                                                                                                                                                                                                                                                                                                          |    275 | € 33.000,-                |
| 2.                                                     | Resultaat: a. Het monitoronderzoek is duurzaam overgedragen aan het Trendbureau Drenthe zodat dit op reguliere basis kan worden uitgevoerd. b. Er is meer inzicht in de lokale aanpakken van laaggeletterdheid als onderdeel van de gemeentelijke aanpakken en werkzame elementen op het gebied van bereik, werving, toeleiding en leeraanbod voor laaggeletterde doelgroepen. c. De resultaten en goede voorbeelden zijn gedeeld via een publieksvriendelijke publicatie (brochure) en interactief via bijeenkomsten. Impactmeting                                                                                                                                                                                 |    115 | € 13.800,-                |
| 3.                                                     | gebruik van het landelijke digitale portaal 'Impactmeting Basisvaardigheden'. Succes- en faalfactoren werving NT1 Resultaat: a. Via een benchmarkonderzoek naar wervingsstrategieën voor NT1'ers zijn kansrijke aanpakken uit andere gemeenten, provincies en andere landen in beeld gebracht. De uitkomsten van het onderzoek zijn geborgd in een kennisnetwerk. b. Op basis van het onderz oek is een advies opgesteld om de NT1'er beter te kunnen bereiken. c. De resultaten van het onderzoek en de goede praktijkvoorbeelden zijn gedeeld via een publieksvriendelijke publicatie (factsheet) en interactief via regionale bijeenkomsten, als advies voor mogelijke kwaliteitsindicatoren voor de taalaanpak. |    134 | € 16.080,-                |
| Algemeen (overleggen/kennisdelen)                      | Algemeen (overleggen/kennisdelen)                                                                                                                                                                                                                                                                                                                                                                                                                                                                                                                                                                                                                                                                                   |     80 | € 9.600,-                 |
| Materiele kosten (rapportage, reiskosten, printkosten) | Materiele kosten (rapportage, reiskosten, printkosten)                                                                                                                                                                                                                                                                                                                                                                                                                                                                                                                                                                                                                                                              |        | € 2.520, -                |
| Totaal                                                 | Totaal                                                                                                                                                                                                                                                                                                                                                                                                                                                                                                                                                                                                                                                                                                              |    604 | € 75.000, -               |
## Overige verplichtingen en randvoorwaarden:
- ­ Het onderzoeksteam werkt nauw samen met het Bondgenootschap voor een geletterd Drenthe. Vanuit het Bondgenootschap is een begeleidingsteam gevormd dat voor uw onderzoekers in het project aanspreekpunt is.
- ­ Het onderzoeksteam is goed bereikbaar voor deelnemers aan het kennisnetwerk in Drenthe. O.a. voor de (bestuurlijke) stuurgroep naar een geletterd Drenthe.
- ­ De onderzoeksresultaten zullen vrij beschikbaar zijn.
- ­ Het onderzoeksteam neemt deel aan (landelijke) conferenties en participeert in lokale netwerken om de opgedane kennis te verspreiden.
- ­ De onderzoeksresultaten worden onder de aandacht gebracht bij relevante personen en doelgroepen om de resultaten te gebruiken bij praktische interventies en de aanpak van laaggeletterdheid door onder andere gemeenten, zorg- en welzijnsinstellingen scholen en taalaanbieders. Dit gebeurt in afstemming met het Bondgenootschap voor een geletterd Drenthe en het Trendbureau Drenthe.
- ­ Het onderzoeksteam stelt een projectrapport (factsheet) op aan het einde van het project, dat via het Bondgenootschap voor een geletterd Drenthe zal worden gedeeld met alle betrokken instanties en stakeholders (gemeenten, zorginstellingen, bibliotheken, taalaanbieders, welzijnsinstellingen en onderwijsinstellingen).
- ­ U bewaart de stukken die betrekking hebben op de besteding van de subsidie en de uitvoering van de activiteiten tot zes maanden nadat de activiteiten zijn uitgevoerd.
## Projectperiode
U verricht de prestaties in de periode van 1 april 2020 tot en met 31 juli 2021.
## Vaststelling
U levert binnen dertien weken nadat de activiteiten zijn uitgevoerd, maar uiterlijk op 1 november 2021, een verzoek tot vaststelling in.
In het verzoek tot vaststelling toont u aan dat de activiteiten zijn verricht en dat aan de opgelegde prestatieverplichtingen is voldaan. Het verzoek tot vaststelling bevat in ieder geval:
- ­ de onderzoeksresultaten;
- ­ een activiteitenverslag/eindrapportage.
Het niet tijdig indienen van het verzoek tot vaststelling kan gevolgen hebben voor de hoogte waarop de subsidie wordt vastgesteld. Als u geen verzoek tot vaststelling indient, stellen wij de subsidie ambtshalve vast. Wij doen dat op grond van de informatie die wij op dat moment hebben, waardoor de subsidie vaak lager of op nihil wordt vastgesteld. U ontvangt binnen 22 weken na ontvangst van uw verzoek tot vaststelling onze beslissing hierop.
Het verzoek tot vaststelling kunt u per e-mail toesturen naar post@drenthe.nl of per post naar het college van Gedeputeerde Staten van Drenthe, ter attentie van team Subsidies en Inkoop, Postbus 122, 9400 AC Assen.
## Communicatie
Wij vragen u om in uw communicatie over de activiteiten tot uitdrukking te brengen dat deze mede mogelijk worden gemaakt door de provincie Drenthe. Dit met het oog op het informeren van de burgers over de besteding van belastinggelden.
## Meldingsplicht
Als blijkt dat u de gesubsidieerde activiteiten niet zult uitvoeren of dat u niet aan alle verplichtingen zult voldoen, stelt u ons daarvan direct schriftelijk of per e-mail op de hoogte.
Daarnaast stelt u ons zo spoedig mogelijk op de hoogte van:
- -relevante wijzigingen in de financiële en organisatorische verhouding met derden;
- -wijzigingen van de statuten betreffende de vorm van de rechtspersoon, de persoon van de bestuurder(s) en het doel van de rechtspersoon.
Indien u niet voldoet aan de meldingsplicht, kunnen wij dit besluit tot subsidieverlening in uw nadeel wijzigen of intrekken en het uitbetaalde subsidiebedrag geheel of gedeeltelijk terugvorderen.
## Juridisch kader
Op dit besluit is de volgende wet- en regelgeving van toepassing:
- ­ de Algemene wet bestuursrecht
- ­ de Algemene subsidieverordening Drenthe 2017
- ­ Verordening (EU) Nr.651/2014 (PbEU 2014, L 187) van de Commissie van 17 juni 2014 (Algemene Groepsvrijstellingsverordening of AGVV)
## Staatssteun
Voor uw aanvraag hebben wij gekeken of er sprake is van staatssteun. Dit is bij u het geval, omdat uw onderneming door middel van staatsmiddelen selectief wordt gesteund en er door de mogelijke ontwikkelingen van het project een verstoring van de interne markt kan zijn. Deze steun valt onder de werking van de AGVV. In het bijzonder onder de steun voor onderzoeks- en ontwikkelingsprojecten (Hoofdstuk lll Deel 4 van de AGVV, specifiek fundamenteel onderzoek, artikel 25, tweede lid, onder a, van de AGVV).
De in aanmerking komende kosten kunnen tot 100% worden gesubsidieerd. De totale subsidiabele kosten van uw project bedragen € 75.000, --. De steunintensiteit van de provincie Drenthe bedraagt hiermee 100%.
Uw project voldoet aan de gestelde voorwaarden voor deze steun en aan de algemene bepalingen van de AGVV. De te verlenen subsidie heeft een stimulerend effect in de zin van voornoemde verordening van de Europese Commissie. Daarmee kan de subsidie geoorloofd worden verleend.
Wij geven van de verlening van deze subsidie, overeenkomstig de desbetreffende bepalingen van de AGVV, binnen twintig werkdagen na dagtekening van deze beschikking kennis aan de Europese Commissie en publiceren deze beschikking op onze website. Betaling van de subsidie sluiten wij uit, indien zou blijken dat de aan uw onderneming verleende steun onrechtmatig is en onverenigbaar is verklaard met de interne markt.
## Steekproef
Zoals wij hierboven aangaven, hoeft u de besteding van de subsidie achteraf alleen inhoudelijk te verantwoorden. Onderdeel van ons subsidiebeleid, zoals vastgelegd in de Algemene subsidieverordening Drenthe 2017 en de Provinciale leidraad voor het tegengaan van misbruik en oneigenlijk gebruik van subsidies, is dat wij achteraf via steekproeven controleren of subsidies rechtmatig en doelmatig zijn besteed.
Ten behoeve van eventueel onderzoek dat zal worden verricht bent u verplicht de volgende gegevens over de besteding van de subsidie en de uitvoering van het project voor ons beschikbaar te houden tot zes maanden na de voltooiing van de activiteiten waarvoor wij de subsidie verlenen:
- bewijsmiddelen waaruit blijkt dat de gesubsidieerde activiteiten volledig zijn uitgevoerd;
- bewijsmiddelen waaruit blijkt dat de met de uitvoering van de gesubsidieerde activiteiten beoogde resultaten zijn behaald;
- bewijsmiddelen waaruit blijkt dat de subsidie is besteed aan de gesubsidieerde activiteiten. Indien u niet of niet geheel voldoet aan de verplichting om deze gegevens beschikbaar te houden, kan
dat tot gevolg hebben dat wij de subsidievaststelling intrekken en dat u de subsidie geheel of gedeeltelijk moet terugbetalen.
De gegevens die wij uit een steekproef verkrijgen, gebruiken wij in beginsel alleen om te beoordelen of de subsidie is besteed overeenkomstig de verlening. Slechts indien blijkt dat er sprake is geweest van misbruik of oneigenlijk gebruik van deze subsidie (bijvoorbeeld als de subsidie is besteed aan andere activiteiten dan waarvoor deze werd verleend, of als de activiteiten niet of niet geheel hebben plaatsgevonden en u dit niet tijdig hebt gemeld), kan dat voor ons aanleiding zijn om de subsidie lager vast te stellen, of om de subsidieverlening ten nadele van u te wijzigen of in te trekken. In dergelijke gevallen loopt u het risico dat u het ontvangen voorschot geheel of gedeeltelijk moet terugbetalen.
## Nadere informatie
Wij verzoeken u alle correspondentie betreffende deze zaak te sturen naar post@drenthe.nl onder vermelding van zaaknummer 202000804. Mocht u nog vragen hebben, dan kunt u contact opnemen met
Hoogachtend,
Gedeputeerde Staten van Drenthe, namens dezen,
&lt;!-- image --&gt;
i.o. ir. R. Bakker, Teammanager Subsidies en Inkoop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t>
  </si>
  <si>
    <t>[...] acht de raad van bestuur, gelet op het voorgenoemde, kwalijk. De raad van bestuur is derhalve van oordeel dat het geven van een aanwijzing voor deze overtredingen op zijn plaats is. ## 6. Besluit aanwijzing 27. De raad van bestuur van de Kansspelautoriteit geeft een aanwijzing aan Play North inhoudende dat binnen drie maanden na dagtekening van dit besluit de overtredingen van onderstaande artikelen dienen te worden beëindigd en beëindigd te houden: 2. -artikel 3, tweede lid, onder d, van de Wwft juncto artikel 3, achtste lid van de Wwft (overtreding ten aanzien van cliëntenonderzoeken); -artikel 16, eerste lid, van de Wwft (overtredingen ten aanzien van meldingen aan de FIU); 28. De raad van bestuur draagt Play North op de volgende gedragslijnen op te volgen: 29. Ten aanzien van artikel 3, tweede lid, onder d, van de Wwft juncto artikel 3 achtste lid van de Wwft dient Play North de risicoanalyse in de cliëntenonderzoeken navolgbaar te maken. Hiervoor moet de monitoring van transacties worden aangescherpt zodat bij spelers met hoge netto verliezen eerder een onderzoek naar de bron van de middelen wordt gestart. Vervolgens moeten de bevindingen uit het onderzoek worden meegewogen in de risicoanalyse. De beoordeling moet aansluiten op het onderzoek. Dat betekent dat navolgbaar is hoe tot een conclusie omtrent het risicoprofiel is gekomen. Kansspelautoriteit Datum 10 november 2022 Ons kenmerk 01.292.391 30. Ten aanzien van artikel 16, eerste lid van de Wwft dient Play North transacties onverwijld te melden bij de FIU. Dat betekent dat er in de praktijk binnen veertien dagen moet worden gemeld, en zoveel eerder als mogelijk. Dit moet op inzichtelijke wijze worden aangetoond aan de Kansspelautoriteit. Consequentie niet opvolgen aanwijzing 31. Na afloop van de begunstigingstermijn zal de Kansspelautoriteit controleren op het opvolgen van de hierboven gegeven aanwijzing en het nakomen van de gedragslijnen. Indien de Kansspelautoriteit constateert dat Play North geen gevolg heeft gegeven dan wel niet tijdig of onvolledig gevolg heeft gegeven aan de aanwijzing dan kan de raad van bestuur hiervoor een last onder dwangsom (artikel 29, onder g, van de Wwft) of een bestuurlijke boete (artikel 30, onder g, van de Wwft) opleggen. 's-Gravenhage, 10 november 2022 De raad van bestuur van de Kansspelautoriteit, namens deze, w.g. mr. Renske E. Heijungs Hoofd afdeling Toezicht Datum 10 november 2022 Ons kenmerk 01.292.391 ## Bezwaar maken U kunt tegen deze beslissing bezwaar maken door een gemotiveerd bezwaarschrift [...]</t>
  </si>
  <si>
    <t>KSA__https___kansspelautoriteit.nl_sites_default_files_20230831_01-292-391_aanwijzing_pn_ov.txt::Rechtshandeling</t>
  </si>
  <si>
    <t>geeft</t>
  </si>
  <si>
    <t>geeft [25982:25988]</t>
  </si>
  <si>
    <t>geeft [25982:25987]</t>
  </si>
  <si>
    <t>[...] noemde, kwalijk. De raad van bestuur is derhalve van oordeel dat het geven van een aanwijzing voor deze overtredingen op zijn plaats is. ## 6. Besluit aanwijzing 27. De raad van bestuur van de Kansspelautoriteit geeft een aanwijzing aan Play North inhoudende dat binnen drie maanden na dagtekening van dit besluit de overtredingen van onderstaande artikelen dienen te worden beëindigd en beëindigd te houden: 2. -artikel 3, tweede lid, [...]</t>
  </si>
  <si>
    <t>KSA__https___kansspelautoriteit.nl_sites_default_files_20230831_01-292-391_aanwijzing_pn_ov.txt::Rechtsobject</t>
  </si>
  <si>
    <t>aanwijzing</t>
  </si>
  <si>
    <t>aanwijzing [25992:26003]</t>
  </si>
  <si>
    <t>aanwijzing [25992:26002]</t>
  </si>
  <si>
    <t>Aan: Stichting Veenomenaal Veenpark t.a.v. het bestuur Berkenrode 4 7884 TR  BARGER-COMPASCUUM
## 7884 TR4
Masterplan Veenpark Berkenrode 4 7884 TR
202100596-00926792
7884 TR BARGER-COMPASCUUM Masterplan Veenpark
Assen, 22 april 2021 Ons kenmerk 202100596-00936353 Behandeld door Verplichtingennummer 79358
Onderwerp: Verlening subsidie fase 1 masterplan Veenpark
Stichting Veenomenaal Veenpark het bestuur Berkenrode
Ondertekening in mandaat (zonder zaaksluiting)
(2)
BARGER-COMPASCUUM
V 63030543/01/440746 Bijdrage a/h Veenpark
3830816 Ambities Cultuurnota 440746 Bijdrage a/h Veenpark 6303 Cultuur, Maatschappij en
## Geacht bestuur,
Ja .79358 Incidentele subsidie AGVV
Op 15 februari 2021 ontvingen wij uw subsidieaanvraag voor het project Masterplan Veenpark. In deze brief informeren wij u over ons besluit op uw aanvraag.
Het Veenpark vertelt een belangrijk verhaal van Drenthe; het veen, de vervening en turfwinning. Het gaat over cultuur, historie, natuur en erfgoed. Wij vinden het belangrijk dat dit verhaal ook in de toekomst wordt verteld.
Het masterplan voorziet in een kwaliteitsslag voor het Veenpark, zodat het park niet alleen in stand wordt gehouden maar ook versterkt. Het Veenpark zal na deze investeringsslag een prominente plaats kunnen innemen in het toeristische en culturele aanbod van de provincie Drenthe. Het Masterplan dat nu voorligt is na een zorgvuldig proces en met behulp van diverse experts tot stand gekomen. Dit geeft voldoende vertrouwen om in te kunnen stemmen met uw subsidieaanvraag. Wij hebben dan ook besloten u een subsidie van maximaal € 666.666,00 te verlenen.
## Jaarlijkse subsidie
In onze cultuurnota hebben wij voor de jaren 2021 2024 een jaarlijks bedrag van €75.000,00 gereserveerd. Dit bedrag dient u elk jaar opnieuw afzonderlijk aan te vragen, u kunt hierover contact met ons opnemen. Deze subsidie zal worden verstrekt op basis van ons museumbeleid en is dan ook bedoeld om de doorontwikkeling te stimuleren van het Veenpark tot volwaardig museum op het niveau van de andere musea van provinciaal belang. Aandachtspunten voor u zijn hierbij onder andere het ontwikkelen van een educatief programma, het aannemen van een conservator en verwerven van de status van erkend museum.
## Voorschot
Wij hebben besloten u een voorschot te verstrekken van € 666.666,00, zijnde 100% van de verleende subsidie. Dit voorschot maken wij volgens onderstaand ritme over op bankrekeningnummer , onder vermelding van het kenmerk van deze brief.
| Datum             | Bedrag       |
|-------------------|--------------|
| Eind maart 2021   | € 166.666,50 |
| Eind mei 2021     | € 166.666,50 |
| Eind juli 2021    | € 166.666,50 |
| Eind oktober 2021 | € 166.666,50 |
| totaal            | € 666.666,00 |
## Prestatieverplichtingen
Bij het uitvoeren van de activiteiten voor de onderhavige subsidie bent u gebonden aan de volgende prestatieverplichtingen:
- -U voert fase 1 van het masterplan uit conform de ingediende stukken. Dit leidt concreet tot de volgende resultaten:
- Introductiefilm over het veenverhaal in een turfberg direct na de entree
- De realisatie van een Science centre in het hoofdgebouw
- In het park staat één duidelijke tijdsperiode centraal: rond 1920.
- Gebruik van scenografie en diverse media
- Een kleiner park dat rijker wordt ingericht.
- Vernieuwing horeca
- Doorgroeien naar 70.000-75.000 bezoekers in de komende vijf jaar
Naast deze prestatieverplichtingen bent u door deze subsidie gebonden aan de volgende eisen met betrekking tot het ontwikkelingstraject:
- -U werkt toe naar een goed, verantwoord en transparant bestuur. Er wordt een strikte scheiding aangebracht tussen de bv en de stichting. De stichting dient geleidelijk los te komen van de bv met een onafhankelijk bestuur. Het einddoel is dat er op 31-12-2024 sprake is van een volledig zelfstandige stichting.
- -In samenspraak met de Provincie Drenthe en de Gemeente Emmen ontwikkelt u een stappenplan waarin de concrete stappen genoemd staan om te voldoen aan de Code Cultural Governance 2019. Het doel is om tot een volledig zelfstandige stichting te komen. U dient dit stappenplan voor 20 juli 2021 in bij de gemeente en de provincie. Goedkeuring van het plan is een voorwaarde voor de uitbetaling van eind juli.
De projectactiviteiten starten op 1 mei 2021. De prestatieverplichtingen rond fase 1 van het masterplan worden uitgevoerd voor 1 mei 2022 . Indien hierin wijzigingen plaatsvinden, dient u dit bij ons aan te geven.
U levert binnen dertien weken nadat de activiteiten zijn uitgevoerd, maar uiterlijk op 1 augustus 2022 , een verzoek tot vaststelling in.
U bewaart de stukken die betrekking hebben op de besteding van de subsidie en de uitvoering van de activiteit tot zes maanden nadat de activiteit is uitgevoerd.
## Aanvullend verzoek
Daarnaast verzoeken wij u om in uw communicatie over de activiteit tot uitdrukking te brengen dat deze mede mogelijk worden gemaakt door de provincie Drenthe. Dit met het oog op het informeren van de burgers over de besteding van belastinggelden.
## Meldingsplicht
Als blijkt dat u de gesubsidieerde activiteit niet zult uitvoeren of dat u niet aan alle verplichtingen zult voldoen, stelt u ons daarvan direct schriftelijk of per mail op de hoogte.
Daarnaast stelt u ons zo spoedig mogelijk op de hoogte van:
- -relevante wijzigingen in de financiële en organisatorische verhouding met derden;
- -wijzigingen van de statuten betreffende de vorm van de rechtspersoon, de persoon van de bestuurder(s) en het doel van de rechtspersoon.
Indien u niet voldoet aan de meldingsplicht, kunnen wij dit besluit tot subsidieverlening in uw nadeel wijzigen of intrekken en het uitbetaalde subsidiebedrag geheel of gedeeltelijk terugvorderen.
## Vaststelling
In het verzoek tot vaststelling toont u aan dat de activiteit is verricht en dat aan de opgelegde prestatieverplichtingen is voldaan. Het verzoek tot vaststelling bevat in ieder geval:
- -een activiteitenverslag;
- -een financieel verslag of jaarrekening;
Het niet tijdig indienen van het verzoek tot vaststelling kan gevolgen hebben voor de hoogte waarop de subsidie wordt vastgesteld. Als u geen verzoek tot vaststelling indient, stellen wij de subsidie ambtshalve vast. Wij doen dat op grond van de informatie die wij op dat moment hebben, waardoor de subsidie vaak lager of op nihil wordt vastgesteld. U ontvangt binnen 22 weken na ontvangst van uw verzoek tot vaststelling onze beslissing hierop.
Het verzoek tot vaststelling kunt u per e-mail toesturen naar post@drenthe.nl of per post naar het college van Gedeputeerde Staten van Drenthe, ter attentie van team Subsidies en Inkoop, Postbus 122, 9400 AC Assen.
## Juridisch kader
Op dit besluit is de volgende wet- en regelgeving van toepassing:
- de Algemene wet bestuursrecht
- de Algemene subsidieverordening Drenthe 2017
- Verordening (EU) Nr. 651/2014 van de Commissie van 17 juni 2014, waarbij bepaalde categorieën steun op grond van de artikelen 107 en 108 van het Verdrag met de interne markt verenigbaar worden verklaard, Algemene Groepsvrijstellingsverordening (AGVV (PbEU L187/1)).
## Staatssteun
Voor uw aanvraag hebben wij gekeken of er sprake is van staatssteun. Dit is bij u het geval, omdat uw onderneming door middel van staatsmiddelen selectief wordt gesteund, en er door het project een verstoring van de interne markt kan zijn. Deze steun valt onder de werking van de AGVV. In het bijzonder onder de vrijstellingscategorie voor steun voor cultuur en instandhouding van het erfgoed (Hoofdstuk III Deel 11, artikel 53 van de AGVV), meer specifiek exploitatiesteun.
De in aanmerking komende kosten kunnen voor maximaal 80% worden gesubsidieerd. De totale projectkosten voor fase 1 (en enkele onderdelen van fase 2) zijn € 1.549.999,--.. Er wordt aan de provincie Drenthe een subsidie gevraagd van € 666.666,--, aan de gemeente Emmen wordt een subsidie gevraagd van € 333.333,--. Tezamen komt dit neer op een bedrag van € 999.999,--, oftewel 65%, waarmee deze steun onder de toegestane steunintensiteit blijft.
Uw project voldoet aan de gestelde voorwaarden voor deze steun en aan de algemene bepalingen van de AGVV. De te verlenen subsidie heeft een stimulerend effect in de zin van voornoemde verordening van de Europese Commissie. Daarmee kan de subsidie geoorloofd worden verleend.
Wij geven van de verlening van deze subsidie en van de subsidie van de gemeente Emmen, overeenkomstig de desbetreffende bepalingen van de AGVV, binnen 20 werkdagen na dagtekening van beide beschikkingen kennis aan de Europese Commissie. Ten behoeve van deze kennisgeving publiceren zowel de provincie Drenthe als de gemeente Emmen de aan u toegezonden beschikkingen op onze websites.
Betaling van de subsidie sluiten wij uit, indien zou blijken dat de aan uw onderneming verleende steun onrechtmatig is en onverenigbaar is verklaard met de interne markt.
## Nadere informatie
&lt;!-- image --&gt;
&lt;!-- image --&gt;
Mocht u nog vragen hebben, dan kunt u contact opnemen met
.
Hoogachtend,
Gedeputeerde Staten van Drenthe, namens dezen,
ir. R. Bakker, Teammanager Subsidies en Inkoop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t>
  </si>
  <si>
    <t>[...] walijk. De raad van bestuur is derhalve van oordeel dat het geven van een aanwijzing voor deze overtredingen op zijn plaats is. ## 6. Besluit aanwijzing 27. De raad van bestuur van de Kansspelautoriteit geeft een aanwijzing aan Play North inhoudende dat binnen drie maanden na dagtekening van dit besluit de overtredingen van onderstaande artikelen dienen te worden beëindigd en beëindigd te houden: 2. -artikel 3, tweede lid, onder d, van d [...]</t>
  </si>
  <si>
    <t>KSA__https___kansspelautoriteit.nl_sites_default_files_20231026_01-293-519_openbare_versie_besluit_bindende_aanwijzing_hc_cdb_1.txt::Ontvanger</t>
  </si>
  <si>
    <t>KSA__https___kansspelautoriteit.nl_sites_default_files_20231026_01-293-519_openbare_versie_besluit_bindende_aanwijzing_hc_cdb_1.txt</t>
  </si>
  <si>
    <t>Holland Casino</t>
  </si>
  <si>
    <t>holland casino</t>
  </si>
  <si>
    <t>Holland Casino [82357:82371]</t>
  </si>
  <si>
    <t>[...] heden is er geen sprake van omstandigheden die nopen tot het afzien van het geven van een bindende aanwijzing. ## Besluit 130. De Kansspelautoriteit legt op grond van artikel 34n Wok een bindende aanwijzing op aan Holland Casino, ertoe strekkende dat Holland Casino uiterlijk 6 weken na dagtekening van dit besluit de overtreding van artikel 5.3, eerste en vijfde lid, van het Besluit juncto artikel 4.21, aanhef en onder sub b, van de Regeling en [...]</t>
  </si>
  <si>
    <t>KSA__https___kansspelautoriteit.nl_sites_default_files_20231026_01-293-519_openbare_versie_besluit_bindende_aanwijzing_hc_cdb_1.txt::Besluitvormend Orgaan</t>
  </si>
  <si>
    <t>de raad van bestuur van de Kansspelautoriteit [84501:84546]</t>
  </si>
  <si>
    <t>de raad van bestuur van de Kansspelautoriteit [64:109]</t>
  </si>
  <si>
    <t>Aan: Hunebedcentrum t.a.v. het bestuur Postbus 25 9530 AA  BORGER
## 9530 AA25
Assen, 24 november 2021
Ons kenmerk 202101722-00971204 Behandeld door Verplichtingennummer 80236
Onderwerp: Verlening subsidie Hunebedcentrum 2022
## Geacht bestuur,
Op 20 september 2021 ontvingen wij uw subsidieaanvraag voor het jaar 2022. In deze brief informeren wij u over ons besluit op uw aanvraag.
U heeft een ambitieus plan bij ons ingediend. Het Hunebedcentrum heeft niet alleen de moeilijkheden van een aantal jaren geleden overwonnen maar heeft ook de coronacrisis tot dusver goed doorstaan. We zien in uw plannen veel perspectief voor de toekomst van het centrum. Wij hebben besloten u een subsidie van maximaal € 135.000,00 te verlenen. Deze subsidie bestaat uit € 110.000,00 euro boekjaarsubsidie horend bij de status van Museum van Provinciaal Belang en € 25.000,00 euro voor het Kenniscentrum Archeologie.
## Voorschot
Wij hebben besloten u een voorschot te verstrekken van € 135.000,00, zijnde 100% van de verleende subsidie. Dit voorschot maken wij volgens onderstaand ritme over op bankrekeningnummer , onder vermelding van het kenmerk van deze brief.
| Datum        | Bedrag      |
|--------------|-------------|
| Januari 2022 | € 67.500,00 |
| Juli 2022    | € 67.500,00 |
## Prestatieverplichtingen
U voert de volgende activiteiten uit conform uw projectplan:
-  In het fysieke museum zorgt u ervoor dat expositie up to date blijft; ontwikkelt u een communicatiestrategie voor museum en voor het grootste hunebed van Nederland en werkt u
Bij correspondentie verzoeken wij u het zaaknummer 202101722 te vermelden.
- aan verdergaande digitalisering van de collectie. U organiseert verschillende publieksactiviteiten zoals een lezingenserie over zwerfstenen en ijstijden, Oerweekenden en de Oertijdmarkt.
-  Het virtuele museum (hunebednieuwscafé) is een groot succes gebleken in de corona-tijd, het trekt jaarlijks zo'n 400.000 unieke bezoekers. In 2022 voegt u minimaal 300 nieuwe artikelen toe.
-  U breidt uw rol als canonmuseum verder uit. In 2022 gaat u verder met het ontwikkelen van online lesmogelijkheden voor basisscholen. Op het fysieke terrein wordt een archeologisch opgravingsterrein ingericht waar scholieren kunnen beleven hoe een archeologische opgraving in zijn werk gaat.
-  Samenwerking met de gemeente Borger-Odoorn ihkv Borger als Hunebedhoofdstad. U organiseert onder andere activiteiten voor de eigen bevolking van Borger-Odoorn waardoor zij betere ambassadeurs van de Hunebedhoofdstad kunnen worden.
-  Samenwerking met UNESCO Geopark de Hondsrug en de Hunebedhighway. U blijft betrokken bij de ontsluiting van de hunebedden langs de N34. Samen met het Geopark ontwikkelt u onderwijs en presentaties. In 2022 werkt u tevens aan de ontvangst van de Europese vergadering van Geoparken. In de winter '21/'22 organiseert u een lezingenserie over geologie in samenwerking met het Geopark.
-  Drenthe-breed. Via interactieve kaarten kunnen bezoekers/bewoners van Drenthe in de hele provincie op zoek gaan naar bijzondere locaties en hierover leren. In 2022 werkt u deze mogelijkheid nog verder uit en voegt u filmpjes over diverse locaties toe. Daarnaast gaat u verder met het uitbouwen en moderniseren van de site www.hunebeddeninfo.nl die u in 2020 van de hunebeddenbeheergroep heeft overgenomen.
-  Internationaal. Het Hunebedcentrum is lid van meerdere internationale netwerken op het gebied van archeologie en megalithische monumenten. U trekt ook steeds meer internationale bezoekers. In 2022 gaat u extra inzetten op internationale marketing ( 'Dutch Dolmen') en het personeel coachen om beter internationale gasten te kunnen ontvangen. U sluit aan bij de programmering van Megalithic Routes, waaronder de European Day of Megalithic Culture in april 2022. Voor deze laatste publieksactiviteit verwacht u zo'n 1000 bezoekers.
-  Vanaf 2021 is het Hunebedcentrum een informatiecentrum voor het Drents Landschap. In 2022 wordt dit partnerschap verder uitgewerkt. Een medewerker van Drents Landschap wordt in het centrum gestationeerd en het Hunebedcentrum wordt de toegangspoort waar vanuit het Hunzegebied ontdekt kan worden.
-  Het Archeologisch Kenniscentrum. Het Hunebedcentrum is sinds 2020 een archeologisch kenniscentrum. U werkt in dit kader samen met veel verschillende instanties om kennis over de archeologie in Noord-Nederland verder uit te breiden, te bewaren en toegankelijk te maken. U werkt aan een concrete onderzoeksagenda. In 2022 wordt u een volwaardige PANlocatie, hetgeen betekent dat amateurs bij u terecht kunnen met hun vondsten en dat zij geholpen worden door professionele archeologen met het determineren van de vondsten en zorgen dat deze in een landelijke database worden opgenomen. In 2021 bent u een Archeohotspot geworden en dit gaat u verder vormgeven, dit houdt in dat bezoekers bij u kunnen leren en ervaren hoe archeologisch onderzoek in zijn werk gaat. Ook gaat u een serie lezingen over dit onderwerp verzorgen.
De projectactiviteiten starten op 1 januari 2022 en worden uitgevoerd uiterlijk op 31 december 2022 . Indien hierin wijzigingen plaatsvinden, dient u dit bij ons aan te geven.
U levert uiterlijk vóór 1 mei 2023 een verzoek tot vaststelling in;
U bewaart de stukken die betrekking hebben op de besteding van de subsidie en de uitvoering van de activiteit tot zes maanden nadat de activiteiten zijn uitgevoerd.
## Aanvullend verzoek
Daarnaast verzoeken wij u om in uw communicatie over de activiteit tot uitdrukking te brengen dat deze mede mogelijk worden gemaakt door de provincie Drenthe. Dit met het oog op het informeren van de burgers over de besteding van belastinggelden.
## Meldingsplicht
Als blijkt dat u de gesubsidieerde activiteit niet zult uitvoeren of dat u niet aan alle verplichtingen zult voldoen, stelt u ons daarvan direct schriftelijk of per mail op de hoogte.
Daarnaast stelt u ons zo spoedig mogelijk op de hoogte van:
- -relevante wijzigingen in de financiële en organisatorische verhouding met derden;
- -wijzigingen van de statuten betreffende de vorm van de rechtspersoon, de persoon van de bestuurder(s) en het doel van de rechtspersoon.
Indien u niet voldoet aan de meldingsplicht, kunnen wij dit besluit tot subsidieverlening in uw nadeel wijzigen of intrekken en het uitbetaalde subsidiebedrag geheel of gedeeltelijk terugvorderen.
## Vaststelling
In het verzoek tot vaststelling toont u aan dat de activiteiten zijn verricht en dat aan de opgelegde prestatieverplichtingen is voldaan. Het verzoek tot vaststelling bevat in ieder geval:
- -een activiteitenverslag;
- -een financieel verslag of jaarrekening;
Het niet tijdig indienen van het verzoek tot vaststelling kan gevolgen hebben voor de hoogte waarop de subsidie wordt vastgesteld. Als u geen verzoek tot vaststelling indient, stellen wij de subsidie ambtshalve vast. Wij doen dat op grond van de informatie die wij op dat moment hebben, waardoor de subsidie vaak lager of op nihil wordt vastgesteld. U ontvangt binnen 22 weken na ontvangst van uw verzoek tot vaststelling onze beslissing hierop.
Het verzoek tot vaststelling kunt u per e-mail toesturen naar post@drenthe.nl of per post naar het college van Gedeputeerde Staten van Drenthe, ter attentie van team Subsidies en Inkoop, Postbus 122, 9400 AC Assen.
## Juridisch kader
Op dit besluit is de volgende wet- en regelgeving van toepassing:
- de Algemene wet bestuursrecht
- de Algemene subsidieverordening Drenthe 2017
## Staatssteun
Voor uw aanvraag hebben wij gekeken of er sprake is van staatssteun. Dit is bij u het geval, omdat uw onderneming door middel van staatsmiddelen selectief wordt gesteund, en er door het project een verstoring van de interne markt kan zijn. Deze steun valt onder de werking van de AGVV. In het bijzonder onder de vrijstellingscategorie voor steun voor cultuur en instandhouding van het erfgoed (Hoofdstuk III Deel 11, artikel 53 van de AGVV), meer specifiek investeringssteun en exploitatiesteun.
De in aanmerking komende kosten kunnen voor maximaal 80% worden gesubsidieerd. De totale kosten van de activiteiten bedragen € 1.256.144,00. Er wordt aan de provincie Drenthe een subsidie gevraagd van € 135.000,00 voor het uitvoeren van de activiteiten conform het projectplan en de ontwikkeling van het Kenniscentrum Archeologie. De steunintensiteit bedraagt hiermee 11%, waarmee het onder de maximale steunintensiteit blijft.
Uw project voldoet aan de gestelde voorwaarden voor deze steun en aan de algemene bepalingen van de AGVV. De te verlenen subsidie heeft een stimulerend effect in de zin van voornoemde verordening van de Europese Commissie. Daarmee kan de subsidie geoorloofd worden verleend.
Wij geven van de verlening van deze subsidie, overeenkomstig de desbetreffende bepalingen van de AGVV, binnen 20 werkdagen na dagtekening van deze beschikking kennis aan de Europese Commissie en publiceren deze beschikking op onze website.
Betaling van de subsidie sluiten wij uit, indien zou blijken dat de aan uw onderneming verleende steun onrechtmatig is en onverenigbaar is verklaard met de interne markt.
## Nadere informatie
Mocht u nog vragen hebben, dan kunt u contact opnemen met
.
&lt;!-- image --&gt;
Hoogachtend,
Gedeputeerde Staten van Drenthe, namens dezen,
ir. R. Bakker, Teammanager Subsidies en Inkoop
&lt;!-- image --&gt;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t>
  </si>
  <si>
    <t>Aan: Stichting Hunebedcentrum t.a.v. het bestuur Bronnegerstraat 12 9531 TG  BORGER
9531 TG12
Assen, 22 november 2022
Ons kenmerk 202201807-01034739 Behandeld door Verplichtingennummer Onderwerp: Verlening subsidie Hunebedcentrum 2023
## Geacht bestuur,
Op 31 augustus 2022 ontvingen wij uw subsidieaanvraag voor de activiteiten van Het Hunebedcentrum in 2023. In deze brief informeren wij u over ons besluit op uw aanvraag. Het Hunebedcentrum heeft de afgelopen jaren heel actief de samenwerking gezocht met vele organisaties en is daardoor een spin in het web geworden. Natuurlijk op het gebied van de hunebedden, die over Drenthe zijn verspreid, maar daarnaast ook van archeologie, geologie en natuur en erfgoed in bredere zin. Dit is ook duidelijk terug te zien in de activiteiten in uw jaarplan en dat waarderen wij. Ook zet het Hunebedcentrum grote stappen in haar ontwikkeling als archeologisch kenniscentrum.
## Besluit
Wij hebben besloten u een subsidie van maximaal € 137.835,00 te verlenen. Dit bedrag is hoger dan u wellicht verwachtte, dat heeft de volgende reden: wij hebben Provinciale Staten voorgesteld om met ingang van 2023 alle structurele begrotingssubsidies te indexeren. Op dit voorstel is door de staten positief besloten. Dit betekent dat ook uw subsidie met ingang van 2023 wordt geïndexeerd.
De indexatie is berekend door het gemiddelde te nemen over de afgelopen vijf jaar van de index voor Prijs overheidsconsumptie beloning werknemers en de Prijs netto materiële overheidsconsumptie. Doordat de indexatie gebaseerd is op de gegevens van de afgelopen vijf jaar, zal in het geval van sterk toegenomen inflatie zoals nu, de indexatie vooralsnog geen volledige compensatie voor de inflatie vormen.
## Voorschot
Wij hebben besloten u een voorschot te verstrekken van € 137.835,00, zijnde 100% van de verleende subsidie. Dit voorschot maken wij volgens onderstaand ritme over op
, onder vermelding van het kenmerk van deze brief.
&lt;!-- image --&gt;
| Datum        | Bedrag      |
|--------------|-------------|
| Januari 2023 | € 68.917,50 |
| Juli 2023    | € 68.917,50 |
## Prestatieverplichtingen
Voor deze subsidie moet u de volgende prestaties uitvoeren overeenkomstig uw activiteitenplan:
- -De instandhouding en ontwikkeling van het fysieke museum in Borger; het gebouw, het hunebed, de keientuin en de 'poort' naar de Hondsrug. In 2023 ligt de nadruk hierbij op onderhoud en verduurzaming van de gebouwen.
- -Het verder uitbouwen van het Hunebednieuwscafé door de toevoeging van 300 nieuwe artikelen.
- -Educatieve activiteiten in het kader van uw rol als canonmuseum. Het Hunebedcentrum is verbonden aan het eerste venster van de Canon van de Nederlandse Geschiedenis en heeft op die manier een ingang bij alle basisschoolleerlingen van Nederland.
- -Uitbreiding van de geologische collectie door het acquireren van collecties die een link hebben met de Hondsrug en het ontstaan van Drenthe.
- -De provinciale, nationale en internationale profilering van het Hunebedcentrum.
- -De activiteiten die horen bij het Kenniscentrum Archeologie. het Hunebedcentrum geeft niet alleen informatie over hunebedden en archeologie, maar neemt ook actief deel aan wetenschappelijk onderzoek op dit gebied in samenwerking met onder andere de RUG.
- -Het intensiveren van de samenwerking met Geopark De Hondsrug, onder andere door samen op te trekken in de Geoparkweek en de Dag van het Hunebed.
- -Het organiseren van activiteiten in het kader van de Europese dag van de megalithische cultuur.
- -Medewerking aan projecten van K&amp;amp;C, zoals Gekleurd Grijs, Oktobermaand Kindermaand, et cetera.
- -De samenwerking met natuurorganisaties zoals IVN, Staatsbosbeheer en Het Drentse Landschap.
- -De samenwerking met geologische organisaties en verschillende archeologische organisaties (zowel amateur- als professioneel/wetenschappelijk).
- -U doet mee aan verschillende initiatieven op museaal gebied zoals de nationale museumweek, museumkids, de nationale archeologiedagen, de maand van de geschiedenis et cetera.
- -U ondersteunt de werkzaamheden van Into Nature door de organisatie vergaderruimte te bieden in uw pand.
- -U organiseert vele eigen publieksactiviteiten voor jong en oud omtrent hunebedden, archeologie en de prehistorie. Dit zijn onder andere het stenenspreekuur, de verschillende oerweekenden, activiteiten rond de archeohotspot, het mamoetweekend (focus op de ijstijd), de jonge archeologen club en vele lezingen. Een heel aantal van deze activiteiten kunnen digitaal plaatsvinden, mocht er onverhoopt toch een nieuwe corona uitbraak plaatsvinden.
## Kwantitatief stelt u de volgende doelen:
- -Plm. 80.000 fysieke bezoekers in het museum.
- -Meer dan 100.000 unieke bezoekers voor de website www.hunebedcentrum.eu
- -Meer dan 400.000 unieke bezoekers op de website www.hunebednieuwscafe.nl
- -Meer dan 50.000 unieke bezoekers op de website www.hunebeddeninfo.nl
De activiteiten starten op 1 januari 2023 en worden uitgevoerd uiterlijk op 31 december 2023 . Indien hierin wijzigingen plaatsvinden, dient u dit bij ons aan te geven.
U levert uiterlijk vóór 1 mei 2024 een verzoek tot vaststelling in.
U bewaart de stukken die betrekking hebben op de besteding van de subsidie en de uitvoering van de activiteiten tot zes maanden nadat de activiteiten zijn uitgevoerd.
## Aanvullend verzoek
Daarnaast verzoeken wij u om in uw communicatie over de activiteiten tot uitdrukking te brengen dat deze mede mogelijk worden gemaakt door de provincie Drenthe. Dit met het oog op het informeren van de burgers over de besteding van belastinggelden.
## Meldingsplicht
Als blijkt dat u de gesubsidieerde activiteiten niet zult uitvoeren of dat u niet aan alle verplichtingen zult voldoen, stelt u ons daarvan direct schriftelijk of per e-mail op de hoogte.
Daarnaast stelt u ons zo spoedig mogelijk op de hoogte van:
- -relevante wijzigingen in de financiële en organisatorische verhouding met derden;
- -wijzigingen van de statuten betreffende de vorm van de rechtspersoon, de persoon van de bestuurder(s) en het doel van de rechtspersoon.
Indien u niet voldoet aan de meldingsplicht, kunnen wij dit besluit tot subsidieverlening in uw nadeel wijzigen of intrekken en het uitbetaalde subsidiebedrag geheel of gedeeltelijk terugvorderen.
## Vaststelling
In het verzoek tot vaststelling toont u aan dat de activiteiten zijn verricht en dat aan de opgelegde prestatieverplichtingen is voldaan. Het verzoek tot vaststelling bevat in ieder geval:
- -een activiteitenverslag;
- -een financieel verslag of jaarrekening.
Het niet tijdig indienen van het verzoek tot vaststelling kan gevolgen hebben voor de hoogte waarop de subsidie wordt vastgesteld. Als u geen verzoek tot vaststelling indient, stellen wij de subsidie ambtshalve vast. Wij doen dat op grond van de informatie die wij op dat moment hebben, waardoor de subsidie vaak lager of op nihil wordt vastgesteld. U ontvangt binnen 22 weken na ontvangst van uw verzoek tot vaststelling onze beslissing hierop.
Het verzoek tot vaststelling kunt u per e-mail toesturen naar post@drenthe.nl of per post naar het college van Gedeputeerde Staten van Drenthe, ter attentie van team Subsidies en Inkoop, Postbus 122, 9400 AC Assen.
## Juridisch kader
Op dit besluit is de volgende wet- en regelgeving van toepassing:
- -de Algemene wet bestuursrecht;
- -de Algemene subsidieverordening Drenthe 2017.
## Staatssteun
Voor uw aanvraag hebben wij gekeken of er sprake is van staatssteun. Dit is bij u het geval, omdat uw onderneming door middel van staatsmiddelen selectief wordt gesteund, en er door het project een verstoring van de interne markt kan zijn. Deze steun valt onder de werking van de AGVV. In het bijzonder onder de vrijstellingscategorie voor steun voor cultuur en instandhouding van het erfgoed (Hoofdstuk III Deel 11, artikel 53 van de AGVV), meer specifiek investeringssteun en exploitatiesteun.
De in aanmerking komende kosten kunnen voor maximaal 80% worden gesubsidieerd. De totale kosten van de activiteiten bedragen € 1.170174,00. Er wordt aan de provincie Drenthe een subsidie gevraagd van €137.835,00 voor het uitvoeren van de activiteiten conform het projectplan en de ontwikkeling van het Kenniscentrum Archeologie. De steunintensiteit bedraagt hiermee 12%, waarmee het onder de maximale steunintensiteit blijft.
Uw project voldoet aan de gestelde voorwaarden voor deze steun en aan de algemene bepalingen van de AGVV. De te verlenen subsidie heeft een stimulerend effect in de zin van voornoemde verordening van de Europese Commissie. Daarmee kan de subsidie geoorloofd worden verleend.
Wij geven van de verlening van deze subsidie, overeenkomstig de desbetreffende bepalingen van de AGVV, binnen 20 werkdagen na dagtekening van deze beschikking kennis aan de Europese Commissie en publiceren deze beschikking op onze website. Betaling van de subsidie sluiten wij uit, indien zou blijken dat de aan uw onderneming verleende steun
onrechtmatig is en onverenigbaar is verklaard met de interne markt
## Nadere informatie
Mocht u nog vragen hebben, dan kunt u contact opnemen met , telefoonnummer
.
&lt;!-- image --&gt;
Hoogachtend,
Gedeputeerde Staten van Drenthe, namens dezen,
&lt;!-- image --&gt;
,
teammanager Subsidies en Inkoop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t>
  </si>
  <si>
    <t>OPENBAAR Kansspelautoriteit &lt;!-- image --&gt; Besluit van de raad van bestuur van de Kansspelautoriteit als bedoeld in artikel 34n van de Wet op de kansspelen. Kenmerk: 01.292.353 Openbaar onder kenmerk: 01.293.519 ## Besluit ## Samenvatting 1. De raad van bestuur van de Kansspelautoriteit (hierna: Kansspelautoriteit) heeft vastgesteld dat de controledatabank van Holland Casino N.V. (hierna: Holland Casino) niet voldoet aan de technische en operationele voorschriften die bij of krachtens de wet- en regelgeving hieraan worden gesteld en dat Holland Casino bij het onderhouden van haar controledatabank niet de nodige organisatorische en technische maatregelen treft om de kwaliteit, de volledigheid, de actualiteit en de onweerlegbaarheid van de daarin opgenomen gegevens te waarborgen. Daarmee handelt Holland Casino in strijd met artikel 31h, eerste lid, van de Wet op de kansspelen en artikel 5.3, eerste en vijfde lid, van het Besluit kansspelen op afstand jo. artikel 4.21, aanhef en onder sub b, van de Regeling Kansspelen op afstand. De Kansspelautoriteit legt aan Holland Casino een bindende aanwijzing op die ertoe strekt dat Holland Casino uiterlijk 6 weken na dagtekening van dit besluit de bij Holland Casino vastgestelde overtreding(en) beëindigt en beëindigd houdt. 2. Het besluit is als volgt opgebouwd. In paragraaf 1 beschrijft de Kansspelautoriteit de achtergrond van het besluit. Paragraaf 2 bevat het juridisch kader. In paragraaf 3 beschrijft de Kansspelautoriteit het procesverloop. In hoofdstuk 4 staan de bevindingen en stelt de Kansspelautoriteit aan de hand van deze bevindingen de overtreding vast. Vervolgens beschrijft de Kansspelautoriteit in hoofdstuk 5 factoren en belangen die de Kansspelautoriteit heeft betrokken bij haar besluit om een aanwijzing te geven en de aanwijzing zelf. In hoofdstuk 6 behandelt de Kansspelautoriteit de door Holland Casino ingebrachte zienswijze, zoals geuit tegen het voorgenomen besluit. Het besluit zelf en de gedragslijnen zijn opgenomen in hoofdstuk 7. ## Inleiding 3. De Kansspelautoriteit is belast met het toezicht op de naleving van de Wet op de Kansspelen (hierna: Wok). Het aanbieden van kansspelen in Nederland is door middel van een vergunningenstelsel gereguleerd en slechts op grond van en in overeenstemming met een verleende vergunning en wet- en regelgeving toegestaan. Doelstelling van die regulering is het voorkomen van kansspelverslaving, het beschermen van de consument en het tegengaan van mogelijke fraude en criminaliteit. 1 De Kansspelautoriteit houdt toezicht op de naleving van de toepasselijke wet- en regelgeving en de vergunningvoorschriften en treedt zo nodig handhavend op. 4. Holland Casino heeft een vergunning voor het aanbieden van kansspelen op afstand vanaf 1 oktober 2021. 5. In de Wok is onder andere bepaald dat de houder van een vergunning tot het organiseren van kansspelen op afstand zijn bedrijfsvoering zodanig inricht dat een verantwoorde, betrouwbare en controleerbare organisatie van de kansspelen op afstand, alsmede het toezicht op de naleving van de bij of krachtens de Wok bepaalde regels, zijn gewaarborgd. 2 6. De Kansspelautoriteit moet in staat zijn om toezicht uit te oefenen op de naleving door een vergunninghouder van de Nederlandse wet- en regelgeving en vergunningvoorschriften. Om dit mogelijk te maken voorziet de wet er onder andere in dat een vergunninghouder een controledatabank moet inrichten. Dit betreft een datakluis waarin gegevens worden opgeslagen die cruciaal zijn voor effectief toezicht. Deze gegevens hebben onder andere betrekking op betalingstransacties, mutaties in de speelrekening, overschrijdingen van het spelersprofiel en de toegepaste interventiemaatregelen. 3 7. Met de verplichting om een controledatabank aan te houden en daarin de vereiste gegevens op te nemen, wordt beoogd de toezichthouder in staat te stellen uitvoering te geven aan haar taak om effectief toezicht te houden op de naleving van de bij of krachtens de Wok gestelde regels. Deze gegevens zijn alleen van waarde voor het toezicht indien zij betrouwbaar kunnen worden geacht, zij op betrouwbare wijze in de controledatabank worden opgenomen en de 1 Toelichting op het Besluit kansspelen op afstand (Stb. 2021, 37), p. 41. 2 Artikel 31h van de Wet op de kansspelen. 3 Toelichting op het Besluit kansspelen op afstand (Stb. 2021, 37), p. 50. 13 juni 2023 01.293.519 - toezichthouder toegang heeft tot deze gegevens. In dit kader dient de vergunninghouder te voldoen aan de technische en operationele voorschriften die bij of krachtens wet- of regelgeving worden gesteld aan de controledatabank. 4 8. Onderdeel van de toezichthoudende taak van de Kansspelautoriteit is dat handhavend wordt opgetreden tegen overtredingen van normen waarop de Kansspelautoriteit toezicht houdt. Dat geldt in het bijzonder wanneer de overtreden norm strekt ter waarborging van de verantwoorde, betrouwbare en controleerbare organisatie van kansspelen op afstand. Holland Casino onderhoudt niet op de daarvoor voorgeschreven wijze een controledatabank. Daarom legt de Kansspelautoriteit deze bindende aanwijzing op aan Holland Casino. De bindende aanwijzing is gericht op bevordering van de naleving van de regels door Holland Casino, zodat Holland Casino beschikt over een controledatabank die voldoet aan de geldende technische en operationele voorschriften. ## Juridisch kader Ten aanzien van de bevoegdheid van de Kansspelautoriteit 9. Op grond van artikel 33b van de Wok heeft de Kansspelautoriteit onder meer tot taak het toezicht op de naleving van de toepasselijke wet- en regelgeving en de vergunningen, alsmede de handhaving daarvan. 10. Artikel 34n, eerste lid, van de Wok bepaalt dat de Kansspelautoriteit een bindende aanwijzing kan geven met betrekking tot de naleving van de bij of krachtens de Wok gestelde voorschriften. ## Ten aanzien van de controledatabank 11. Op grond van artikel 31h Wok richt de houder van een (online kansspel)vergunning zijn bedrijfsvoering zodanig in dat een verantwoorde, betrouwbare en controleerbare organisatie van de kansspelen op afstand, alsmede het toezicht op naleving van de bij of krachtens de Wok, zijn gewaarborgd. 12. Artikel 5.3, eerste lid, van het Besluit kansspelen op afstand (hierna: Besluit) bepaalt dat vergunninghouders een controledatabank onderhouden. Het tweede lid van dit artikel bepaalt dat de controledatabank de volgende gegevens bevat: 4 Toelichting op de Regeling kansspelen op afstand (Stb. 2021, 4507), p. 86 - a. een niet direct tot de identiteit van de speler herleidbare, unieke aanduiding van iedere speler; - b. de datum, het tijdstip en de aard van iedere aanpassing en overschrijving van het spelersprofiel; - c. de aanleiding voor en de datum, het tijdstip en de aard van iedere interventie als bedoeld in artikel 18 van het Besluit werving reclame en verslavingspreventie kansspelen; - d. de datum, het tijdstip, het bedrag en de aard van iedere creditering en iedere debitering van iedere speelrekening, alsmede, waar van toepassing, de aard van het daarbij gebruikte betaalinstrument en, waar van toepassing, een niet direct tot de identiteit van de speler herleidbare, unieke aanduiding van de daarbij gedebiteerde onderscheidenlijke gecrediteerde betaalrekening; en - e. de totale inzet en speelwinst per spelsoort en, voor zover het betreft een kansspel waarbij de vergunninghouder anders dan als inzet een vergoeding ontvangt voor het geven van gelegenheid tot deelneming aan dat kansspel, het totale bedrag van die vergoeding. 13. Op grond van artikel 5.3, vijfde lid, van het Besluit treft de vergunninghouder passende technische en organisatorische maatregelen om onder andere de kwaliteit, de volledigheid, de actualiteit, de consistentie, de authenticiteit en de onweerlegbaarheid van de in de controledatabank opgenomen gegevens te waarborgen. 14. Artikel 5.3, zesde lid, van het Besluit bepaalt dat bij regeling van Onze Minister nadere technische en operationele vereisten gesteld worden met betrekking tot de controledatabank. Deze hebben in ieder geval betrekking op: - a. de inrichting en plaatsing van de controledatabank; - b. de beveiliging van de in de controledatabank opgenomen gegevens; - c. de kwaliteit, volledigheid actualiteit, consistentie, authenticiteit en onweerlegbaarheid van de in de controledatabank opgenomen gegevens; - d. de vernietiging van de in de controledatabank opgenomen gegevens - e. de toegang tot de controledatabank en de daarin opgenomen gegevens, bedoeld in het derde lid van artikel 5.3 van het Besluit koa; en Kansspelautoriteit 13 juni 2023 01.293.519 - f. het afscheiden van de controledatabank van de andere elektronische middelen. 15. Artikel 4.21 Regeling kansspelen op afstand (hierna: Regeling) bepaalt dat de vergunninghouder er zorg voor draagt dat de controledatabank voldoet aan de technische en operationele voorschriften die de Kansspelautoriteit na overleg met de directeur-generaal van de Belastingdienst stelt. Die voorschriften hebben in ieder geval betrekking op de wijze waarop: - a. de controledatabank wordt ingericht en beveiligd; - b. gegevens worden opgeslagen in de controledatabank; - c. elektronische toegang wordt geboden tot de controledatabank; - d. de procedures bij storingen van de controledatabank; - e. reservebestanden of kopieën worden aangehouden van gegevens in de controledatabank; - f. de controledatabank wordt afgescheiden van de overige elektronische middelen van het spelsysteem. 16. Op grond van artikel 4.21 Regeling heeft de Kansspelautoriteit voorschriften vastgesteld met betrekking tot de controledatabank die vergunninghouders dienen te onderhouden. De betreffende voorschriften zijn in de volgende documenten vastgelegd: a. Ksa CDB Specifications version 1.0 b. Ksa CDB Datamodel version 1.0 c. Ksa XSD version 1.0 5 - Deze documenten zijn gepubliceerd op de website van de Kansspelautoriteit. 17. De Kansspelautoriteit heeft op 19 april 2022 het Ksa CDB datamodel en de Ksa XSD geüpdatet naar version 1.1 . Deze geüpdatete bestanden zijn gepubliceerd op de website van de Kansspelautoriteit, waarbij versions 1.0 van beide documenten zijn vervangen op de website. 6 [5 https://kansspelautoriteit.nl/voor-zakelijke-aanbieders/online-kansspel/inrichten-beheren-controledatabank/](https://kansspelautoriteit.nl/voor-zakelijke-aanbieders/online-kansspel/inrichten-beheren-controledatabank/) [6 https://kansspelautoriteit.nl/voor-zakelijke-aanbieders/online-kansspel/inrichten-beheren-controledatabank/](https://kansspelautoriteit.nl/voor-zakelijke-aanbieders/online-kansspel/inrichten-beheren-controledatabank/) ## Procedure 18. Per 1 april 2021 is de Wet kansspelen op afstand in werking getreden. Op grond van deze wet mogen aanbieders na het verkrijgen van een vergunning van de Kansspelautoriteit hun online spelaanbod aan consumenten aanbieden. 19. Op 29 september 2021 heeft de Kansspelautoriteit aan Holland Casino een vergunning verleend voor het aanbieden van kansspelen op afstand voor de periode van 1 oktober 2021 tot en met 30 september 2026, zoals bedoeld in artikel 31a van de Wok. 7 20. Per brief van 30 september 2021 heeft de Kansspelautoriteit Holland Casino geïnformeerd over de geplande ingebruikname van de controledatabank door Holland Casino op vrijdag 1 oktober 2021. Vanaf dat moment heeft Holland Casino gebruik kunnen (en, conform alle relevante voorschriften, moeten) maken van de controledatabank. 8 21. Sinds 1 oktober 2021 biedt Holland Casino kansspelen op afstand aan op basis van de aan haar verleende vergunning voor het aanbieden van kansspelen op afstand. 22. Holland Casino leverde gegevens onjuist aan in de controledatabank. Daarover heeft op 7 december 2021 een digitaal overleg plaatsgevonden tussen de Kansspelautoriteit, Holland Casino en de onderaannemer van Holland Casino, [onderaannemer 1]. In dit overleg is onder andere gesproken over de onjuist aangeleverde gegevens in de controledatabank, waaronder met betrekking tot speellimieten. 9 Op 8 december 2021 heeft de Kansspelautoriteit per e-mail, met referentie aan voornoemd overleg, nadere informatie verstrekt aan Holland Casino over deze onjuiste gegevens, met het verzoek dit conform het datamodel aan te passen. Daarnaast wees de Kansspelautoriteit in deze e-mail Holland Casino erop dat zij bij het aanleveren van gewijzigde spelersgegevens ongevraagd de gehele historie van spelersgegevens toestuurde, hetgeen geen waarde toevoegde en onnodige verwerkingstijd van de Kansspelautoriteit vergde. De Kansspelautoriteit verzocht Holland Casino in het vervolg enkel de laatst gewijzigde spelersgegevens op te sturen. 10 7 Met kenmerk 1610/01.247.084. 8 Brief d.d. 30 september 2021, met kenmerk 01.248.237. 9 De grenzen die spelers op grond van artikel 31k, tweede lid, sub c, van de Wok aangeven. 10 Mail d.d. 8 december 2021 met onderwerp followup on Evaluation meeting . 13 juni 2023 01.293.519 23. Holland Casino heeft voornoemde e-mail van de Kansspelautoriteit op dezelfde dag doorgestuurd naar haar onderaannemer [onderaannemer 1]. 11 In vervolg hierop heeft op 8, 13 en 14 december 2021 een mailwisseling plaatsgevonden tussen [onderaannemer 1] en de Kansspelautoriteit over de onjuist aangeleverde spelersgegevens. 12 Op 15 december 2021 liet [onderaannemer 1] aan de Kansspelautoriteit weten dat zij deze gegevens niet kon detecteren, omdat zij geen zicht had op de door Holland Casino in de controledatabank opgenomen gegevens. 24. De Kansspelautoriteit heeft vervolgens op 16 december 2021 Holland Casino per e-mail geattendeerd op de nog openstaande punten betreffende haar controledatabank, waaronder de hierboven beschreven bevindingen (tekortkomingen) over speellimieten en de volledige historie van aangeleverde gegevens (in plaats van enkel de meest recente data). 13 Voorts werd door de Kansspelautoriteit gewezen op een nieuw probleem dat was ontstaan met betrekking tot onjuiste of onbekende toegestuurde vlaggen. 14 25. Holland Casino heeft per e-mail van 11 januari 2022 een inhoudelijke reactie gegeven op de e-mail van 16 december 2021. Hierbij liet Holland Casino weten dat de problemen met betrekking tot het toesturen van de gehele historie opgelost zouden moeten zijn en dat zij graag ten aanzien van de onjuiste of onbekende toegestuurde vlaggen voorbeelden wilde ontvangen, om zo het onderzoek te kunnen versnellen. 15 26. Naar aanleiding van de door Holland Casino gevraagde voorbeelden heeft de Kansspelautoriteit op 12 januari 2022 per e-mail Holland Casino laten weten dat Holland Casino eventuele tekortkomingen in spelersgegevens zelf moet kunnen detecteren en oplossen. De Kansspelautoriteit verwees hierbij naar het datamodel, waarin reeds instructies staan ten aanzien van de aan te leveren gegevens en de wijze waarop ze moeten worden aangeleverd. 16 11 Mail d.d. 8 december 2021 met onderwerp RE: followup on Evaluation meeting. 12 Mails d.d. 8, 13 en 14 december 2021 met onderwerp RE: followup on Evaluation meeting. 13 Mail d.d. 16 december 2022, met het onderwerp Open punten. 14 Vlaggen gekoppeld aan gebeurtenissen of risicoclassificaties van spelers, zoals bij jongvolwassenen of spelers waaraan door de aanbieder een non-riskclassificatie is toegekend. 15 Mail d.d. 11 januari 2022, met het onderwerp RE: Open punten. 16 Mail d.d. 12 januari 2022, met het onderwerp RE: Open punten. 27. Op 23 februari 2022 heeft een overleg plaatsgevonden van de Kansspelautoriteit met Holland Casino. Aanleiding voor dit overleg waren de nieuwe problemen die waren ontstaan door het aanleveren van onjuiste spelersgegevens met betrekking tot spelsessies en transacties. In vervolg op het overleg heeft de Kansspelautoriteit op diezelfde dag per e-mail, met een referentie aan het overleg dat die ochtend had plaatsgevonden met Holland Casino, een document aan Holland Casino gestuurd met best practices . In de e-mail verzocht de Kansspelautoriteit Holland Casino een tijdslijn te verstrekken waarbinnen zij de in het overleg besproken problemen zou hebben opgelost. 17 28. Door het uitblijven van een reactie op bovenstaande e-mail van 23 februari 2022, heeft de Kansspelautoriteit op 14 maart 2022 per e-mail bij Holland Casino naar de voortgang gevraagd. 18 Op dezelfde dag heeft Holland Casino per e-mail vragen aan de Kansspelautoriteit gesteld met betrekking tot de eerder besproken onjuist aangeleverde spelsessies en transacties. 19 29. Op 25 maart 2022 heeft de Kansspelautoriteit per e-mail de vragen van Holland Casino beantwoord, inclusief een uiteenzetting van de drie scenario's die zagen op de wijze waarop spelsessies en transacties aangeleverd moesten worden. Gezien de inmiddels structurele problemen met het aanleveren van spelsessies en transacties in de controledatabank, stelde de Kansspelautoriteit Holland Casino alvast op de hoogte van de aanstaande update van het datamodel en de daarbij verplicht af te leggen test. 20 30. Op 30 maart 2022 heeft Holland Casino per e-mail de Kansspelautoriteit bedankt voor de beantwoording en liet zij weten deze antwoorden te verstrekken aan 'haar partner'. Hierbij heeft Holland Casino de verwachting uitgesproken dat zij voor een eventuele verwerking van een update van het datamodel drie tot vier maanden nodig zou hebben. 21 31. Op 31 maart 2022 heeft de Kansspelautoriteit per e-mail gereageerd op bovenstaande e-mail en meldde zij aan Holland Casino dat alle aanbieders 17 Mail d.d. 23 februari 2022, met onderwerp aanlevering game sessions en transactions in CDB. 18 Mail d.d. 14 maart 2022, met onderwerp RE: aanlevering game sessions en transactions CDB. 19 Mail d.d. 14 maart 2022, met onderwerp RE: aanlevering game sessions en transactions CDB. 20 Mail d.d. 25 maart 2022, met onderwerp RE: aanlevering game sessions en transactions in CDB. 21 Mail d.d. 30 maart 2022, met onderwerp RE: aanlevering game sessions en transactions in CDB. - dezelfde implementatietijd krijgen van drie maanden vanaf het moment van vaststelling van het geüpdatete datamodel. 22 32. Op 7 april 2022 heeft Holland Casino per e-mail vragen die zij had gekregen van haar onderaannemer [onderaannemer 1] doorgestuurd naar de Kansspelautoriteit. Deze vragen gingen weer over de aanlevering van spelsessies en transacties. Hierbij sprak [onderaannemer 1] de behoefte uit aan een nieuw overleg met de Kansspelautoriteit. 23 Op 11 april 2022 heeft de Kansspelautoriteit per e-mail aan Holland Casino de doorgestuurde vragen van [onderaannemer 1] beantwoord. 24 33. Holland Casino heeft op 29 april 2022 per e-mail weer vragen die zij van haar onderaannemer [onderaannemer 1] ontving, doorgezet naar de Kansspelautoriteit. De Kansspelautoriteit heeft deze vragen op 4 mei 2022 per email aan Holland Casino beantwoord. 25 34. Per brief van 4 mei 2022 heeft de Kansspelautoriteit Holland Casino geïnformeerd over de per 19 april 2022 doorgevoerde aanpassing van het datamodel en bijbehorende XSD. Daarbij heeft de Kansspelautoriteit aangegeven dat deze update van het datamodel versie 1.0 naar datamodel versie 1.1 geen fundamentele wijzigingen bevat. De update beperkte zich tot verduidelijking en vereenvoudiging van onderdelen. Verder vermeldde de Kansspelautoriteit in de brief van 4 mei 2022 dat Holland Casino het verwerken van de update in de controledatabank vóór 19 juli 2022 gerealiseerd moest hebben. Hierbij attendeerde de Kansspelautoriteit Holland Casino erop dat, om het nieuwe datamodel in gebruik te kunnen nemen voor de controledatabank, toestemming van de Kansspelautoriteit vereist was. Deze toestemming zou de Kansspelautoriteit verlenen nadat de vergunninghouder een test succesvol binnen de daarvoor gestelde termijn heeft afgerond. Dit betrof een gefaseerde test. Het doel van deze integratietest was om vast te stellen of het koppelvlak, de dataoverdrachtprocessen en de systemen werken zoals bedoeld in datamodel versie 1.1. Ter voorbereiding op het testen diende elke vergunninghouder, en dus ook Holland Casino, haar bijgewerkte datamapping en andere relevante documenten op te sturen naar de Kansspelautoriteit. Tot slot vermeldde de Kansspelautoriteit dat het niet of niet tijdig verwerken van wijzigingen aan de controledatabank, ertoe kon leiden dat Holland Casino niet langer zou voldoen aan 22 Mail d.d. 31 maart 2022, met onderwerp RE: aanlevering game sessions en transactions in CDB. 23 Mail d.d. 7 april 2022 met onderwerp RE: Vragen FW: Delevery game sessions en transactions in CDB. 24 Mail d.d. 11 april 2022 met onderwerp RE: Vragen FW: Delevery game sessions en transactions in CDB. 25 Mail d.d. 29 april 2022 met onderwerp RE: Vragen FW: Delevery game sessions en transactions in CDB. - artikel 4.21 van de Regeling en dat dit aanleiding zou kunnen zijn voor handhavend optreden door de Kansspelautoriteit. 26 35. Op 10 mei 2022 heeft Holland Casino per e-mail aan de Kansspelautoriteit - onder verwijzing naar een overleg van de dag daarvoor tussen Holland Casino, de Kansspelautoriteit en de onderaannemer van Holland Casino, [onderaannemer 1] - haar zorgen geuit over de tijdsplanning waarbinnen Holland Casino het verwerken van de update naar datamodel versie 1.1 zou moeten realiseren. Hierbij meldde Holland Casino voor de realisatie afhankelijk te zijn van twee onderaannemers die zij had ingehuurd, namelijk [onderaannemer 1] en [onderaannemer 2]. Gezien de aard van de wijzigingen stelde Holland Casino dat het haar meer tijd zou gaan kosten om de wijzigingen te kunnen realiseren. In de e-mail werd eveneens uitleg gevraagd ten aanzien van specifieke wijzigingen in datamodel versie 1.1. 27 Deze uitleg heeft de Kansspelautoriteit op dezelfde dag - per e-mail aan Holland Casino verstrekt en op 25 mei 2022 per e-mail aan Holland Casino aangevuld. 28 36. Op 9 juni 2022 heeft een gesprek plaatsgevonden tussen de Kansspelautoriteit en Holland Casino over de update van het datamodel. In dat gesprek heeft Holland Casino aangegeven dat zij de gestelde termijn, genoemd in de brief van 4 mei 2022, niet zou gaan halen. De voor de test noodzakelijke, aangepaste documentatie kon Holland Casino niet binnen de gestelde termijn aanleveren. Holland Casino heeft aangegeven op 9 september 2022 gereed te zijn om het nieuwe datamodel te testen. 37. Middels de brief van 23 juni 2022 heeft de Kansspelautoriteit, onder verwijzing naar het gesprek van 9 juni 2022, Holland Casino meer tijd gegund om de noodzakelijke wijzigingen te kunnen doorvoeren om te voldoen aan de vereisten van datamodel versie 1.1. De Kansspelautoriteit heeft de testdatum verschoven naar 19 september 2022. De Kansspelautoriteit heeft Holland Casino erop gewezen dat het niet kunnen halen van de gestelde termijn een ernstige tekortkoming is. Hierbij vermeldde de Kansspelautoriteit dat van vergunninghouders wordt verwacht dat zij de benodigde wijzigingen in hun systemen binnen een redelijke termijn kunnen doorvoeren. De Kansspelautoriteit 26 Brief d.d. 4 mei 2022, met kenmerk 01.265.092 27 Mail d.d. 10 mei 2022, met onderwerp 1] /Holland Casino. 28 Mails d.d. 10 en 25 mei 2022, met onderwerp RE: Summary of productive meeting KSA/ [onderaannemer 1] /Holland Casino. RE: Summary of productive meeting KSA/ [onderaannemer vermeldde ook dat met het niet tijdig doorvoeren van wijzigingen in haar systemen Holland Casino zich onttrekt aan het toezicht van de Kansspelautoriteit. De Kansspelautoriteit merkte hierbij op dat verreweg de meeste vergunninghouders bij de verwerking van de update geen noemenswaardige problemen ondervonden of uitstel nodig hadden. Daarbij gaf de Kansspelautoriteit aan dat het haar zorgen baarde dat Holland Casino niet in staat was om een relatief eenvoudige update binnen de gestelde termijn te verwerken. 29 38. De test met Holland Casino voor het verkrijgen van toestemming voor ingebruikname van de gewijzigde controledatabank (zie randnummer 33), de zogenoemde integratietest, heeft van maandag 19 september 2022 (9:00 uur CET) tot en met vrijdag 23 september 2022 (17:00 uur CET) plaatsgevonden. Per e-mail van 19 september 2022 heeft de Kansspelautoriteit Holland Casino geïnformeerd dat zij, ondanks het niet aanleveren van de noodzakelijke documentatie door Holland Casino, toch overgaat tot het testen met Holland Casino. De Kansspelautoriteit besloot hiertoe om de overgang naar datamodel versie 1.1 niet te hinderen en de planning en de gereserveerde capaciteit aan de zijde van de Kansspelautoriteit niet onbenut te laten. De Kansspelautoriteit verzocht Holland Casino zo spoedig mogelijk de ontbrekende documentatie alsnog aan te leveren. 30 39. De Kansspelautoriteit heeft de voorwaarden waaronder de test werd uitgevoerd vooraf gedeeld met Holland Casino. In het kort kwam het er op neer dat Holland Casino 16 testcases moest uitvoeren, verdeeld over 5 testruns . Om de test met een positief resultaat af te ronden, moesten alle testcases binnen de daarvoor gestelde tijd met succes afgerond zijn. Hierbij zou Holland Casino de mogelijkheid krijgen om onjuist aangeleverde gegevens te herstellen om zo alsnog een testcase succesvol te kunnen sluiten. 40. Holland Casino heeft de integratietest niet met succes afgerond binnen de daarvoor gestelde termijn. Van de 16 testcases heeft Holland Casino er binnen de gegeven tijd slechts 7 uitgevoerd. Gedurende het testen heeft de Kansspelautoriteit in totaal over de 7 uitgevoerde testcases 10 bevindingen (tekortkomingen) teruggekoppeld aan Holland Casino, waarvan 9 vervolgens door Holland Casino met succes zijn gesloten na het aanleveren van nieuwe 29 Brief d.d. 23 juni 2022, met kenmerk 01.268.402. 30 Mail d.d. 19 september 2022, met onderwerp RE\_Gewenste documenten t.b.v. aanstaande CDB test. - spelersgegevens. Aan het einde van de test stond één bevinding nog open. De uitslag van deze test, inclusief de aan Holland Casino teruggekoppelde bevindingen per testcase, zijn vervat in een CDB-vrijgaveadvies. 31 41. Op 26 september 2022 is Holland Casino door de Kansspelautoriteit per e-mail geïnformeerd over de uitkomst van de test. De Kansspelautoriteit heeft daarbij gemeld dat vervolgstappen kort daarna met Holland Casino zouden worden gecommuniceerd. 32 42. Naar aanleiding van de negatieve uitslag van de integratietest heeft de Kansspelautoriteit op 14 oktober 2022 een voornemen tot het schorsen van de vergunning voor het organiseren van kansspelen op afstand, aan Holland Casino gestuurd. Met het uitblijven van de omschakeling naar datamodel versie 1.1 voldeed Holland Casino geruime tijd niet aan de technische en operationele voorschriften die de Kansspelautoriteit stelt aan de controledatabank. In dat voornemen heeft de Kansspelautoriteit Holland Casino eveneens gewezen op het structureel aanleveren van onjuiste en onvolledige spelersgegevens door Holland Casino. 43. Op 18 oktober 2022 heeft Holland Casino de Kansspelautoriteit per e-mail om een hertest verzocht. Hierbij heeft Holland Casino te kennen gegeven dat zij klaar was voor een nieuwe test en graag wilde laten zien compliant te zijn. Ook heeft Holland Casino gemeld dat zij de gevraagde en noodzakelijke documentatie op 12 oktober 2022 had aangeleverd. 33 44. Op 20 oktober 2022 heeft de Kansspelautoriteit aan Holland Casino per e-mail laten weten dat zij de documentatie heeft ontvangen, maar niet het verplichte CDB-vragenformulier. Hiermee heeft Holland Casino de documenten niet conform instructies ingediend. Desondanks heeft de Kansspelautoriteit besloten de documenten in behandeling te nemen en te beoordelen, om zo een overgang naar datamodel versie 1.1 niet te hinderen. 31 Vrijgaveadvies d.d. 26 september 2022 CDB integratietest Holland Casino. 32 Mail d.d. 26 september 2022, met onderwerp Mail RE: {Holland Casino} CDB testrun results 33 Mail d.d. 18 oktober 2022, met onderwerp Verzoek tot hertest 13 juni 2023 01.293.519 45. In dezelfde e-mail meldde de Kansspelautoriteit dat zij het verzoek tot een hertest voorlopig niet zou inwilligen. De Kansspelautoriteit kondigde hierbij aan dat zij na de geplande hoorzitting op 3 november 2022 zou gaan beoordelen óf Holland Casino in aanmerking zou komen voor een hertest en wanneer deze eventueel kon plaatsvinden. Bij deze beoordeling zou de Kansspelautoriteit hetgeen tijdens de hoorzitting naar voren was gekomen en de uitkomst van de beoordeling van de ingediende documenten betrekken. 34 46. Op 25 oktober 2022 heeft Holland Casino gemeld dat zij het ontbrekende CDBvragenformulier - dat als leeswijzer fungeert bij de op 12 oktober 2022 ingediende documenten - had ingevuld en aan de Kansspelautoriteit verstrekt. 35 47. Op 3 november 2022 heeft een hoorzitting plaatsgevonden naar aanleiding van het voorgenomen schorsingsbesluit van de Kansspelautoriteit. Holland Casino heeft in haar zienswijze aangegeven de nodige organisatorische en technische maatregelen te hebben getroffen en meende compliant te zijn. Dit wilde zij door middel van het uitvoeren van een nieuwe test bewijzen. Ook heeft Holland Casino tijdens de hoorzitting gesteld dat het schorsingsvoornemen zich niet goed verhoudt met de evenredigheidsjurisprudentie. Het verslag van de hoorzitting is met Holland Casino gedeeld op 18 november 2022. 36 48. Per brief van 15 november 2022 heeft de Kansspelautoriteit Holland Casino bericht dat de aangeleverde documenten geen aanleiding vormden om niet over te gaan tot het uitvoeren van een hertest met Holland Casino van haar CDBomgeving. De Kansspelautoriteit heeft het verzoek tot het mogen uitvoeren van een nieuwe test derhalve ingewilligd. Als bijlage bij de brief heeft de Kansspelautoriteit wederom de randvoorwaarden van dit testtraject opgenomen. Het testtraject zou uit twee onderdelen bestaan: - a) het uitvoeren van een controledatabank-integratietest op basis van testcases met datamodel versie 1.1 (hierna: integratietest) en - b) een verificatieperiode van twee weken in productie na live-gang (hierna: verificatieperiode). 34 Mail d.d. 20 oktober 2022, met onderwerp CDB. 35 Mail d.d. 25 oktober 2022, met onderwerp CDB. 36 Verslag d.d. 3 november 2022, met kenmerk 01.278.358 Mail FW: Verzoek hertest, ma reactie documentatie en toegang Mail FW: verzoek hertest, ma reactie documentatie en toegang Hierbij is vermeld dat het traject succesvol is als Holland Casino beide onderdelen succesvol heeft afgerond. In deze brief heeft de Kansspelautoriteit Holland Casino geïnformeerd dat de besluitvorming ten aanzien van het al dan niet schorsen van de vergunning, werd opgeschort tot uiterlijk de eerste week van januari 2023. 37 49. De tweede integratietest met Holland Casino heeft plaatsgevonden van maandag 28 november 2022 (9:00 uur CET) tot en met vrijdag 2 december 2022 (12:00 uur CET). Holland Casino moest 17 testcases uitvoeren, verdeeld over 5 testruns . 50. Op 5 december 2022 heeft de Kansspelautoriteit per e-mail aan Holland Casino gemeld dat zij deze tweede integratietest niet succesvol heeft afgerond, omdat Holland Casino niet alle aan haar teruggekoppelde bevindingen had weten op te lossen. De uitslag van deze test, inclusief de aan Holland Casino teruggekoppelde bevindingen per testcase, zijn vervat in een testverslag en bijbehorend verslag van ambtshandelingen. 38 In dezelfde e-mail is vermeld dat de Kansspelautoriteit zich zou beraden over de gevolgen van de testuitslag voor het vervolg van het testtraject (verificatieperiode). 39 51. Op 6 december 2022 heeft de Kansspelautoriteit Holland Casino per mail laten weten dat het vervolg van het testtraject 'on hold' werd gezet. Holland Casino zou zo spoedig mogelijk geïnformeerd worden over de verdere gang van zaken. 40 52. Op 8 december 2022 heeft er een telefonisch overleg plaatsgevonden tussen de Kansspelautoriteit en Holland Casino. Hierin heeft de Kansspelautoriteit aan Holland Casino gemeld dat ondanks de negatieve testuitslag van de integratietest Holland Casino door mocht naar de verificatieperiode. Hierbij heeft de Kansspelautoriteit benadrukt dat de integratietest niet vlekkeloos was verlopen. Holland Casino bevestigde dit en heeft in het telefoongesprek aangegeven alles op alles te zetten in de volgende fase. 41 37 Brief d.d. 15 november 2022, met kenmerk 01.278.427. 38 Testverslag d.d. 6 december 2022 en Verslag van Ambtshandelingen d.d. 5 december 2022 met kenmerk 1610/01.280.378. 39 Mail d.d. 5 december 2022, met onderwerp RE Holland Casino CDB test - 5.3. 40 Mail d.d. 6 december 2022, met onderwerp RE: Holland Casino CDB test - 5.3. 41 Verslag d.d. 8 december 2022, met kenmerk 01.280.721. 53. In navolging op dit telefonisch overleg heeft de Kansspelautoriteit op 15 december 2022 de planning en de randvoorwaarden betreffende de verificatieperiode met Holland Casino gedeeld. Door de eerdere testuitslag (zie randnummer 50) heeft de Kansspelautoriteit aan de vooraf per brief van 15 november 2022 gedeelde verificatiepunten, er drie toegevoegd. Deze drie punten zien op de tekor</t>
  </si>
  <si>
    <t>KSA__https___kansspelautoriteit.nl_sites_default_files_20231026_01-293-519_openbare_versie_besluit_bindende_aanwijzing_hc_cdb_1.txt::Rechtshandeling</t>
  </si>
  <si>
    <t>legt [82292:82297]</t>
  </si>
  <si>
    <t>legt [82292:82296]</t>
  </si>
  <si>
    <t>[...] nd Casino. 129. In het licht van de genoemde feiten en omstandigheden is er geen sprake van omstandigheden die nopen tot het afzien van het geven van een bindende aanwijzing. ## Besluit 130. De Kansspelautoriteit legt op grond van artikel 34n Wok een bindende aanwijzing op aan Holland Casino, ertoe strekkende dat Holland Casino uiterlijk 6 weken na dagtekening van dit besluit de overtreding van artikel 5.3, eerste en vijfde lid, van h [...]</t>
  </si>
  <si>
    <t>KSA__https___kansspelautoriteit.nl_sites_default_files_20231026_01-293-519_openbare_versie_besluit_bindende_aanwijzing_hc_cdb_1.txt::Rechtsobject</t>
  </si>
  <si>
    <t>bindende aanwijzing</t>
  </si>
  <si>
    <t>Aan:
de Stichting De Nieuwe Rentmeester Veenhuizen
t.a.v.
Postbus  83 9400 AB  ASSEN
## 9400 AB83
Assen, 12 december 2023
Ons kenmerk 50/5.8/2023001722
Behandeld door
Onderwerp: Verlening subsidie restauratie rijksmonument Hoofdweg 150, Veenhuizen
Geachte
,
Op 15 november 2023 ontvingen wij uw subsidieaanvraag. U vraagt een incidentele subsidie aan van € 200.000,-- voor restauratie van het rijksmonument 'Nauwgezet' aan de Hoofdweg 150 in Veenhuizen. In deze brief leest u ons besluit.
## U ontvangt een incidentele subsidie van 80% van de subsidiabele kosten tot een maximum van € 200.000,--
Dit is de subsidie die wij u verlenen. U ontvangt de subsidie voor de uitvoering van het project restauratie rijksmonument Hoofdlaan 150. De door u voorgestelde activiteit pas binnen de doelstellingen van de provincie Drenthe.
U bent voornemens restauratie- en renovatiewerkzaamheden te verrichten die betrekking hebben op het behoud van uw pand aan de Hoofdweg 150 te Veenhuizen. De woning is aangewezen als rijksmonument.
## U ontvangt een voorschot van € 160.000,--
De subsidie ontvangt u in een aantal delen. Het eerste bedrag maken wij binnen vier weken over naar uw IBAN NL48 RABO 0369 2520 98. Wij vermelden er het kenmerk van deze brief bij.
Bij de vaststelling van de subsidie kunt u, na beoordeling van uw aanvraag tot vaststelling, het restantbedrag ontvangen.
## Activiteiten
Met deze subsidie voert u de volgende activiteiten uit:
- -restauratie- en renovatiewerkzaamheden rijksmonument 'Nauwgezet' Hoofdweg 150 te Veenhuizen
Uw subsidieaanvraag is de basis voor deze omschrijving.
## Uw subsidie hebben wij als volgt berekend
De subsidie bedraagt 80% van de subsidiabele kosten uit uw begroting, tot een ez og e  sn  oog  o n n  g aon
| Soort kosten                                                     | Kosten begroting   | Verleende subsidie   |
|------------------------------------------------------------------|--------------------|----------------------|
| Restauratie- en renovatiewerkzaamhe- den Hoofdweg 150 Veenhuizen | € 252.571,34       | € 200.000,           |
| Totaal                                                           | € 252.571,34       | € 200.000,           |
## Subsidieverplichtingen
Aan de subsidie zijn de volgende verplichtingen verbonden:
- u voert de activiteiten uit in de periode van 1 november 2023 tot en met 31 december 2024;
- u meldt het ons als u de activiteiten anders of niet gaat uitvoeren Uo z     n     m   ng schriftelijk via subsidieloket@drenthe.nl. Deze melding is voor u van belang. Als u nz  ne n   in ni o e    ez brief is genoemd, kan de subsidie lager worden vastgesteld of worden ingetrokken. U moet dan een bedrag aan ons terugbetalen. Daarnaast doet u melding als u niet voldoet aan de subsidieverplichtingen en in gevallen als bedoeld in artikel 16, tweede lid, van de Algemene subsidieverordening provincie Drenthe 2023;
- u zorgt voor een goede administratie
- Bij een eventuele controle kunt u aantonen dat u de activiteiten hebt uitgevoerd en de kosten hebt gemaakt. Dat kan bijvoorbeeld blijken uit bewaarde rekeningen, bonnen, een urenadministratie of andere gebruikelijke manieren om activiteiten, kosten of tijdsbesteding helder te maken. U bewaart deze minimaal zeven jaar na het einde van de projectperiode;
- u dient vóór 1 april 2025 een aanvraag tot vaststelling in U stuurt deze aanvraag naar subsidieloket@drenthe.nl. Uw aanvraag tot vaststelling bestaat uit een financieel overzicht overeenkomstig de bij de aanvraag ge-oeg  o  g g  g e v ob bende kosten, inclusief meer- en minderwerk, alsmede kopieën van alle rekeningen (facturen) en betalingsbewijzen met betrekking tot de werkzaamheden. Hiervoor is een digitaal format beschikbaar dat u kunt vinden op onze website van de subsidie of dat u kunt opvragen bij van het subsidieteam van de provincie Drenthe. Tevens dienen gedetailleerde foto's te worden overgelegd van de situatie voor en na de restauratie van het monument.
Wij kunnen ermee instemmen dat in geval van een subsidie in de vorm van een geldbedrag, de aanvrager in plaats van rekeningen en betalingsbewijzen een verklaring van een accountant verstrekt, waaruit blijkt dat het overgelegde kostenoverzicht juist en volledig is.
Hen  n g l  n  n g g  or de hoogte waarop de subsidie wordt vastgesteld. Als u geen verzoek tot vaststelling indient, stellen wij de subsidie ambtshalve vast. Wij doen dat op grond van de informatie die wij op dat moment hebben, waardoor de subsidie vaak lager of op nihil wordt vastgesteld. U ontvangt binnen 22 weken na ontvangst van uw verzoek tot vaststelling onze beslissing hierop.
Als u de activiteiten hebt uitgevoerd en aan de subsidieverplichtingen hebt voldaan, stellen wij de subsidie vast op 80% van de werkelijk gemaakte subsidiabele kosten, met als maximum het verleende subsidiebedrag.
Zorgt u ervoor dat wij uw aanvraag tot vaststelling op tijd ontvangen. Hiermee voorkomt u dat wij uw subsidie ambtshalve moeten vaststellen. Hierdoor wordt de subsidie in veel gevallen lager of op nihil vastgesteld. De ontvangen voorschotten moet u dan terugbetalen.
## Staatssteun
Voor uw aanvraag hebben wij gekeken of er sprake is van staatssteun. Dit is bij u het geval, omdat uw onderneming door middel van staatsmiddelen selectief wordt gesteund en er door de mogelijke ontwikkelingen van het project een verstoring van de interne markt kan optreden. Uw aanvraag valt onder de werking van de Verordening (EU) Nr.651/2014 (PbEU 2014, L187) van de Commissie van 17 juni 2014 (Algemene Groepsvrijstellingsverordening of AGVV). Uw aanvraag voldoet aan Hoofdstuk III, Deel 11, artikel 53, van de AGVV en aan alle overige bepalingen van deze verordening.
De kosten waar in dit geval steun voor wordt verleend, zijn de kosten voor investeringen in materiële en immateriële activa. Deze kosten komen op grond van artikel 53, lid 4, onder c, van de AGVV voor steun in aanmerking. Uit het projectplan volgt dat alle uitgaven, met een totale hoogte van € 252.571,34, onder de hiervoor genoemde voor steun in aanmerking komende kosten vallen. De steunintensiteit mag maximaal 80% van de in aanmerking komende kosten bedragen (artikel 53, lid 8, van de AGVV). Het steunbedrag van de provincie Drenthe bedraagt € 200.000,--, zijnde 79% van de in aanmerking komende kosten en overschrijdt daarmee niet de maximaal toegestane steunintensiteit.
Wij moeten deze beschikking binnen twintig werkdagen na besluitvorming ter kennisgeving aanbieden aan de Europese Commissie. De Europese Commissie kan vragen stellen naar aanleiding van de kennisgeving. Dit kan mogelijk tot gevolg hebben dat de Europese Commissie alsnog van oordeel is dat de onderhavige beschikking niet onder de AGVV valt. In dat geval dient de subsidieverlening te worden verlaagd of ingetrokken.
## Een vergunning nodig?
Misschien hebt u voor de uit te voeren activiteiten nog een vergunning of andere vorm van toestemming nodig, mogelijk zelfs van ons. Deze subsidie staat geheel los van het krijgen van die vergunning die u nodig hebt voor uw activiteiten. Daarvoor gelden namelijk andere regels.
## Steekproefcontrole
Naast de beoordeling van uw aanvraag tot vaststelling kunnen wij deze subsidie ook controleren. De steekproefcontroles hebben tot doel misbruik en onregelmatigheden van subsidiegelden tegen te gaan. Wij controleren of de subsidie rechtmatig en doelmatig is besteed en of u hebt voldaan aan de aan de subsidie verbonden verplichtingen. Indien wij misbruik of onregelmatigheden constateren loopt u het risico dat de subsidie geheel of gedeeltelijk teruggevorderd wordt. Het is zeer belangrijk dat u bewijsstukken bewaart en eventuele wijzigingen op tijd aan ons meldt.
## Juridisch kader
Voor dit besluit gelden:
- -de Verordening (EU) Nr. 651/2014 van de Commissie van 17 juni 2014, waarbij bepaalde categorieën steun op grond van de artikelen 107 en 108 van het Verdrag betreffende de werking van de Europese Unie met de interne markt verenigbaar worden verklaard, Algemene Groepsvrijstellingsverordening (AGVV PbEU L187/1)
- -de Algemene wet bestuursrecht
- -de Algemene subsidieverordening provincie Drenthe 2023
## Communicatie
Wij vragen u of u in uw communicatie over het project wilt vermelden dat het project mede mogelijk gemaakt wordt door de provincie Drenthe.
## Openbare informatie over uw subsidie
De naam van de aanvrager, de naam van het project of de korte omschrijving van de activiteiten, het verstrekte subsidiebedrag en het zaaknummer nemen wij op in het subsidieregister op onze website. Namen van personen worden niet genoemd. Daarnaast publiceren wij de volledige subsidiebeschikking op onze website. Dit doen wij omdat dit een algemene verplichting is op grond van de AGVV. De subsidiebeschikking wordt ook gepubliceerd op de website van de Europese Commissie. Namen van personen worden niet genoemd.
## Hebt u vragen?
Als u vragen hebt, neem dan contact op met
Hoogachtend,
Gedeputeerde Staten van Drenthe,
&lt;!-- image --&gt;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
, voorzitter
, secretaris
&lt;!-- image --&gt;</t>
  </si>
  <si>
    <t>bindende aanwijzing [82330:82349]</t>
  </si>
  <si>
    <t>[...] enoemde feiten en omstandigheden is er geen sprake van omstandigheden die nopen tot het afzien van het geven van een bindende aanwijzing. ## Besluit 130. De Kansspelautoriteit legt op grond van artikel 34n Wok een bindende aanwijzing op aan Holland Casino, ertoe strekkende dat Holland Casino uiterlijk 6 weken na dagtekening van dit besluit de overtreding van artikel 5.3, eerste en vijfde lid, van het Besluit juncto artikel 4.21, aanhef en onder sub [...]</t>
  </si>
  <si>
    <t>KSA__https___kansspelautoriteit.nl_sites_default_files_besluit_op_bezwaar_imperial_e-club_limited.txt::Ontvanger</t>
  </si>
  <si>
    <t>KSA__https___kansspelautoriteit.nl_sites_default_files_besluit_op_bezwaar_imperial_e-club_limited.txt</t>
  </si>
  <si>
    <t>Imperial E-Club Limited</t>
  </si>
  <si>
    <t>imperial e-club limited</t>
  </si>
  <si>
    <t>Imperial E-Club Limited [118:141]</t>
  </si>
  <si>
    <t>## OPENBAAR &lt;!-- image --&gt; Besluit van de Raad van Bestuur van de Kansspelautoriteit op de bezwaarschriften van Imperial E-Club Limited tegen het besluit van 11 februari 2014, kenmerk 8035 / 00.020.997, tot het opleggen van een bestuurlijke boete van EUR 200.000,- en het besluit van 11 februari 2014, kenmerk 8035 / 00.020.999, tot openbaarmaking van het [...]</t>
  </si>
  <si>
    <t>KSA__https___kansspelautoriteit.nl_sites_default_files_besluit_op_bezwaar_imperial_e-club_limited.txt::Besluitvormend Orgaan</t>
  </si>
  <si>
    <t>De Raad van Bestuur van de Kansspelautoriteit [3085:3130]</t>
  </si>
  <si>
    <t>de Raad van Bestuur van de Kansspelautoriteit [45:90]</t>
  </si>
  <si>
    <t>www.provincie.drenthe.nl
&lt;!-- image --&gt;
Aan:
Stichting TechnologieCentrum Noord-Nederland
t.a.v.
Paterswoldseweg 810 9728 BM  GRONINGEN
## 9728BM810
Assen, 10 december 2025
Ons kenmerk: 202502079-01178877
Behandeld door
Verplichtingennummer V014789
Onderwerp: Verlening subsidie Noord-Nederland koploper in het verminderen van Medicijnresten uit Water
Geacht bestuur,
Op 13 oktober 2025 ontvingen wij uw subsidieaanvraag. U vraagt aan ons een cofinancieringsubsidie van € 118.196,00. In deze brief leest u ons besluit.
## U ontvangt een subsidie van € 118.196,00
Dit is de subsidie die wij u verlenen. U ontvangt de subsidie voor de uitvoering van het project NoordNederland koploper in het verminderen van Medicijnresten uit Water . Met dit project vergroot u het verdienvermogen van Noord-Nederland door innovatieve oplossingen te ontwikkelen voor het terugdringen van medicijnresten in oppervlaktewater. De problematiek van medicijnresten vormt een groeiende uitdaging voor milieu en volksgezondheid, mede door vergrijzing en toenemend medicijngebruik. Het project speelt in op deze urgentie door een sterke ketensamenwerking tussen watertechnologie, farmacie en zorg. U brengt probleemeigenaren zoals ziekenhuizen en waterschappen samen met kennisinstellingen, startups en MKB-bedrijven om praktijkgerichte innovaties te realiseren. Hiermee draagt het project bij aan een schoner milieu, betere volksgezondheid en versterking van regionale bedrijvigheid, met oplossingen die ook nationaal en internationaal toepasbaar zijn.
## U ontvangt een voorschot van € 47.278,40
De subsidie ontvangt u in een aantal delen. Het eerste bedrag, zijnde 40% van het verleende subsidiebedrag, maken wij binnen vier weken over naar uw vermelden er het kenmerk van deze brief bij.
. Wij
Het volgende voorschot van 40% van het verleende subsidiebedrag, kunt u aanvragen als u ons de tweede tussenrapportage stuurt. Daarover leest u meer verderop in deze brief. Bij de vaststelling van de subsidie kunt u, na beoordeling van uw aanvraag tot vaststelling, het restantbedrag ontvangen.
## Activiteiten
Met deze subsidie voert u projectactiviteiten uit die bijdragen aan het verminderen van medicijnresten in water en het versterken van het regionale innovatie-ecosysteem. Het project omvat drie pijlers: ontwikkeling van waterzuiveringstechnologie, milieuvriendelijke medicijnproductie en
Bij correspondentie verzoeken wij u het zaaknummer 202502079 te vermelden.
&lt;!-- image --&gt;
&lt;!-- image --&gt;
## eDrenthe provincieI
&lt;!-- image --&gt;
toedieningsmethoden, en bewust medicijngebruik. Binnen deze pijlers worden praktijkproblemen opgehaald bij probleemeigenaren en samen met bedrijven en kennisinstellingen uitgewerkt tot innovatieve oplossingen en proof-of-concepts. Daarnaast worden activiteiten uitgevoerd voor communicatie en kennisdeling om samenwerking en zichtbaarheid te vergroten, en voor projectmanagement en monitoring om voortgang en impact te borgen. Door deze aanpak ontstaan nieuwe technologieën, businesscases en verdienmodellen die bijdragen aan zowel maatschappelijke als economische impact.
Uw subsidieaanvraag en de subsidieverlening van het SNN zijn de basis voor deze omschrijving.
## Uw subsidie hebben wij als volgt bepaald
De subsidie bedraagt maximaal € 118.196,00, zijnde (afgerond) 5,05% van de totale geraamde subsidiabele projectkosten ad. € 2.343.316,48. Het subsidiebedrag zal naar evenredigheid worden verlaagd indien de werkelijke subsidiabele kosten lager worden vastgesteld dan de geraamde subsidiabele kosten.
## Subsidieverplichtingen
Aan de subsidie zijn de volgende verplichtingen verbonden:
- -U voert de activiteiten uit in de periode van 15 juni 2025 tot en met 15 juni 2028
- -
- U meldt het ons als u de activiteiten anders of niet gaat uitvoeren U doet deze melding binnen twee weken nadat u het weet. U doet deze melding schriftelijk via subsidieloket@drenthe.nl. Deze melding is voor u van belang. Als u de activiteiten niet, niet helemaal of anders uitvoert dan in uw aanvraag en deze brief is genoemd, kan de subsidie lager worden vastgesteld of worden ingetrokken. U moet dan een bedrag aan ons terugbetalen. Daarnaast doet u melding als u niet voldoet aan de subsidieverplichtingen en in gevallen als bedoeld in artikel 16, tweede lid, van de Algemene subsidieverordening provincie Drenthe 2023.
- -U zorgt voor een goede administratie
Bij een eventuele controle kunt u aantonen dat u de activiteiten heeft uitgevoerd en de kosten heeft gemaakt. Dat kan bijvoorbeeld blijken uit bewaarde rekeningen, bonnen, een urenadministratie of andere gebruikelijke manieren om activiteiten, kosten of tijdsbesteding helder te maken. U bewaart deze minimaal zeven jaar na het einde van de projectperiode.
- -U dient jaarlijks vóór 1 juni een tussenrapportage in over de uitvoering van de activiteiten U stuurt ons, gelijktijdig met de digitale indiening van de tussenrapportage bij het SNN, de voortgangsrapportage naar subsidieloket@drenthe.nl. Tegelijk met de voortgangsrapportage kunt u een extra voorschotverzoek op de subsidie indienen.
## Aanvullende verplichtingen
Bij de eerste rapportage verwachten wij tevens:
- -De ondertekende samenwerkingsovereenkomst van alle projectpartners;
-
De beschrijving van de Administratieve Organisatie (AO) per projectpartner.
- -U dient vóór 15 september 2028 een aanvraag tot vaststelling in
U stuurt deze aanvraag naar subsidieloket@drenthe.nl. Wij vragen u tegelijk met uw verzoek tot vaststelling richting het SNN ook bij ons een verzoek tot vaststelling in te dienen. Bij de vaststelling volgen wij het SNN in haar beslissing. Wij wachten dan ook met de definitieve vaststelling totdat het SNN het project definitief heeft vastgesteld.
Uw aanvraag tot vaststelling bestaat uit een inhoudelijk verslag, waaruit blijkt dat de activiteiten waarvoor de subsidie is verleend zijn uitgevoerd en dat is voldaan aan de subsidieverplichtingen. Daarnaast bevat uw aanvraag ook een financieel verslag. Het financieel verslag bevat in ieder geval een vergelijking met de bij de aanvraag om subsidie ingediende begroting en bevat verschillen tussen de werkelijke uitgaven en de begrote uitgaven, onder vermelding van de oorzaak van de verschillen.
Als u de activiteiten heeft uitgevoerd en aan de subsidieverplichtingen heeft voldaan, stellen wij de subsidie vast op afgerond 5,05% van de werkelijk gemaakte subsidiabele kosten, met als maximum het verleende subsidiebedrag. Het subsidiebedrag zal naar evenredigheid worden verlaagd indien de werkelijke subsidiabele kosten lager worden vastgesteld dan de geraamde subsidiabele kosten.
Zorgt u ervoor dat wij uw aanvraag tot vaststelling op tijd ontvangen. Hiermee voorkomt u dat wij uw subsidie ambtshalve moeten vaststellen. Hierdoor wordt de subsidie in veel gevallen lager of op nihil vastgesteld. De ontvangen voorschotten moet u dan terugbetalen.
## Staatssteun
Het SNN heeft een staatssteuntoets voor de totale subsidiabele projectkosten uitgevoerd en hieruit blijkt dat er sprake is van staatssteun voor de werkpakketten 2, 5 en 8. Deze steun kan geoorloofd worden verleend met toepassing van artikel 25 van de verordening (EU) nr. 651/2014 van de Commissie van 17 juni 2014; de Algemene Groepsvrijstellingsverordening (AGVV).
Daarnaast blijkt dat er sprake is van staatssteun voor werkpakket 6. Deze steun kan geoorloofd worden verleend met toepassing van artikel 28 van de verordening (EU) nr. 651/2014 van de Commissie van 17 juni 2014; de Algemene Groepsvrijstellingsverordening (AGVV).
De activiteiten binnen de werkpakketten 1, 3 4, 7, 9 en 10 worden beschouwd als niet-economisch. Hierdoor is er binnen deze werkpakketten geen sprake van staatssteun.
Bij het beoordelen van de beschikbare staatssteunruimte heeft het SNN ook de bijdrage die door provincie Drenthe aan het project wordt gegeven meegenomen. Uit de staatssteuntoets blijkt dat de subsidie van de provincie Drenthe past binnen de beschikbare steunruimte.
## Een vergunning nodig?
Misschien heeft u voor de uit te voeren activiteiten nog een vergunning of andere vorm van toestemming nodig, mogelijk zelfs van ons. Deze subsidie staat geheel los van het krijgen van die vergunning die u nodig heeft voor uw activiteiten. Daarvoor gelden namelijk andere regels.
&lt;!-- image --&gt;
## Steekproefcontrole
Naast de beoordeling van uw aanvraag tot vaststelling kunnen wij deze subsidie ook controleren. De steekproefcontroles hebben tot doel misbruik en onregelmatigheden van subsidiegelden tegen te gaan. Wij controleren of de subsidie rechtmatig en doelmatig is besteed en of u heeft voldaan aan de aan de subsidie verbonden verplichtingen. Indien wij misbruik of onregelmatigheden constateren loopt u het risico dat de subsidie geheel of gedeeltelijk teruggevorderd wordt. Het is belangrijk dat u bewijsstukken bewaart en eventuele wijzigingen op tijd aan ons meldt.
## Juridisch kader
Voor dit besluit gelden:
- -de Algemene wet bestuursrecht
- -de Algemene subsidieverordening provincie Drenthe 2023
- -de Verordening (EU) Nr. 651/2014 van de Commissie van 17 juni 2014, waarbij bepaalde categorieën steun op grond van de artikelen 107 en 108 van het Verdrag betreffende de werking van de Europese Unie met de interne markt verenigbaar worden verklaard, Algemene Groepsvrijstellingsverordening (AGVV PbEU L187/1)
## Communicatie
Wij vragen u of u in uw communicatie over het project wilt vermelden dat het project mede mogelijk gemaakt wordt door de provincie Drenthe.
## Openbare informatie over uw subsidie
De naam van de aanvrager, de naam van het project of de korte omschrijving van de activiteiten, het verstrekte subsidiebedrag en het zaaknummer nemen wij op in het subsidieregister op onze website. Namen van personen worden niet genoemd.
Daarnaast publiceren wij de volledige subsidiebeschikking op onze website. Dit doen wij omdat dit een algemene verplichting is van de AGVV. De subsidiebeschikking wordt ook gepubliceerd op de website van de Europese Commissie. Namen van personen worden niet genoemd.
## Heeft u vragen?
Als u vragen heeft, neem dan contact op met
Hoogachtend,
Gedeputeerde Staten van Drenthe, namens dezen, i.o.
&lt;!-- image --&gt;
&lt;!-- image --&gt;
.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
二
&lt;!-- image --&gt;</t>
  </si>
  <si>
    <t>## OPENBAAR &lt;!-- image --&gt; Besluit van de Raad van Bestuur van de Kansspelautoriteit op de bezwaarschriften van Imperial E-Club Limited tegen het besluit van 11 februari 2014, kenmerk 8035 / 00.020.997, tot het opleggen van een bestuurlijke boete van EUR 200.000,- en het besluit van 11 februari 2014, kenmerk 8035 / 00.020.999, tot openbaarmaking van het besluit tot oplegging van de bestuurlijke boete. Zaak: OA/2012/007 Kenmerk: 8035 / 00.030.006 en 8246 / 00.030.007 Openbaarmaking onder kenmerk: 8035 / 00.033.248 en 8246 / 00.033.249 ## Besluit op bezwaar ## 1 Inleiding - 1i t t ftentten ngss n ein en n tei (hierna: de Raad) van 11 februari 2014 tot het opleggen van een bestuurlijke boete en tot openbaarmaking van de bestuurlijke boete. - 2Den bn n bn etteet de Kansspelautoriteit (hierna: Ksa) de ontvangst van de bezwaarschriften bevestigd en tot 24 maart 2014 uitstel verleend voor het indienen van de bezwaargronden. Op 17 maart 2014 heeft de gemachtigde van Imperial verzocht om aanhouding van de bezwaarprocedures. Bij brief van 19 maart 2014² heeft de Ksa voor het indienen van de gronden van het bezwaar uitstel verleend tot en met 6 mei 2014. Bij brief van 6 mei 2014 de gronden van het bezwaar aangevuld.³ ## 2Ontvankelijkheid 3. De bezwaarschriften zijn ingediend binnen zes weken na bekendmaking van de bes bn b b i b b b b bn in aangevuld. De bezwaarschriften voldoen ook aan de overige door de Algemene wet bestuursrecht gestelde eisen zodat de bezwaarschriften ontvankelijk zijn. 1 Stuk 8035/00.022.492 en 8246/00.022.493. ³ Stuk 8035/00.026.156 en 8246/00.026.157. ² Stuk 8035/00.023.065 en 8246/00.023.066. ## 3Hoorzitting 4. Imperial is in de gelegenheid gesteld om tijdens een hoorzitting op 20 mei 2014 de bezwaarschriften toe te lichten. Bij brief van 19 mei 2014 heeft de gemachtigde van Imperial laten weten hiervan geen gebruik te maken. ## Advies 4 5. Naar aanleiding van de bezwaarschriften heeft de Adviescommissie bezwaarschriften van de Kansspelautoriteit (hierna: commissie) een advies uitgebracht aan de Raad. Dit advies dat bij deze beslissing op bezwaar is gevoegd, maakt hiervan integraal onderdeel uit. De commissie heeft geadviseerd om de bezwaren ongegrond te verklaren en het besluit, onder aanvulling van de motivering zoals weergegeven in randnummer 60 van het advies, in stand te laten. 6. Voor de motivering van deze beslissing op bezwaar wordt met betrekking tot: 3. het overtreden van de Wet op de kansspelen (hierna: Wok) en de pdrin n n n n n n an het advies; 4. den d n n n dt van het advies; 5. de evenredigheid van het boetebesluit verwezen naar de randnummers 41 tot en met 46; 6. het beleidskader voor toekomstige vergunningverlening naar randnummer 47 van het advies; 7. de openbaarmaking verwezen naar de randnummers 49 tot en met 59 van het advies. 4 Stuk 8035/00.026.611 en 8246/00.026.612. &lt;!-- image --&gt; Kansspelautoriteit Datum 3 juli 2014 Ons kenmerk 8035 / 00.033.248 en 8246 / 00.033.249 ## 5 Besluit De Raad van Bestuur van de Kansspelautoriteit: - a. stelt vast dat de commissie heeft geadviseerd om de bezwaren ongegrond te verklaren; - b. stelt vast dat het advies inhoudelijk concludent is en zorgvuldig tot stand is gekomen; - c. ziet geen reden om af te [...]</t>
  </si>
  <si>
    <t>KSA__https___kansspelautoriteit.nl_sites_default_files_besluit_op_bezwaar_imperial_e-club_limited.txt::Rechtshandeling</t>
  </si>
  <si>
    <t>handhaaft</t>
  </si>
  <si>
    <t>handhaaft [3414:3424]</t>
  </si>
  <si>
    <t>handhaaft [3414:3423]</t>
  </si>
  <si>
    <t>Aan: Stichting Veenomenaal Veenpark t.a.v. het bestuur Berkenrode 4 7884 TR  BARGER-COMPASCUUM
7884 TR4
Assen, 19 november 2021 Ons kenmerk 202103177-00970651
Behandeld door
Verplichtingennummer 80224
Onderwerp: Verlening subsidie professionalisering Veenpark (SPUK-gelden)
Geacht bestuur,
Op 27 oktober 2021 ontvingen wij uw subsidieaanvraag voor de professionalisering van de organisatie van het Veenpark. In deze brief informeren wij u over ons besluit op uw aanvraag.
De Provincie Drenthe heeft vanuit het ministerie van OCW een subsidie gekregen om haar regionale culturele infrastructuur te versterken. Het college van Gedeputeerde Staten heeft hiervoor een verdeling vastgesteld en heeft voor u een bedrag van € 75.000,00 per jaar gereserveerd voor de jaren 2021-2023.
Wij verlenen u met deze beschikking een subsidie van maximaal € 150.000,00, uw deel van deze rijksgelden voor de jaren 2021 en 2022. Gelijk met deze beschikking ontvangt u ook een beschikking voor uw boekjaarsubsidie voor de jaren 2021 en 2022, ook een bedrag van in totaal € 150.000,00.
## Voorschot
Wij hebben besloten u een voorschot te verstrekken van € 75.000,00, zijnde 50% van de verleende subsidie. Dit voorschot maken wij binnen dertig dagen na dagtekening van deze brief over op bankrekeningnummer , onder vermelding van het kenmerk van deze brief. Een tweede voorschot van € 75.000,00 ontvangt u in juni 2022.
## Prestatieverplichtingen
Bij het uitvoeren van de activiteiten bent u gebonden aan de volgende prestatieverplichtingen:
Voor deze subsidie moet u de volgende prestaties uitvoeren overeenkomstig uw activiteitenplan:
-  Extra (tijdelijke) functies creëren en verhogen van het aantal FTE's.
Bij correspondentie verzoeken wij u het zaaknummer 202103177 te vermelden.
-  Externe ondersteuning inhuren op het gebied van projectmanagement; onder andere een medewerker voor marketing en communicatie en een coördinator voor de vrijwilligers.
-  Externe ondersteuning inhuren om de voorwaarden voor de 'Code Cultural Governance 2019' te realiseren.
-  Externe ondersteuning inhuren om een 'Erkend Museum' te worden, in de vorm van een conservator, een collectiemedewerker en een medewerker voor educatie en publieksbegeleiding.
-  Externe administratief-juridische ondersteuning inhuren.
-  Externe IT-ondersteuning inhuren.
De projectactiviteiten starten op 27 oktober 2021 en worden uitgevoerd uiterlijk op 31 december 2022 . Indien hierin wijzigingen plaatsvinden, dient u dit bij ons aan te geven.
U levert vóór 1 juli 2022 een tussentijdse rapportage in, dit mag dezelfde rapportage zijn als voor uw boekjaarsubsidie.
U levert uiterlijk vóór 1 mei 2023 een verzoek tot vaststelling in, dit mag hetzelfde zijn als het verzoek tot vaststelling voor uw boekjaarsubsidie.
U bewaart de stukken die betrekking hebben op de besteding van de subsidie en de uitvoering van de activiteiten tot zes maanden nadat de activiteiten zijn uitgevoerd.
## Aanvullend verzoek
Daarnaast verzoeken wij u om in uw communicatie over de activiteiten tot uitdrukking te brengen dat deze mede mogelijk worden gemaakt door de provincie Drenthe. Dit met het oog op het informeren van de burgers over de besteding van belastinggelden.
## Meldingsplicht
Als blijkt dat u de gesubsidieerde activiteiten niet zult uitvoeren of dat u niet aan alle verplichtingen zult voldoen, stelt u ons daarvan direct schriftelijk of per mail op de hoogte.
Daarnaast stelt u ons zo spoedig mogelijk op de hoogte van:
- -relevante wijzigingen in de financiële en organisatorische verhouding met derden;
- -wijzigingen van de statuten betreffende de vorm van de rechtspersoon, de persoon van de bestuurder(s) en het doel van de rechtspersoon.
Indien u niet voldoet aan de meldingsplicht, kunnen wij dit besluit tot subsidieverlening in uw nadeel wijzigen of intrekken en het uitbetaalde subsidiebedrag geheel of gedeeltelijk terugvorderen.
## Vaststelling
In het verzoek tot vaststelling toont u aan dat de activiteiten zijn verricht en dat aan de opgelegde prestatieverplichtingen is voldaan. Het verzoek tot vaststelling bevat in ieder geval:
- -een activiteitenverslag;
- -een financieel verslag of jaarrekening.
Het niet tijdig indienen van het verzoek tot vaststelling kan gevolgen hebben voor de hoogte waarop de subsidie wordt vastgesteld. Als u geen verzoek tot vaststelling indient, stellen wij de subsidie ambtshalve vast. Wij doen dat op grond van de informatie die wij op dat moment hebben, waardoor de subsidie vaak lager of op nihil wordt vastgesteld. U ontvangt binnen 22 weken na ontvangst van uw verzoek tot vaststelling onze beslissing hierop.
Het verzoek tot vaststelling kunt u per e-mail toesturen naar post@drenthe.nl of per post naar het college van Gedeputeerde Staten van Drenthe, ter attentie van team Subsidies en Inkoop, Postbus 122, 9400 AC Assen.
## Juridisch kader
Op dit besluit is de volgende wet- en regelgeving van toepassing:
- de Algemene wet bestuursrecht
- de Algemene subsidieverordening Drenthe 2017
## Staatssteun
Voor uw aanvraag hebben wij gekeken of er sprake is van staatssteun. Dit is bij u het geval, omdat uw onderneming door middel van staatsmiddelen selectief wordt gesteund, en er door het project een verstoring van de interne markt kan zijn. Deze steun valt onder de werking van de AGVV. In het bijzonder onder de vrijstellingscategorie voor steun voor cultuur en instandhouding van het erfgoed (Hoofdstuk III Deel 11, artikel 53 van de AGVV), meer specifiek exploitatiesteun.
De in aanmerking komende kosten kunnen voor maximaal 80% worden gesubsidieerd. De totale kosten voor de exploitatie van het Veenpark voor de jaren 2021-2022 bedragen € 2.246.383,--. Er wordt aan de provincie Drenthe een subsidie gevraagd van € 300.000,-- voor de uitbreiding van de organisatie met diverse functies en het inhuren van externe ondersteuning op meerdere vakgebieden voor de rest van het jaar 2021 en 2022. De steunintensiteit bedraagt hiermee 13%, waarmee het onder de maximale steunintensiteit blijft.
Uw project voldoet aan de gestelde voorwaarden voor deze steun en aan de algemene bepalingen van de AGVV. De te verlenen subsidie heeft een stimulerend effect in de zin van voornoemde verordening van de Europese Commissie. Daarmee kan de subsidie geoorloofd worden verleend.
Wij geven van de verlening van deze subsidie, overeenkomstig de desbetreffende bepalingen van de AGVV, binnen 20 werkdagen na dagtekening van beide beschikkingen kennis aan de Europese Commissie. Ten behoeve van deze kennisgeving publiceren zowel de provincie Drenthe als de gemeente Emmen de aan u toegezonden beschikkingen op onze websites.
Betaling van de subsidie sluiten wij uit, indien zou blijken dat de aan uw onderneming verleende steun onrechtmatig is en onverenigbaar is verklaard met de interne markt.
## Nadere informatie
Mocht u nog vragen hebben, dan kunt u contact opnemen met
.
Hoogachtend,
Gedeputeerde Staten van Drenthe, namens dezen,
&lt;!-- image --&gt;
ir. R. Bakker, Teammanager Subsidies en Inkoop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t>
  </si>
  <si>
    <t>[...] zwaren ongegrond te verklaren; - b. stelt vast dat het advies inhoudelijk concludent is en zorgvuldig tot stand is gekomen; - c. ziet geen reden om af te wijken van het advies; - d. verklaart de bezwaren ongegrond en handhaaft de besluiten, onder aanvulling van de motivering zoals weergegeven in het advies van de commissie; - e. verwijst overeenkomstig artikel 3:49 van de Algemene wet bestuursrecht voor de motivering van het besluit naar het [...]</t>
  </si>
  <si>
    <t>KSA__https___kansspelautoriteit.nl_sites_default_files_besluit_op_bezwaar_imperial_e-club_limited.txt::Rechtsobject</t>
  </si>
  <si>
    <t>besluiten</t>
  </si>
  <si>
    <t>besluiten [3427:3436]</t>
  </si>
  <si>
    <t>[...] ond te verklaren; - b. stelt vast dat het advies inhoudelijk concludent is en zorgvuldig tot stand is gekomen; - c. ziet geen reden om af te wijken van het advies; - d. verklaart de bezwaren ongegrond en handhaaft de besluiten, onder aanvulling van de motivering zoals weergegeven in het advies van de commissie; - e. verwijst overeenkomstig artikel 3:49 van de Algemene wet bestuursrecht voor de motivering van het besluit naar het uitgebrachte [...]</t>
  </si>
  <si>
    <t>www.provincie.drenthe.nl
&lt;!-- image --&gt;
Aan:
Vereniging Circulair Friesland
t.a.v.
Turfmarkt 11 8911 KS  LEEUWARDEN
8911KS11
Assen, 9 december 2025
Ons kenmerk: 202502081-01178171
Behandeld door
Verplichtingennummer V014871
Onderwerp: Verlening subsidie Noord-Nederland verdient Circulair 2.0
Geacht bestuur,
Op 13 oktober 2025 ontvingen wij uw subsidieaanvraag. U vraagt een cofinancieringsubsidie aan van € 250.000,00. In deze brief leest u ons besluit.
## U ontvangt een subsidie van maximaal € 250.000,00
Dit is de subsidie die wij u verlenen. U ontvangt de subsidie voor de uitvoering van het project NoordNederland verdient Circulair 2.0 . Met dit project wilt u het circulaire innovatie-ecosysteem in NoordNederland versterken en opschalen, met een specifieke focus op mkb-bedrijven. Door samenwerking binnen ketens en de integratie van circulaire processen versnelt u de transitie naar een circulaire economie.
## U ontvangt een voorschot van € 100.000,00
De subsidie ontvangt u in een aantal delen. Het eerste bedrag, zijnde 40% van het verleende subsidiebedrag, maken wij binnen vier weken over naar uw . Wij vermelden er het kenmerk van deze brief bij.
Het volgende voorschot kunt u aanvragen als u ons een tussenrapportage stuurt. Daarover leest u meer verderop in deze brief. Bij de vaststelling van de subsidie kunt u, na beoordeling van uw aanvraag tot vaststelling, het restantbedrag ontvangen.
## Activiteiten
Met deze subsidie voert u projectactiviteiten uit die bijdragen aan het versterken en opschalen van het circulaire innovatie-ecosysteem in Noord-Nederland. Het project richt zich op het stimuleren van ketensamenwerking in de sectoren bouw, maakindustrie en consumptiegoederen, het ontwikkelen van circulaire bedrijventerreinen en ondernemerschap, en het bevorderen van circulair opdrachtgeven en inkopen. Daarnaast omvat het programma activiteiten voor communicatie en zichtbaarheid, governance en ecosysteemontwikkeling, en monitoring van de voortgang van de circulaire transitie. Door deze integrale aanpak wordt samenwerking tussen bedrijven, kennisinstellingen en overheden versterkt en worden randvoorwaarden gecreëerd om de transitie naar een circulaire economie te versnellen.
Uw subsidieaanvraag en de subsidieverlening van het SNN zijn de basis voor deze omschrijving.
&lt;!-- image --&gt;
&lt;!-- image --&gt;
provincieI
eDrenthe
## Uw subsidie hebben wij als volgt bepaald
De subsidie bedraagt maximaal € 250.000,00 . Dit is een bijdrage in de totale geraamde subsidiabele projectkosten ad. € 14.000.000,00. Het subsidiebedrag zal naar evenredigheid worden verlaagd indien de werkelijke subsidiabele kosten lager worden vastgesteld dan de geraamde subsidiabele kosten.
## Subsidieverplichtingen
Aan de subsidie zijn de volgende verplichtingen verbonden:
- -U voert de activiteiten uit in de periode van 3 april 2025 tot en met 31 maart 2029
- -
- U meldt het ons als u de activiteiten anders of niet gaat uitvoeren worden vastgesteld of worden ingetrokken. U moet dan een bedrag aan ons terugbetalen. Daarnaast
- -
U doet deze melding binnen twee weken nadat u het weet. U doet deze melding schriftelijk via subsidieloket@drenthe.nl. Deze melding is voor u van belang. Als u de activiteiten niet, niet helemaal of anders uitvoert dan in uw aanvraag en deze brief is genoemd, kan de subsidie lager doet u melding als u niet voldoet aan de subsidieverplichtingen en in gevallen als bedoeld in artikel 16, tweede lid, van de Algemene subsidieverordening provincie Drenthe 2023.
- U zorgt voor een goede administratie
Bij een eventuele controle kunt u aantonen dat u de activiteiten heeft uitgevoerd en de kosten heeft gemaakt. Dat kan bijvoorbeeld blijken uit bewaarde rekeningen, bonnen, een urenadministratie of andere gebruikelijke manieren om activiteiten, kosten of tijdsbesteding helder te maken. U bewaart deze minimaal zeven jaar na het einde van de projectperiode.
- -U dient jaarlijks vóór 1 maart (peildatum 1 februari) een tussenrapportage in over de uitvoering van de activiteiten
U stuurt ons, gelijktijdig met de digitale indiening van de tussenrapportage bij het SNN, de voortgangsrapportage naar subsidieloket@drenthe.nl.
## Aanvullende verplichtingen
Bij de eerste rapportage verwachten wij tevens:
- -De ondertekende samenwerkingsovereenkomst van alle projectpartners;
- -De beschrijving van de Administratieve Organisatie (AO) per projectpartner.
- U dient vóór 1 juli 2029 een aanvraag tot vaststelling in
U stuurt deze aanvraag naar subsidieloket@drenthe.nl. Wij vragen u tegelijk met uw verzoek tot vaststelling richting het SNN ook bij ons een verzoek tot vaststelling in te dienen. Bij de vaststelling volgen wij het SNN in haar beslissing. Wij wachten dan ook met de definitieve vaststelling totdat het SNN het project definitief heeft vastgesteld.
Uw aanvraag tot vaststelling bestaat uit een inhoudelijk verslag, waaruit blijkt dat de activiteiten waarvoor de subsidie is verleend zijn uitgevoerd en dat is voldaan aan de subsidieverplichtingen. Daarnaast bevat uw aanvraag ook een financieel verslag. Het financieel verslag bevat in ieder geval een vergelijking met de bij de aanvraag om subsidie ingediende begroting en bevat verschillen tussen de werkelijke uitgaven en de begrote uitgaven, onder vermelding van de oorzaak van de verschillen.
- -
&lt;!-- image --&gt;
&lt;!-- image --&gt;
Als u de activiteiten heeft uitgevoerd en aan de subsidieverplichtingen heeft voldaan, stellen wij de subsidie vast de werkelijk gemaakte subsidiabele kosten, met als maximum het verleende subsidiebedrag. Het subsidiebedrag zal naar evenredigheid worden verlaagd indien de werkelijke subsidiabele kosten lager worden vastgesteld dan de geraamde subsidiabele kosten.
Zorgt u ervoor dat wij uw aanvraag tot vaststelling op tijd ontvangen. Hiermee voorkomt u dat wij uw subsidie ambtshalve moeten vaststellen. Hierdoor wordt de subsidie in veel gevallen lager of op nihil vastgesteld. De ontvangen voorschotten moet u dan terugbetalen.
## Staatssteun
Het SNN heeft een staatssteuntoets voor de totale subsidiabele projectkosten uitgevoerd en hieruit blijkt dat er sprake is van staatssteun voor projectpartner TCNN. Deze steun kan geoorloofd worden verleend met toepassing van artikel 28 van de verordening (EU) nr. 651/2014 van de Commissie van 17 juni 2014; de Algemene Groepsvrijstellingsverordening (AGVV).
Bij het beoordelen van de beschikbare staatssteunruimte heeft het SNN ook de bijdrage die door provincie Drenthe aan het project wordt gegeven meegenomen. Uit de staatssteuntoets blijkt dat de subsidie van de provincie Drenthe past binnen de beschikbare steunruimte.
## Een vergunning nodig?
Misschien heeft u voor de uit te voeren activiteiten nog een vergunning of andere vorm van toestemming nodig, mogelijk zelfs van ons. Deze subsidie staat geheel los van het krijgen van die vergunning die u nodig heeft voor uw activiteiten. Daarvoor gelden namelijk andere regels.
## Steekproefcontrole
Naast de beoordeling van uw aanvraag tot vaststelling kunnen wij deze subsidie ook controleren. De steekproefcontroles hebben tot doel misbruik en onregelmatigheden van subsidiegelden tegen te gaan. Wij controleren of de subsidie rechtmatig en doelmatig is besteed en of u heeft voldaan aan de aan de subsidie verbonden verplichtingen. Indien wij misbruik of onregelmatigheden constateren loopt u het risico dat de subsidie geheel of gedeeltelijk teruggevorderd wordt. Het is belangrijk dat u bewijsstukken bewaart en eventuele wijzigingen op tijd aan ons meldt.
## Juridisch kader
Voor dit besluit gelden:
- -de Algemene wet bestuursrecht
- -de Algemene subsidieverordening provincie Drenthe 2023
- -de Verordening (EU) Nr. 651/2014 van de Commissie van 17 juni 2014, waarbij bepaalde categorieën steun op grond van de artikelen 107 en 108 van het Verdrag betreffende de werking van de Europese Unie met de interne markt verenigbaar worden verklaard, Algemene Groepsvrijstellingsverordening (AGVV PbEU L187/1)
## Communicatie
Wij vragen u of u in uw communicatie over het project wilt vermelden dat het project mede mogelijk gemaakt wordt door de provincie Drenthe.
## Openbare informatie over uw subsidie
De naam van de aanvrager, de naam van het project of de korte omschrijving van de activiteiten, het verstrekte subsidiebedrag en het zaaknummer nemen wij op in het subsidieregister op onze website. Namen van personen worden niet genoemd. Daarnaast publiceren wij de volledige subsidiebeschikking op onze website. Dit doen wij omdat dit een algemene verplichting is van de AGVV. De subsidiebeschikking wordt ook gepubliceerd op de website
van de Europese Commissie. Namen van personen worden niet genoemd.
## Heeft u vragen?
Als u vragen heeft, neem dan contact op met de heer J. Swijghuizen, telefoonnummer (0592) 36 5697. Hoogachtend,
Gedeputeerde Staten van Drenthe,
, voorzitter , secretaris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
&lt;!-- image --&gt;</t>
  </si>
  <si>
    <t>KSA__https___kansspelautoriteit.nl_sites_default_files_besluit_op_bezwaar_kayseri.txt::Besluitvormend Orgaan</t>
  </si>
  <si>
    <t>De raad van bestuur van de Kansspelautoriteit [1572:1617]</t>
  </si>
  <si>
    <t>## OPENBAAR Besluit van de raad van bestuur van de Kansspelautoriteit op het bezwaarschrift van de heer [xxx], eigenaar van Thee- en koffiehuis Kayseri te Dordrecht (hierna: bezwaarmaker), tegen het besluit van 9 april 2015, kenmerk 9281 / 00.049.932. Zaak: 149 Kenmerk: 9281 / 00.055.578 Openbaar gemaakt onder kenmerk: 9281/ 00.073.689 ## Besluit op bezwaar ## 1Inleiding 1. Bij brief van 21 mei 2015 is namens bezwaarmaker bezwaar gemaakt tegen het besluit van de raad van bestuur van de Kansspelautoriteit (hierna: de raad) van 9 april 2015, kenmerk 9281 / 00.049.932 tot het opleggen van een bestuurlijke boete van € 7.500,-. ## 2 Ontvankelijkheid 2. Het bezwaarschrift voldoet aan de op grond van de Algemene wet bestuursrecht gestelde eisen waarmee het bezwaarschrift ontvankelijk is. ## 3 Hoorzitting - 3s os n z t o zn n bezwaarschrift toegelicht. ## 4Advies 4. Naar aanleiding van het bezwaarschrift en de hoorzitting van 7 juli 2015 heeft de adviescommissie bezwaarschriften van de Kansspelautoriteit (hierna: commissie) ad do Dss n gevoegd, maakt hiervan integraal onderdeel uit. &lt;!-- image --&gt; OPENBAAR OPENBAAR &lt;!-- image --&gt; Kansspelautoriteit Datum 28 augustus 2015 Ons kenmerk 9281 / 00.073.689 5. De commissie adviseert, onder aanvulling van de motivering van de hoogte van de boete, de bezwaren ongegrond te verklaren en de beschikking in stand te laten. 6. Voor de motivering van deze beslissing op bezwaar wordt verwezen naar het advies van de commissie. ## 5 Besluit De raad van bestuur van de Kansspelautoriteit: - a. stelt vast dat de commissie heeft geadviseerd om de bezwaren ongegrond te verklaren en het verzoek tot verlaging van de boete tot nihil af te wijzen; - b. stelt vast dat het advies inhoudelijk concludent is en [...]</t>
  </si>
  <si>
    <t>KSA__https___kansspelautoriteit.nl_sites_default_files_besluit_op_bezwaar_kayseri.txt::Rechtshandeling</t>
  </si>
  <si>
    <t>www.drenthe.nl 0592- 36 55  55
Aan: het bestuur van Wildlands Adventure Zoo Emmen BV Postbus 1010 7801 BA  EMMEN
## · l · I ·h 1 ··Il·1 1 1il· 1 1 1 1 1 ·  1 1 1 · · 11·1 1 1 ··II
Assen, 8 juli 2021
Onderwerp: Verlening subsidie project herinrichting Kompasplein Wildlands
Ons kenmerk 20/5.4/2021000872 Behandeld door -
## Geacht bestuur,
Op 29 januari 2021  ontvingen wij uw subsidieaanvraag voor het project herinrichting Kompasplein Wildlands. Op 15 februari 2021  hebben wij u om aanvullende gegevens gevraagd. Die hebben wij van u op 1 maart 2021  ontvangen. In deze brief informeren wij u over ons besluit op uw aanvraag.
Met de aanpassing van het Kompasplein beoogt u de sfeer, de zichtbaarheid van de dieren en daarmee de beleving van de gasten te laten aansluiten bij de beleving in de rest van het park. Door de upgrading van het plein wilt u de bezoekerswaarderingen op een hoger niveau brengen. U verwacht als gevolg hiervan extra bestedingen in horeca, events en banqueting. Met de uitvoering van uw plannen draagt u bij aan het behoud en versterken van de kwaliteit van het dagrecreatief aanbod. Bovendien levert de aanpassing van het plein een bijdrage aan vergroening en klimaatadaptatie. Wij vinden het belangrijk dat dit aanbod zich blijft ontwikkelen, vernieuwen en verduur­ zamen om zo aan te blijven sluiten bij de wensen van de bezoekers.
## Besluit
Wij hebben besloten u een subsidie van maximaal € 625.000,-- te verlenen. De gemeente Emmen draagt eveneens bij met een subsidie van€ 250.000,--.
## Voorschot
Wij hebben besloten u een voorschot te verstrekken van€ 500.000,--, zijnde 80% van de verleende subsidie. Dit voorschot maken wij binnen dertig dagen na dagtekening van deze brief over op ------~- , onder vermelding van het kenmerk van deze brief.
Het restant wordt betaalbaar gesteld na goedkeuring van uw  vaststellingsverzoek.
&lt;!-- image --&gt;
&lt;!-- image --&gt;
## Prestatieverplichtingen
Bij het uitvoeren van de activiteiten bent u gebonden aan de volgende verplichtingen:
De subsidie is bestemd voor het project Herinrichting van het Kompasplein. De activiteiten worden uitgevoerd overeenkomstig de door u verstrekte gegevens in uw subsidieaanvraag.
De projectactiviteiten starten op 1 oktober 2021  en worden opgeleverd uiterlijk op 1 april 2022.
Indien hierin wijzigingen plaatsvinden, dient u dit bij ons aan te geven.
## Aanvullend verzoek
Daarnaast verzoeken wij u om in uw communicatie over de activiteiten tot uitdrukking te brengen dat deze mede mogelijk worden gemaakt door de provincie Drenthe.
## Meldingsplicht
Als blijkt dat u de gesubsidieerde activiteiten niet zult uitvoeren of dat u niet aan alle verplichtingen zult voldoen, stelt u ons daarvan direct schriftelijk of per e-mail op de hoogte.
Daarnaast stelt u ons zo spoedig mogelijk op de hoogte van:
- -relevante wijzigingen in de financiële  en organisatorische verhouding met derden;
- -wijzigingen van de statuten betreffende de vorm van de rechtspersoon, de persoon van de bestuurder(s) en het doel van de rechtspersoon.
Indien u niet voldoet aan de meldingsplicht, kunnen wij dit besluit tot subsidieverlening in uw nadeel wijzigen of intrekken en het uitbetaalde subsidiebedrag geheel of gedeel­ telijk terugvorderen.
## Vaststelling
U dient uiterlijk voor 1 juli 2022 een verzoek tot vaststelling in. In het verzoek tot vaststelling toont u aan dat de activiteiten zijn verricht en dat aan de opgelegde prestatieverplichtingen is voldaan. Het verzoek tot vaststelling bevat in ieder geval:
- -een activiteitenverslag;
- -en een financieel verslag.
Het niet tijdig indienen van het verzoek tot vaststelling kan gevolgen hebben voor de hoogte waarop de subsidie wordt vastgesteld. Als u geen verzoek tot vaststelling in­ dient, stellen wij de subsidie ambtshalve vast. Wij doen dat op grond van de informatie die wij op dat moment hebben, waardoor de subsidie vaak lager of op nihil wordt vast­ gesteld. U ontvangt binnen 22 weken na ontvangst van uw verzoek tot vaststelling onze beslissing hierop.
Het verzoek tot vaststelling kunt u per e-mail toesturen naar post@drenthe.nl of per post naar het college van Gedeputeerde Staten van Drenthe, ter attentie van team Subsidies en Inkoop, Postbus 122, 9400 AC Assen.
U bewaart de stukken die betrekking hebben op de besteding van de subsidie en de uitvoering van de activiteiten tot zes maanden nadat de activiteiten zijn uitgevoerd;
## Juridisch kader
Op dit besluit is de volgende wet- en regelgeving van toepassing:
- de Verordening (EU) Nr. 651/2014 van de Commissie van 17 juni 2014, waarbij bepaalde categorieën  steun op grond van de artikelen 107 en 108 van het Ver­ drag met de interne markt verenigbaar worden verklaard, Algemene Groepsvrij­ stellingsverordening (AGVV) (PbEU L 18711 )};
- -de Algemene wet bestuursrecht;
- -de Algemene subsidieverordening Drenthe 2017.
## Staatssteun
Voor uw aanvraag hebben wij gekeken of er sprake is van staatssteun. Dit is bij u het geval, omdat uw onderneming door middel van staatsmiddelen selectief wordt ge­ steund en er door het project een verstoring van de interne markt kan optreden. Deze steun valt onder de werking van de AGW, in het bijzonder onder de vrijstellingscate­ gorie voor steun voor cultuur en instandhouding van het erfgoed (Hoofdstuk 111  Deel 11 , artikel 53, van de AGVV), meer specifiek investeringssteun. De steun wordt toe­ gekend aan de doelstelling omschreven in artikel 53, lid 2, onder b, van de AGW. De provincie Drenthe beschouwt Wildlands als natuurlijk erfgoed.
In het geval van investeringssteun is het steunbedrag niet hoger dan het verschil tus­ sen de in aanmerking komende kosten en de exploitatiewinst van de investering. De exploitatiewinst wordt in mindering gebracht op de in aanmerking komende kosten, hetzij vooraf op basis van redelijke prognoses, hetzij via een terugvorderingsmecha­ nisme. De totale projectkosten zijn€ 1.055.000,--. Er wordt aan de provincie Drenthe een subsidie gevraagd van € 625.000,--; aan de gemeente Emmen wordt een subsi­ die gevraagd van€ 250.000,--. Tezamen komt dit neer op een bedrag van € 875.000,--. De exploitatiewinst van de investering bedraagt€ 160.000,--. Het steun­ bedrag mag derhalve niet hoger zijn dan€ 895.000,--. Het te verlenen subsidiebedrag blijft hieronder.
Uw project voldoet aan de gestelde voorwaarden voor deze steun en aan de alge­ mene bepalingen van de AGW. De te verlenen subsidie heeft een stimulerend effect in de zin van voornoemde verordening van de Europese Commissie. Daarmee kan de subsidie geoorloofd worden verleend.
Wij geven van de verlening van deze subsidie, overeenkomstig de desbetreffende bepalingen van de AGVV, binnen twintig werkdagen na dagtekening van deze be­ schikking kennis aan de Europese Commissie en publiceren deze beschikking op onze website.
Betaling van de subsidie sluiten wij uit, indien zou blijken dat de aan uw onderneming verleende steun onrechtmatig is en onverenigbaar is verklaard met de interne markt.
## Nadere Informatie
Mocht u nog vragen hebben, dan kunt u contact opnemen met- - -----­ telefoonnummer \_\_ ■· Wij wensen u veel succes bij de uitvoering van uw plannen.
Hoogachtend,
Gedeputeerde Staten van Drenthe,
&lt;!-- image --&gt;
md/coll.
## Bezwaar
Bent u het niet eens met dit besluit, dan kunt u binnen zes weken na de dag van ver­ 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
, voorzitter
, secretaris
&lt;!-- image --&gt;</t>
  </si>
  <si>
    <t>handhaaft [2116:2126]</t>
  </si>
  <si>
    <t>handhaaft [2116:2125]</t>
  </si>
  <si>
    <t>[...] af te wijken van het advies; - d. verwijst voor de hoogte van de opgelegde boete naar het boeterichtsnoer gokzuilzaken waarin de boete van € 5.000,- gemotiveerd wordt; - e. verklaart de bezwaren overigens ongegrond en handhaaft het besluit; - f. verwijst overeenkomstig artikel 3:49 van de Algemene wet bestuursrecht voor de motivering van het besluit naar het uitgebrachte advies. 's-Gravenhage, 28 augustus 2015 De raad van bestuur van de [...]</t>
  </si>
  <si>
    <t>KSA__https___kansspelautoriteit.nl_sites_default_files_besluit_op_bezwaar_kayseri.txt::Rechtsobject</t>
  </si>
  <si>
    <t>besluit</t>
  </si>
  <si>
    <t>besluit [2130:2137]</t>
  </si>
  <si>
    <t>[...] an het advies; - d. verwijst voor de hoogte van de opgelegde boete naar het boeterichtsnoer gokzuilzaken waarin de boete van € 5.000,- gemotiveerd wordt; - e. verklaart de bezwaren overigens ongegrond en handhaaft het besluit; - f. verwijst overeenkomstig artikel 3:49 van de Algemene wet bestuursrecht voor de motivering van het besluit naar het uitgebrachte advies. 's-Gravenhage, 28 augustus 2015 De raad van bestuur van de Kansspelaut [...]</t>
  </si>
  <si>
    <t>Aan: Stichting Nationaal Gevangenismuseum t.a.v. het bestuur Oude Gracht 1 9341 AA  VEENHUIZEN
## 9341 AA1
Assen, 12 december 2023 Ons kenmerk 202301512-01102845
Behandeld door
Verplichtingennummer 82933
Onderwerp: Verlening subsidie activiteiten boekjaar 2024
## Geacht bestuur,
Op 16 oktober 2023 ontvingen wij uw subsidieaanvraag. U vraagt een begrotingssubsidie aan van € 116.241,00. In deze brief leest u ons besluit.
## U ontvangt een subsidie van € 116.241,00
Dit is de subsidie die wij u verlenen. U ontvangt de subsidie voor de activiteiten van het museum in het boekjaar 2024. Uw museum staat in de huidige cultuurnota genoemd als museum van provinciaal belang vanwege de nationale gevangenisgeschiedenis, de geschiedenis van de kolonie Veenhuizen, de UNESCO nominatie, het Europees Erfgoedlabel en de landelijke betrokkenheid van het Ministerie van Justitie en Veiligheid.
## U ontvangt een voorschot van € 58.120,50
De subsidie ontvangt u in twee delen. Het eerste bedrag maken wij januari 2024 over naar uw Het tweede voorschot van € 58.120,50 wordt juli 2024 overgemaakt. Wij melden er het kenmerk van deze brief bij.
Bij correspondentie verzoeken wij u het zaaknummer 202301512 te vermelden.
## Activiteiten
Met deze subsidie voert u de volgende activiteiten uit:
## Presentatie
- Uitvoering geven aan presentaties die in 2024 in het teken staan van de herinrichting en bouw.
- De projecten 'Achter de tralies' en 'Van KvW tot gevangenisdorp' worden inhoudelijk uitgewerkt op basis van de  projectplannen.
## Educatie
- Uitvoering geven aan reguliere activiteiten zoals bijvoorbeeld de Bajesdag.
- Inhoudelijk uitwerken van de nieuwe tentoonstellingen over de geschiedenis van vrijheidsstraffen en Veenhuizen.
- Implementatie van de in 2023 nieuw geïntroduceerde schoolprogramma's.
## Marketing &amp;amp; Communicatie
- Uitbreiding van onlinemarketing activiteiten. Onder andere vervaardiging van een contentkalender, uitvoering van de publicatie en het maken van data analyses.
- Inzet van reguliere middelen zoals drukwerk, RTV en advertenties.
- Vernieuwen van het beschikbare beeldmateriaal voor on- en offline content. De content wordt afgestemd op de diverse doelgroepen.
## Evenementen
- Evenementen zal zich in 2024 met name richten op het verder ontwikkelen van de zakelijke markt.
- Naast de uitvoering van de reguliere evenementen zal een begin worden gemaakt met de ontwikkeling van een zomerevenement. Het evenement zal een festival karakter krijgen wat zich afspeelt in Veenhuizen in en rondom het museum.
Uw subsidieaanvraag is de basis voor deze omschrijving. U voert de activiteiten uit in de periode van 1 januari 2024 tot en met 31 december 2024.
## Subsidieverplichtingen
Aan de subsidie zijn de volgende verplichtingen verbonden:
- -
- U doet deze melding binnen twee weken nadat u het weet. U doet deze melding schriftelijk via subsidieloket@drenthe.nl. Deze melding is voor u van belang. Als u de activiteiten niet, niet worden vastgesteld of worden ingetrokken. U moet dan een bedrag aan ons terugbetalen. Daarnaast doet u melding als u niet voldoet aan de subsidieverplichtingen en in gevallen als bedoeld in artikel 16, tweede lid van de Algemene subsidieverordening provincie Drenthe 2023.
- U meldt het ons als u de activiteiten anders of niet gaat uitvoeren helemaal of anders uitvoert dan in uw aanvraag en deze brief is genoemd, kan de subsidie lager
- -U zorgt voor een goede administratie Bij een eventuele controle kunt u aantonen dat u de activiteiten heeft uitgevoerd en de kosten heeft gemaakt. Dat kan bijvoorbeeld blijken uit bewaarde rekeningen, bonnen, een urenadministratie of andere gebruikelijke manieren om activiteiten, kosten of tijdsbesteding helder
- te maken. U bewaart deze minimaal zeven jaar na het einde van de projectperiode.
- -
- U dient vóór 1 mei 2025 een aanvraag tot vaststelling in U stuurt deze aanvraag naar subsidieloket@drenthe.nl. Uw aanvraag tot vaststelling bestaat uit een inhoudelijk verslag, waaruit blijkt dat de activiteiten waarvoor de subsidie is verleend zijn uitgevoerd en is voldaan aan de subsidieverplichtingen.
Ook stuurt u een jaarrekening mee waaruit blijkt wat de werkelijk gemaakte subsidiabele kosten zijn van de activiteiten. Als u de activiteiten heeft uitgevoerd en aan de subsidieverplichtingen heeft voldaan, stellen wij de subsidie vast op het bedrag van de werkelijk gemaakte subsidiabele kosten, met als maximum het verleende subsidiebedrag.
Zorgt u ervoor dat wij uw aanvraag tot vaststelling op tijd ontvangen. Hiermee voorkomt u dat wij uw subsidie ambtshalve moeten vaststellen. Hierdoor wordt de subsidie in veel gevallen lager of op nihil vastgesteld. De ontvangen voorschotten moet u dan terugbetalen.
## Staatssteun
Voor uw aanvraag hebben wij gekeken of er sprake is van staatssteun. Dit is bij u het geval, omdat uw onderneming door middel van staatsmiddelen selectief wordt gesteund, en er door het project een verstoring van de interne markt kan zijn. Deze steun valt onder de werking van de AGVV. In het bijzonder onder de vrijstellingscategorie voor steun voor cultuur en instandhouding van het erfgoed (Hoofdstuk III Deel 11, artikel 53 van de AGVV), meer specifiek exploitatiesteun. Voor steun van ten hoogste € 2.000.000,00 kan het maximale steunbedrag worden bepaald op 80% van de in aanmerking komende kosten. De totale subsidiabele kosten van uw project bedragen € 3.012.370,00. Er wordt aan de provincie Drenthe een subsidie gevraagd van € 116.241,00. De steunintensiteit bedraagt hiermee 3,8%. Uw project voldoet aan de gestelde voorwaarden voor deze steun en aan de algemene bepalingen van de AGVV. De te verlenen subsidie heeft een stimulerend effect in de zin van voornoemde verordening van de Europese Commissie. Daarmee kan de subsidie geoorloofd worden verleend. Wij geven van de verlening van deze subsidie, overeenkomstig de desbetreffende bepalingen van de AGVV, binnen 20 werkdagen na dagtekening van deze beschikking kennis aan de Europese Commissie en publiceren deze beschikking op onze website. Betaling van de subsidie sluiten wij uit, indien zou blijken dat de aan uw onderneming verleende steun onrechtmatig is en onverenigbaar is verklaard met de interne markt.
## Een vergunning nodig?
Misschien heeft u voor de uit te voeren activiteiten nog een vergunning of andere vorm van toestemming nodig, mogelijk zelfs van ons. Deze subsidie staat geheel los van het krijgen van die vergunning die u nodig heeft voor uw activiteiten. Daarvoor gelden namelijk andere regels.
## Steekproefcontrole
Naast de beoordeling van uw aanvraag tot vaststelling kunnen wij deze subsidie ook controleren. De steekproefcontroles hebben tot doel misbruik en onregelmatigheden van subsidiegelden tegen te gaan. Wij controleren of de subsidie rechtmatig en doelmatig is besteed en of u heeft voldaan aan de aan de subsidie verbonden verplichtingen. Indien wij misbruik of onregelmatigheden constateren loopt u het risico dat de subsidie geheel of gedeeltelijk teruggevorderd wordt. Het is zeer belangrijk dat u bewijsstukken bewaart en eventuele wijzigingen op tijd aan ons meldt.
## Juridisch kader
Voor dit besluit gelden:
- Verordening (EU) Nr. 651/2014 van de Commissie van 17 juni 2014, waarbij bepaalde categorieën steun op grond van de artikelen 107 en 108 van het Verdrag met de interne markt verenigbaar worden verklaard, Algemene Groepsvrijstellingsverordening (AGVV (PbEU L187/1))
- Algemene wet bestuursrecht
- Algemene subsidieverordening provincie Drenthe 2023
- Statenstuk 2023-127, Begroting 2024
## Communicatie
Wij vragen u, of u in uw communicatie over het project wilt vermelden dat het project mede mogelijk gemaakt wordt door de Provincie Drenthe.
## Openbare informatie over uw subsidie
De naam van de aanvrager, de naam van het project of de korte omschrijving van de activiteiten, het verstrekte subsidiebedrag en het zaaknummer nemen wij op in het subsidieregister op onze website. Namen van personen worden niet genoemd.
## Cultuurnota 2021-2024
Wij wijzen u er alvast op dat 2024 het laatste jaar is dat er middelen voor uw organisatie zijn gereserveerd. Toekomstig nieuw beleid kan ertoe leiden dat er na het jaar 2024 wijzigingen plaats vinden in de subsidie voor uw organisatie.
## Cultuurnota 2025-2028
Het proces voor de Cultuurnota 2025-2028 is in september 2023 gestart. Tijdens het proces zal het culturele veld ook betrokken worden. Provinciale Staten verwachten rond de zomer 2024 een definitief besluit te nemen over de Cultuurnota 2025-2028 en het reserveren van subsidiegelden.
## Toegankelijkheid en inclusie
Ieder mens heeft dezelfde rechten. Daarom vindt de provincie Drenthe het van belang dat er aandacht is voor kwetsbare groepen in onze samenleving. Wij vragen u als onze subsidierelatie dan ook het thema 'Toegankelijkheid en inclusie' ook in 2024 op de agenda te zetten en hieraan zoveel mogelijk invulling te geven bij al uw activiteiten.
## Heeft u vragen?
Als u vragen heeft neem dan contact op met
.
&lt;!-- image --&gt;
Hoogachtend,
Gedeputeerde Staten van Drenthe, namens dezen,
Themamanager a.i. Inkoop &amp;amp; Subsidies
&lt;!-- image --&gt;
## Bezwaar
Bent u het niet eens met dit besluit, dan kunt u binnen zes weken na de dag van verzending ervan hiertegen een bezwaarschrift indienen bij het college van gedeputeerde staten van Drenthe. De dag van verzending is de dagtekening van het besluit. Voor meer informatie over het indienen van een bezwaarschrift verwijzen wij u naar: www.provincie.drenthe.nl/bezwaarprocedure</t>
  </si>
  <si>
    <t>KSA__https___kansspelautoriteit.nl_sites_default_files_besluit_op_bezwaar_openbaar_call_internet_city.txt::Besluitvormend Orgaan</t>
  </si>
  <si>
    <t>De Raad van Bestuur van de Kansspelautoriteit [5627:5672]</t>
  </si>
  <si>
    <t>de Raad van Bestuur van de Kansspelautoriteit [55:100]</t>
  </si>
  <si>
    <t>&lt;!-- image --&gt; ## Kansspelautoriteit Besluit van de Raad van Bestuur van de Kansspelautoriteit op het bezwaarschrift van [xxx], eigenaar van Call Internet City, tegen het besluit van 21 november 2013 tot het opleggen van een bestuurlijke boete (kenmerk 7970 / 00.017.935) vanwege het overtreden van artikel 30t, eerste lid, aanhef en onder c, van de Wet op de kansspelen Zaak: 97 Kenmerk: 7970/00.024.469 Openbaarmaking onder kenmerk: 7970 / 00.025.096 ## Besluit op bezwaar ## 1 Inleiding 1. Bij brief van 23 december 2013 heeft [xxx] (hierna: gemachtigde van bezwaarmaker), namens [yyy] (hierna: bezwaarmaker), een bezwaarschrift ingediend tegen het besluit van de Raad van Bestuur van de Kansspelautoriteit hi n n n ( ik) boete (kenmerk 7970 / 00.017.935). 2. Op 20 maart 2014 heeft gemachtigde van bezwaarmaker aanvullende stukken n d D n Den beschikkingen van de Belastingdienst. ## 2 Ontvankelijkheid 3. Het bezwaarschrift is ingediend binnen zes weken na bekendmaking van het besluit. Het bezwaarschrift voldoet ook aan de overige door de Algemene wet bestuursrecht gestelde eisen zodat het bezwaarschrift ontvankelijk is. ## 3Hoorzitting - Be r z ge een hoorzitting van de Adviescommissie bezwaarschriften van de Kansspelautoriteit op 7 maart 2014 het bezwaarschrift toe te lichten. Van de hoorzitting is een verslag opgesteld dat op 12 maart 2014 naar de gemachtigde van bezwaarmaker is toegezonden. Met zijn brief van 20 maart 2014 heeft de gemachtigde laten weten dat hij in het verslag geen feitelijke onjuistheden heeft aangetroffen. ## 4 Advies 5. Naar aanleiding van het bezwaarschrift heeft de Adviescommissie een advies uitgebracht aan de Raad. Dit advies dat bij dit besluit is gevoegd, maakt hiervan integraal onderdeel uit. De Adviescommissie heeft geadviseerd om de bezwaren ongegrond te verklaren met uitzondering van dat gedeelte van het bezwaar dat ziet op de hoogte van de boete. 6. De Adviescommissie bezwaarschriften van de Kansspelautoriteit adviseert voorts om de hoogte van de boete te heroverwegen dan wel nader te motiveren met inachtneming van de voorgenomen herziening van het boetebeleid bij gokzuilen. Voor het overige adviseert de commissie om het besluit van 21 november 2013 in stand te laten. 7. Voor de motivering van deze beslissing op bezwaar wordt met betrekking tot: 4. de bezwaren ten aanzien van de overtreding verwezen naar de randnummers 14 en 15 van het advies; 5. de hoogte van de boete verwezen naar de randnummers 16 tot en met 26 van het advies. ## 5 Hoogte van de boete 8. De Raad overweegt ten aanzien van de hoogte van de boete het volgende. 9. Voor overtredingen van artikel 30t, eerste lid, aanhef en onder c, van de Wet op de kansspelen, kan de Raad een maximale boete opleggen van € 780.000,-. Voor gevallen als Call Internet City is een dergelijk boetebedrag echter niet redelijk. Toen e n n o d an D De d d d ernst van de inbreuk op het belang dat de overtreden bepaling beoogt te beschermen en de verwijtbaarheid. 10. Thans is de Raad van oordeel dat ook andere aspecten en belangen moeten worden betrokken bij het bepalen van de hoogte van de boete, zoals eventueel eerder gegeven waarschuwingen, recidive, duur van de overtreding, mogelijke deelname door minderjarigen en draagkracht van de overtreder. Voorts betrekt de Raad de Richtlijn handhaving Wet op de kansspelen van het College van Procureurs-Generaal uit 1997 bij haar besluitvorming. Deze richtlijn ging uit van een boete van f. 5.000,voor het aanwezig hebben van een speelautomaat van een niet toegelaten model en f. 1.000,- voor een speelautomaat zonder merkteken. Rekening houdende met de Kansspelautoriteit Datum 10 april 2014 Ons kenmerk 7970 / 00.025.096 Kansspelautoriteit Datum 10 april 2014 Ons kenmerk 7970 / 00.025.096 bedragen die thans gelden als maximale boete voor de desbetreffende categorie en de maximale boete voor deze overtreding (thans de boete van de zesde categorie) zou op dit moment een boete van € 7.500,- per speelautomaat passend zijn. Aangezien de Raad echter ook rekening houdt met boeteverhogende omstandigheden, zoals de duur van de overtreding (in casu 2 maanden), dient in dit geval verhoging van dat bedrag plaats te vinden. Aan de andere kant dient de verminderde draagkracht te leiden tot verlaging van de boete. 11. Alles afwegende komt de Raad tot de conclusie dat een boete van € 6.000,- passend en geboden is. De eerder opgelegde boete van € 20.000,- komt derhalve voor matiging in aanmerking. ## Besluit 6 De Raad van Bestuur van de Kansspelautoriteit: - a. stelt vast dat de Adviescommissie bezwaarschriften van de Kansspelautoriteit heeft geadviseerd om de bezwaren ongegrond te verklaren, met uitzondering van dat gedeelte van het bezwaar dat ziet op de hoogte van de boete, en de hoogte van de boete te heroverwegen dan wel nader te motiveren; - b. stelt vast dat het advies inhoudelijk concludent is en zorgvuldig tot stand is gekomen; - c. ziet geen reden om af te wijken van het advies; - d. verklaart de bezwaren ongegrond met uitzondering van dat gedeelte van het bezwaar dat ziet op de hoogte van de boete; - e. handhaaft het bestreden besluit, met uitzondering van dat gedeelte van het bezwaar dat ziet op de hoogte van de boete; - f. verwijst overeenkomstig artikel 3:49 van de Algemene wet bestuursrecht voor de motivering van het besluit naar het uitgebrachte advies; - g. ziet reden om de eerder opgelegde boete te matigen en de hoogte van de boete vast te stellen op € 6.000,-. 's-Gravenhage, 10 april 2014 De Raad van Bestuur van de Kansspelautoriteit, w.g. J.J.H. Suyver Voorzitter ## Beroep Tegen dit besluit kan een belanghebbende beroep instellen bij de sector bestuursrecht van de rechtbank Noord Nederland, postbus 150, 9700 AD Groningen. Het beroepschr [...]</t>
  </si>
  <si>
    <t>KSA__https___kansspelautoriteit.nl_sites_default_files_besluit_op_bezwaar_openbaar_call_internet_city.txt::Rechtshandeling</t>
  </si>
  <si>
    <t>handhaaft [5218:5228]</t>
  </si>
  <si>
    <t>handhaaft [5218:5227]</t>
  </si>
  <si>
    <t>[...] en zorgvuldig tot stand is gekomen; - c. ziet geen reden om af te wijken van het advies; - d. verklaart de bezwaren ongegrond met uitzondering van dat gedeelte van het bezwaar dat ziet op de hoogte van de boete; - e. handhaaft het bestreden besluit, met uitzondering van dat gedeelte van het bezwaar dat ziet op de hoogte van de boete; - f. verwijst overeenkomstig artikel 3:49 van de Algemene wet bestuursrecht voor de motivering van het besluit [...]</t>
  </si>
  <si>
    <t>KSA__https___kansspelautoriteit.nl_sites_default_files_besluit_op_bezwaar_openbaar_call_internet_city.txt::Rechtsobject</t>
  </si>
  <si>
    <t>besluit [5242:5249]</t>
  </si>
  <si>
    <t>## OPENBAAR
Besluit van de Raad van Bestuur van de Kansspelautoriteit als bedoeld in artikel 35 van
de Wet op de kansspelen. Datum: 22 juli 2019 Kenmerk: 01.060.278
Openbaar gemaakt onder kenmerk: 01.061.945
## Besluit
## Samenvatting
1. De Kansspelautoriteit heeft vastgesteld dat Chance Publications Malta Ltd reclame maakt voor het kansspelen waarvoor geen vergunning op grond van de Wet op de Kansspelen (hierna: Wok) is verleend. Daarmee handelt Chance Publications Malta Ltd in strijd met de Wok. De Kansspelautoriteit draagt Chance Publications Malta Ltd op het maken van reclame voor kansspelen waarvoor geen vergunning ingevolge de Wok is verleend (overtreding van artikel 1, eerste lid, onder b, van de Wok), te staken en gestaakt te houden door middel van het opleggen van een last onder dwangsom.
## Handhaving van de Wet op de kansspelen
2. De Kansspelautoriteit is belast met het toezicht op de naleving van het bepaalde in de Wok. In de Wok is onder andere bepaald dat het in Nederland verboden is gelegenheid te geven tot deelname aan kansspelen, tenzij daarvoor ingevolge de Wok vergunning is verleend (artikel 1, eerste lid, onder a, Wok). Daarnaast is het ingevolge artikel 1, eerste lid, onder b, van de Wok eveneens verboden de deelneming aan een kansspel, waarvoor geen vergunning is verleend, te
## Kansspelautoriteit
- bevorderen.
3. De Wok voorziet niet in de mogelijkheid vergunningen te verlenen voor kansspelen online. Binnen het huidige wettelijke kader kan voor kansspelen online onvoldoende vorm worden gegeven aan de doelstellingen van het kansspelbeleid: het voorkomen van kansspelverslaving, het beschermen van de consument en het tegengaan van mogelijke fraude en criminaliteit.
4. De Kansspelautoriteit acht het aanbieden van kansspelen online zonder daartoe strekkende vergunning zeer ernstig. 1  De doelstellingen van het kansspelbeleid worden - door het zonder vergunning aanbieden van kansspelen online omzeild. De kansspelsector is bovendien geen gewone economische sector maar extra gevoelig voor fraude, bedrog en verslaving waarvan de consument de dupe kan worden. Deelnemers aan dergelijke kansspelen lopen daarbij risico's omdat er geen garantie is dat het spel betrouwbaar is, het betalingsverkeer veilig verloopt en gewonnen prijzen daadwerkelijk worden uitgekeerd.
5. Naast aanbieders van kansspelen online hebben tussenpersonen, bevorderaars, ook een belangrijke rol bij de deelname van consumenten aan - en het in stand houden van - dit soort kansspelaanbod. Zonder hun diensten wordt het voor de kansspelaanbieders immers ook moeilijker om hun aanbod aan de consument aan te bieden en voor de consument om daaraan deel te nemen. De Kansspelautoriteit neemt daarom ook andere maatregelen om het kansspelaanbod online zonder vergunning te frustreren, bijvoorbeeld door het opwerpen van barrières bij tussenpersonen in de reclamebranche. Doel hiervan is dat deze tussenpersonen hun diensten niet meer ter beschikking stellen aan aanbieders van kansspelen online zonder vergunning. Dit zorgt ervoor dat het voor deze aanbieders onaantrekkelijk en wellicht onmogelijk wordt om kansspelen aan te bieden en voor consumenten om bij deze aanbieders te spelen.
6. Het bestrijden van kansspelen online zonder vergunning vergt ook dat de Kansspelautoriteit bestuurlijk handhavend optreedt tegen het bevorderen van kansspelaanbod waarvoor geen vergunning is verleend. Artikel 1, eerste lid, onder b, van de Wok biedt daarvoor een grondslag.
1
Sanctiebesluiten genomen door de raad van bestuur van de Kansspelautoriteit. (zie:
http://www.kansspelautoriteit.nl/besluiten/sanctiebesluiten OPENBAAR Kansspelautoriteit 22 juli 2019 Kenmerk 01.060.278
7. Als onderdeel van haar toezichthoudende taak heeft de Kansspelautoriteit onderzoek gedaan naar partijen die illegale online kansspelen bevorderen in de vorm van het (doen) plaatsen van reclame-uitingen voor kansspelaanbod online waarvoor geen vergunning is verleend. Genoemde partijen handelen daarmee in strijd met het in artikel 1, eerste lid, onder b, van de Wok bepaalde.
## Juridisch kader
8. Op grond van artikel 1, eerste lid, onder a, van de Wok is het verboden om gelegenheid te geven tot deelname aan een kansspel waarvoor geen vergunning ingevolge de Wok is verleend.
9. Op grond van artikel 1, eerste lid, onder b, van de Wok, is het verboden om de deelneming aan een kansspel waarvoor geen vergunning is verleend, te bevorderen.
10. Naar het oordeel van de Kansspelautoriteit staat vast dat het (doen) plaatsen van reclame-uitingen valt onder 'bevorderen' als bedoeld in artikel 1, eerste lid, onder b, van de Wok. Naar algemeen taalgebruik wordt onder bevorderen verstaan: vooruithelpen. In relatie tot het gelegenheid geven van deelname aan een kansspel zonder vergunning wordt onder bevorderen verstaan: het ontplooien van activiteiten die het organiseren van kansspelen zonder vergunning helpen, ondersteunen, vergemakkelijken of beter laten verlopen, daartoe bijdragen of daartoe voorzieningen aanbieden of beschikbaar stellen. Het (doen) plaatsen van reclame-uitingen vormt een wezenlijke activiteit voor het succesvol en winstgevend aanbieden en verkopen van (online) producten of diensten. Immers, door reclame worden (potentiële) afnemers geattendeerd op dat aanbod en gestimuleerd daaraan deel te nemen.
11. Op grond van artikel 33b van de Wok heeft de Kansspelautoriteit onder meer tot taak het toezicht op de naleving van de toepasselijke wet- en regelgeving en de vergunningen, alsmede de handhaving daarvan. De Kansspelautoriteit is op grond van artikel 35 van de Wok bevoegd tot het opleggen van een last onder bestuursdwang wegens overtreding van de voorschriften van de Wok. Artikel 5:32, eerste lid, van de Algemene wet bestuursrecht (hierna: Awb) bepaalt dat een bestuursorgaan dat bevoegd is een last onder bestuursdwang op te leggen, in plaats daarvan aan de overtreder een last onder dwangsom kan opleggen.
## Bevindingen
12. Bij besluit van 31 juli 2018 heeft de Kansspelautoriteit vastgesteld dat de onderneming Corona Limited artikel 1, eerste lid, onder a, van de Wok heeft overtreden. 2  Daarmee staat vast dat in het geval van Corona Limited sprake is van aanbod van kansspelen waarvoor geen vergunning is verleend.
13. In het kader van het toezichtonderzoek naar bevorderaars van kansspelen online, waarvoor geen vergunning is verleend, heeft de Kansspelautoriteit onder meer onderzoek gedaan naar websites waarop reclame werd gemaakt voor het hiervoor genoemde kansspelaanbod online en de daarbij betrokken websites.
14. Op 24 en 31 oktober 2018 heeft een toezichthouder van de Kansspelautoriteit (hierna: toezichthouder) geconstateerd dat er op de website casinotop10.nl (URL: www.casinotop10.nl) verschillende aanklikbare reclame-uitingen dan wel reclame-uitingen en/of reviews (recensies) met aanklikbare links te zien waren voor de websites Betsson Casino (URL: www.betsson.com), Kroon Casino (URL: www.krooncasino.com), Oranje Casino (URL: www.oranjecasino.com), Mr Green (URL: www.mrgreen.com), Mr Play, Karamba Casino, BetChan Casino, Playamo Casino, EuroGrand Casino, Slotssons.com, OmniSlots, Ladbrokes Casino, Playamo Casino, Magic Red Casino, Bob Casino, Slotsons.com, Luckland Casino, SlotJerry, Eskimo Casino, SlotsMillion Casino, Bethard Casino, PlayClub Casino, Casino Heroes, William Hill casino, NetBet.com. Na het aanklikken van deze reclame-uitingen (naam en/of logo) dan wel aanklikbare links werd de toezichthouder rechtstreeks doorgeleid naar de betreffende online kansspelwebsites.
15. De toezichthouder heeft geconstateerd dat bij de opsommingen van en recensies over voornoemde online casino's een knop aanwezig was met 'PAK BONUS' of ' KRIJG BONUS' of 'SPEEL NU' . Door hierop te klikken werd de toezichthouder rechtstreeks doorgeleid naar desbetreffende website, waaronder onder meer Betsson Casino, Kroon Casino, Oranje Casino en Mr Green. Door op '&amp;gt;Bezoek dit casino&amp;lt;' knoppen bij recensies/reviews te klikken werd de toezichthouder tevens rechtstreeks doorgeleid naar de websites.
[2  https://kansspelautoriteit.nl/besluiten/sanctiebesluiten/sanctiebesluiten/coronalimited/](https://kansspelautoriteit.nl/besluiten/sanctiebesluiten/sanctiebesluiten/corona-limited/)
16. Op 28 februari 2019 heeft een toezichthouder nogmaals geconstateerd dat er op de website casinotop10.nl (URL: www.casinotop10.nl) verschillende aanklikbare reclame-uitingen dan wel reclame-uitingen en/of reviews (recensies) met aanklikbare links te zien waren voor onder meer de websites Mr Play, Karamba Casino, Spinia Casino, BetChan Casino, OmniSlots, Dreamz.com, Magic Red Casino, Bob Casino, Turbo Casino, Slotsons.com, Eskimo Casino, SlotJerry en Unique Casino. Na het aanklikken van deze reclame-uitingen (naam en/of logo) dan wel aanklikbare links werd de toezichthouder rechtstreeks doorgeleid naar online kansspelwebsites.
17. De toezichthouder heeft geconstateerd dat bij de opsommingen van en recensies over voornoemde online casino's een knop aanwezig was met 'PAK BONUS' of ' KRIJG BONUS' of 'SPEEL NU' . Door hierop te klikken werd de toezichthouder rechtstreeks doorgeleid naar desbetreffende website. Door op knoppen bij recensies/reviews te klikken werd de toezichthouder tevens rechtstreeks doorgeleid naar de websites. Tijdens dit onderzoek zijn geen recensies/reviews met aanklikbare links over de online casino's Oranje Casino en Mr Green geconstateerd. Voorts is geconstateerd dat via de reviews van Betsson Casino en Kroon Casino niet werd doorgeleid naar deze websites, de '&amp;gt;Bezoek dit casino&amp;lt;' knoppen ontbraken.
18. De toezichthouder heeft tijdens bovenstaande onderzoeken geconstateerd dat op casinotop10.nl op de meeste pagina's advertenties staan van Bob Casino. Daarnaast staat onderaan de pagina's het volgende: ' Onze favoriete partners: Mr Play, Karamba Casino, Spinia Casino, BetChan Casino, OmniSlots, Dreamz.com, Magic Red Casino, Bob Casino, Turbo Casino, Slotsons.com. '
19. De onderzoeken van de toezichthouder zijn vastgelegd in bijgaande verslagen. 3
20. De tijdens het onderzoek vastgelegde uitingen kwalificeren zich naar het oordeel van de Kansspelautoriteit als bevorderen. Een deel van bovengenoemde kansspelwebsites worden aangeboden door Corona Limited. Daarmee staat ook vast dat het maken van reclame voor dit aanbod is te beschouwen als het bevorderen van dit aanbod, wat een overtreding is van artikel 1, eerste lid, onder b, van de Wok.
3  Bijlage met kenmerken 01.051.340 en 01.051.342
21. Chance Publications Malta Ltd, eigenaar/houder van de website casinotop10.nl , is bij brief van 27 maart 2019 geïnformeerd over de geconstateerde overtreding. 4  In deze brief is Chance Publications Malta Ltd in de gelegenheid gesteld om voor 10 april 2019 de overtreding te staken en gestaakt te houden en daartoe de nodige maatregelen te treffen om ervoor te zorgen dat geen reclame meer wordt gemaakt voor kansspelen die geen vergunning hebben. Naar aanleiding van deze brief heeft de Kansspelautoriteit niets van Chance Publications Malta Ltd vernomen.
22. Op 19 april 2019 heeft de toezichthouder de website casinotop10.nl opnieuw onderzocht. De toezichthouder heeft tijdens het onderzoek op 19 april 2019 op de website casinotop10.nl verschillende aanklikbare reclame-uitingen dan wel reclame-uitingen en/of reviews met aanklikbare links voor onder meer de voornoemde advertenties van Mr. Play, Karamba Casino, Spinia Casino, BetChan Casino, Omnislots, Magic Red Casino, Bob Casino, Turbo Casino, Slotsons.com, Eskimo Casino, SlotJerry, Unique Casino opnieuw aangetroffen. Door te klikken op de logo's en/of namen en op de knoppen 'PAK BONUS' of 'SPEEL NU' werd de toezichthouder rechtstreeks doorgeleid naar de websites van de online casino's.
23. De toezichthouder heeft tijdens het onderzoek geconstateerd dat na te klikken op reviews van Betsson Casino en Kroon Casino doorgeleid werd naar een algemene review pagina.
24. Ten tijde van dit onderzoek heeft de toezichthouder voorts geconstateerd dat zijn er reclame-uitingen bijgekomen van de volgende casino's: Fruits4Real Casino, 21.Com, N1 Casino, Casinojefe en Casino Euro.
25. Het volledige onderzoek van de toezichthouder is vastgelegd in bijgaand verslag. 5
## Overtreding van de Wet op de kansspelen
26. De tijdens het (nader) onderzoek vastgelegde uitingen kwalificeren zich naar het oordeel van de Kansspelautoriteit als bevorderen. Een deel van bovengenoemde kansspelwebsites worden aangeboden door Corona Limited. Daarmee staat ook
4  Brief met kenmerk 01.053.298
5  Bijlage met kenmerk 01.055.860
- vast dat het maken van reclame voor dit aanbod is te beschouwen als het bevorderen van dit aanbod, wat een overtreding is van artikel 1, eerste lid, onder b, van de Wok. De overtreding is na de brief van 27 maart 2019 niet opgeheven.
27. Op grond van het voorgaande staat naar het oordeel van de Kansspelautoriteit vast dat Chance Publications Malta Ltd reclame-uitingen heeft geplaatst voor verschillende aanbieders van online kansspelen. Tevens staat vast dat deze aanbieders in onder meer Nederland gelegenheid geven tot deelname aan een kansspel waarvoor geen vergunning is verleend.
28. Op grond van het voorgaande stelt de Kansspelautoriteit vast dat Chance Publications Malta Ltd, als eigenaar/houder van de genoemde website, artikel 1, eerste lid, onder b, van de Wok heeft overtreden.
## Gelegenheid tot zienswijze
29. Bij brief van 21 mei 2019 heeft de Kansspelautoriteit een voornemen tot het opleggen last onder dwangsom 6  gestuurd naar Chance Publications Malta Ltd te Malta. Op 10 juni 2019 heeft Chance Publications Malta Ltd dit document met bijlagen ontvangen. In deze brief is Chance Publications Malta Ltd in de gelegenheid gesteld een zienswijze in te dienen. Hiervan is geen gebruik gemaakt.
## Overwegingen tot oplegging last
30. Handhavend optreden tegen aanbieders van kansspelen waarvoor geen vergunning is verleend, is noodzakelijk. Naast het opleggen van boetes aan dergelijke aanbieders, is het tevens noodzakelijk dat zij hun aanbod daadwerkelijk beëindigen. In combinatie met handhaving jegens de betreffende aanbieder acht de Kansspelautoriteit het noodzakelijk dat ook een partij die het kansspelaanbod zonder vergunning bevordert haar dienstverlening aan dergelijk kansspelaanbod dient te staken en gestaakt dient te houden.
6  Bijlage 13001/01.056.485
22 juli 2019
Kenmerk 01.060.278
31. Gelet op het belang om reclamemakers ertoe te brengen hun activiteiten tot bevordering van kansspelaanbod waarvoor geen vergunning is verleend daadwerkelijk te staken, acht de Kansspelautoriteit het opleggen van een last onder dwangsom aan deze dienstverleners daarom noodzakelijk. De Kansspelautoriteit biedt - in het geval van een overtreding - deze dienstverleners c.q. reclamemakers, zo ook Chance Publications Malta Ltd in dit geval, de mogelijkheid om de overtreding te beëindigen en daarmee om het verbeuren van een dwangsom te voorkomen. Met het oog op het evenredigheidsbeginsel van artikel 3:4, tweede lid, van de Awb is de Kansspelautoriteit van oordeel dat de belangen van de betrokkenen - in dit geval het belang van Chance Publications Malta Ltd - derhalve niet onevenredig worden geschaad door dit besluit en het daarmee gediende belang.
## Hoogte van de dwangsom
32. Ten aanzien van de hoogte van de dwangsom, bepaalt artikel 5:32b, derde lid van de Awb dat de hoogte ervan in redelijke verhouding dient te staan tot de zwaarte van het geschonden belang en tot de beoogde werking van de dwangsom. Daarnaast moet van de hoogte van de dwangsom voldoende (financiële) prikkel uitgaan voor de overtreder om de overtreding te beëindigen.
33. Handhaving van de regels in de kansspelsector en voorkomen van illegaal kansspelaanbod is noodzakelijk, gelet op de belangen van een betrouwbaar spelaanbod en veilig betalingsverkeer. De kansspelsector is extra gevoelig voor fraude, bedrog en verslaving waarvan de consument de dupe kan worden. Het zijn deze te beschermen - en in beginsel geschonden - belangen die de Kansspelautoriteit heeft meegewogen bij de vaststelling van de hoogte van de dwangsom.
34. De Kansspelautoriteit stelt de hoogte van de dwangsom vast op € 1.500,- per dag of gedeelte van een dag met een maximum van € 21.000,-.
## Besluit
35. Namens de raad van bestuur van de Kansspelautoriteit leg ik Chance Publications Malta Ltd de volgende last onder dwangsom op:
2. -Chance Publications Malta Ltd dient uiterlijk binnen 48 uur na dagtekening van dit besluit de overtreding van artikel 1, eerste lid, onder b, van de Wok te staken en gestaakt te houden. Chance Publications Malta Ltd kan dit doen door alle reclame- en wervingsuitingen voor kansspelen, waarvoor geen vergunning ingevolge de Wet op de kansspelen is verleend, te beëindigen en beëindigd te houden.
3. -Voor iedere dag of gedeelte van de dag na het verstrijken van de hiervoor genoemde begunstigingstermijn waarop Chance Publications Malta Ltd haar dienstverlening ten behoeve van kansspelen, waarvoor geen vergunning ingevolge de Wet op de kansspelen is verleend, voortzet, verbeurt Chance Publications Malta Ltd een dwangsom van € 1.500, - per dag of gedeelte van een dag, tot een maximum van € 21.000, -.
's-Gravenhage, 22 juli 2019
De raad van bestuur van de Kansspelautoriteit, namens deze,
w.g.
mr. Marc P.P.M. Merx Hoofd afdeling Handhaving Kansspelautoriteit
22 juli 2019
Kenmerk 01.060.278
## Bezwaar maken
U kunt tegen deze beslissing bezwaar maken door een gemotiveerd bezwaarschrift in te dienen binnen zes weken na bekendmaking van deze beslissing. U kunt uw bezwaarschrift sturen naar het volgende adres:
Kansspelautoriteit Afdeling Juridische Zaken Postbus 298 2501 CG Den Haag
U kunt uw bezwaarschrift ook door uw gemachtigde laten indienen. Als de gemachtigde geen advocaat is, moet u een machtiging bijvoegen bij uw bezwaarschrift.
Zorg ervoor dat uw bezwaarschrift in elk geval het volgende bevat:
-  uw naam en adres;
-  de datum waarop u het bezwaarschrift schrijft;
-  een kopie van de beslissing;
-  de gronden van uw bezwaar;
-  uw handtekening of de handtekening van uw gemachtigde.</t>
  </si>
  <si>
    <t>[...] is gekomen; - c. ziet geen reden om af te wijken van het advies; - d. verklaart de bezwaren ongegrond met uitzondering van dat gedeelte van het bezwaar dat ziet op de hoogte van de boete; - e. handhaaft het bestreden besluit, met uitzondering van dat gedeelte van het bezwaar dat ziet op de hoogte van de boete; - f. verwijst overeenkomstig artikel 3:49 van de Algemene wet bestuursrecht voor de motivering van het besluit naar het uitgebracht [...]</t>
  </si>
  <si>
    <t>KSA__https___kansspelautoriteit.nl_sites_default_files_besluit_op_bezwaar_redslots.txt::Ontvanger</t>
  </si>
  <si>
    <t>KSA__https___kansspelautoriteit.nl_sites_default_files_besluit_op_bezwaar_redslots.txt</t>
  </si>
  <si>
    <t>Bluemay Enterprises N.V.</t>
  </si>
  <si>
    <t>bluemay enterprises n.v</t>
  </si>
  <si>
    <t>Bluemay Enterprises N.V. [117:141]</t>
  </si>
  <si>
    <t>## OPENBAAR &lt;!-- image --&gt; Besluit van de raad van bestuur van de Kansspelautoriteit op het bezwaarschrift van Bluemay Enterprises N.V. tegen het besluit van besluit van 29 oktober 2015, kenmerk 9505 / 00.058.179, tot het opleggen van een bestuurlijke boete van € 240.000,- aan Bluemay Enterprises N.V. en het besluit van 29 oktober 2015, kenmerk 9505/ 00 [...]</t>
  </si>
  <si>
    <t>KSA__https___kansspelautoriteit.nl_sites_default_files_besluit_op_bezwaar_redslots.txt::Besluitvormend Orgaan</t>
  </si>
  <si>
    <t>De raad van bestuur van de Kansspelautoriteit [3084:3129]</t>
  </si>
  <si>
    <t>de raad van bestuur van de Kansspelautoriteit [45:90]</t>
  </si>
  <si>
    <t>## OPENBAAR &lt;!-- image --&gt; Besluit van de raad van bestuur van de Kansspelautoriteit op het bezwaarschrift van Bluemay Enterprises N.V. tegen het besluit van besluit van 29 oktober 2015, kenmerk 9505 / 00.058.179, tot het opleggen van een bestuurlijke boete van € 240.000,- aan Bluemay Enterprises N.V. en het besluit van 29 oktober 2015, kenmerk 9505/ 00.058.180, tot openbaarmaking van het besluit tot oplegging van de bestuurlijke boetes. Zaak: OA/2014/083 Kenmerken: 9505/ 00.069.110 en 10074/00.069.111 Openbaarmaking onder kenmerken: 9505 / 00.070.821 en 10074 / 00.070.822 ## Besluit t op bezwaar ## 1Inleiding 1. Bij brief van 8 december 2015 is namens Bluemay Enterprises N.V. een bezwaarschrift ingediend tegen de besluiten van de raad van bestuur van de Kansspelautoriteit (hierna: de raad) van 29 oktober 2015 tot het opleggen van een bestuurlijke boete en tot openbaarmaking van de bestuurlijke boete. ## 2 Ontvankelijkheid 2. De bezwaarschriften zijn ingediend binnen zes weken na bekendmaking van de besluiten. De gronden van het bezwaar zijn binnen de daartoe gestelde termijn aangevuld. De bezwaarschriften voldoen ook aan de overige door de Algemene wet bestuursrecht gestelde eisen zodat de bezwaarschriften ontvankelijk zijn. ## 3Hoorzitting 1. Bluemay Enterprises N.V. is in de gelegenheid gesteld om de bezwaarschriften mou c ct o i icht da g z g et derhalve geen hoorzitting plaatsgevonden. 3. Naar aanleiding van de bezwaarschriften heeft de Adviescommissie bezwaarschriften van de Kansspelautoriteit (hierna: de commissie) een advies uitgebracht aan de raad. Dit advies dat bij deze beslissing op bezwaar is gevoegd, maakt hiervan integraal onderdeel uit. De commissie heeft geadviseerd om de bezwaren ongegrond te verklaren en de besluiten in stand te laten. ## OPENBAAR OPENBAAR &lt;!-- image --&gt; Kansspelautoriteit Datum 3 mei 2016 Ons kenmerk 9505/00.070.821 10074/00.070.822 4. Voor de motivering van deze beslissing op bezwaar wordt met betrekking tot: 2. de Wet op de Kansspelen niet van toepassing is op het aanbod verwezen naar de randnummers 31 tot en met 39 van het advies; 3. het onzorgvuldig stilzwijgen van de Kansspelautoriteit verwezen naar de randnummers 40 tot en met 42 van het advies; 4. dn n n van het advies en 5. de openbaarmaking verwezen naar de randnummers 49 tot en met 50 van het advies; 6. het o vr n en met 52. ## Besluit 4 De raad van bestuur van de Kansspelautoriteit: - a. stelt vast dat de commissie heeft geadviseerd om de bezwaren ongegrond te verklaren; - b. stelt vast dat het advies inhoudelijk concludent is en zorgvuldig tot stand is gekomen; - c. ziet geen reden om af te wijken van het advies; - d. verklaart de bezwaren ongegrond en handhaaft de besluiten, onder aanvulling van de motivering zoals weergegeven in het advies van de commissie; - e. verwijst overeenkomstig artikel 3:49 van de Algemene wet bestuursrecht voor de motivering van het besluit naar het uitgebrachte advies. 's-Gravenhage, 3 mei 2016 De raad van bestuur van de Kansspelautoriteit, w.g. J.J.H. Suyver Voorzitter ## OPENBAAR ## Beroep Tegen dit besluit kan een belanghebbende beroep instellen bij de sector bestuursrecht van de rechtbank Den Haag, Postbus 20302, 2500 EH Den Haag. He [...]</t>
  </si>
  <si>
    <t>KSA__https___kansspelautoriteit.nl_sites_default_files_besluit_op_bezwaar_redslots.txt::Rechtshandeling</t>
  </si>
  <si>
    <t>handhaaft [2801:2811]</t>
  </si>
  <si>
    <t>handhaaft [2801:2810]</t>
  </si>
  <si>
    <t>KSA__https___kansspelautoriteit.nl_sites_default_files_besluit_op_bezwaar_redslots.txt::Rechtsobject</t>
  </si>
  <si>
    <t>besluiten [2814:2823]</t>
  </si>
  <si>
    <t>KSA__https___kansspelautoriteit.nl_sites_default_files_besluit_tipico_openbaar.txt::Ontvanger</t>
  </si>
  <si>
    <t>KSA__https___kansspelautoriteit.nl_sites_default_files_besluit_tipico_openbaar.txt</t>
  </si>
  <si>
    <t>OPENBAAR
## Kansspelautoriteit
&lt;!-- image --&gt;
Besluit van de Raad van Bestuur van de Kansspelautoriteit als bedoeld in artikel 35a van de Wet op de kansspelen
Zaak:
97
Kenmerk:
7970 / 00.017.935
Openbaarmaking onder kenmerk: 7970 / 00.019.050
## Besluit
## Samenvatting
Call Internet City
In april 2012 is de Kansspelautoriteit opgericht. De kerntaken van de Kansspelautoriteit zin   a   n n   azn kansspelverslaving, het beschermen en informeren van consumenten en het voorkomen van aan kansspelen gerelateerde illegaliteit en criminaliteit.
In dit kader treedt de Kansspelautoriteit op tegen kansspelen zonder vergunning en tegen het aanbieden van speelmogelijkheden op niet toegelaten speelautomaten.
Onduidelijk is immers of de aanbieders van dergelijke kansspelen en de kansspelen zelf voldoende betrouwbaar zijn en of de (potentiële) speler voldoende beschermd wordt. Deze situatie is bijzonder onwenselijk.
De eigenaar van belwinkel/internetcafé Call Internet City heeft gelegenheid geboden tot het gokken op sportwedstrijden op een in de onderneming geplaatste computer, een zogenoemde gokzuil of voetbalzuil, die niet was voorzien van een voorgeschreven merkteken van toelating. Hij krijgt een boete van € 20.000,- voor het overtreden van de Wet op de kansspelen.
## OPENBAAR
## Inhoudsopgave
7
8
9
|   Samenvatting.... | Samenvatting....                                        |
|--------------------|---------------------------------------------------------|
|                  1 | Inleiding .. 3                                          |
|                  2 | Onderzoek internetcafé Call Internet City.              |
|                2.1 | Het onderzoek ..                                        |
|                2.2 | De betrokkene bij Call Internet City...                 |
|                  3 | Het rapport . 4                                         |
|                  4 | Zienswijze.. 5                                          |
|                  5 | Feitelijk kader.. 5                                     |
|                5.1 | Onderzoek gokzuil... 5                                  |
|                5.2 | Onderzoek digitale gegevens .. 6                        |
|                5.3 | Verklaring ....                                         |
|                5.4 | Samenvattend .                                          |
|                  6 | Juridische beoordeling .                                |
|                6.1 | Bevoegdheid van de Kansspelautoriteit....               |
|                6.2 | De wettelijke bepalingen..                              |
|                6.3 | De toelating van speelautomaten en de merktekens.. 8    |
|                6.4 | Geen toegelaten speelautomaat, geen merkteken . 9       |
|                6.5 | Conclusie ..                                            |
|                    | Bestuurlijke boete .. 10                                |
|                8.1 | Inleiding 10                                            |
|                8.2 | Verwijtbaarheid . .10                                   |
|                8.3 | Ernst en duur van de overtreding.... .11                |
|                8.4 | Boetevaststelling .12                                   |
|                8.5 | Boeteverhogende of boeteverlagende omstandigheden .. 12 |
|                8.6 | Toerekening . 12                                        |
|                    | Besluit.. .13                                           |
Kansspelautoriteit Datum 21 november 2013 Ons kenmerk 7970 / 00.019.050
## 1 Inleiding
1. De Kansspelautoriteit is belast met het toezicht op de naleving van het bepaalde in de Wet op de kansspelen (hierna: Wok). In de Wok is opgenomen een verbod ot   n -  ho - n  z e o voor het publiek toegankelijke plaatsen.
2. Een van de kerntaken van de Kansspelautoriteit is het reguleren van een passend legaal aanbod en het tegengaan van illegale praktijken en criminaliteit in de branche. Wie in Nederland wil deelnemen aan een kansspel moet dat kunnen doen in een betrouwbare omgeving.1
3. Onder deze kerntaak verstaat de Kansspelautoriteit ook het uitsluitend op de man n n en vn  d n  oen aanzien van (technische) betrouwbaarheid waarbij spelers niet kunnen worden benadeeld en illegale praktijken en criminaliteit worden tegen gegaan.
4. Het is de Kansspelautoriteit gebleken dat onder meer in horecagelegenheden in toenemende mate de mogelijkheid wordt geboden om te gokken op spon yven en   z vin wel az ds i d e a d : se iin ingericht en ingesteld om te kunnen wedden op sportwedstrijden en vaak voorzien zijn van randapparatuur zoals een ticketprinter.
5. Dergelijke automaten zijn niet toegelaten op de Nederlandse markt aangezien de (technische) betrouwbaarheid van de gebruikte apparatuur en de software niet kan worden gecontroleerd. Bovendien onttrekt dit ongereguleerde gokken zich aan elke financiële c.q. belastingtechnische verantwoording over inkomsten en uitgaven – waaronder de uitkering van gewonnen bedragen - en wordt er geen aandacht besteed aan het voorkomen van onmatig gokken en gokverslaving.
6. De Kansspelautoriteit heeft de aanpak van deze wijze van gokken tot prioriteit benoemd: In 2012 en 2013 ligt bij de bestrijding van illegaliteit de focus op: illegale kansspelen via internet; voetbalzuilen en vergelijkbare apparatuur voor het afsluiten van illegale weddenschappen op sportwedstrijden [.….].²
Jaarverslag van de Kansspelautoriteit 2012, pagina 14, te raadplegen via de website kansspelautoriteit.nl. ² Activiteitenplan van de Kansspelautoriteit 2012-2013, pagina 19, te raadplegen via de website kansspelautoriteit.nl.
Kansspelautoriteit Datum 21 november 2013 Ons kenmerk
7970 / 00.019.050
## 2 Onderzoek internetcafé Call Internet City
## 2.1 Het onderzoek
7. Op 9 november 2012 ontving de Kansspelautoriteit een melding van de gemeente Leeuwarden dat in belwinkel/internetcafé Call Internet City een speelautomaat zou zijn opgesteld.³
8. Op 20 december 2012 hebben toezichthouders van de Kansspelautoriteit een bezoek gebracht aan Call Internet City en een gokzuil aangetroffen. Daarop is over  n  t n zn n    t oe is de gokzuil onderzocht en is een verklaring opgenomen van de eigenaar van Call Internet City. Het onderzoek is weergegeven in hoofdstuk 5 van dit besluit.
## 2.2 De betrokkene bij Call Internet City
9. Call Internet City is een eenmanszaak gelegen aan de Tuinen 28 te Leeuwarden. Eigenaar van de eenmanszaak is de heer [...] ⁵.
10. Een eenmanszaak heeft geen rechtspersoonlijkheid (artikel 3, boek 2 van het Burgerlijk Wetboek). Het is een economische activiteit van de natuurlijke persoon die de onderneming drijft. Deze persoon, de eigenaar, is aansprakelijk voor het handelen van de onderneming.
## 3 Het rapport
11. Naar aanleiding van het aantreffen van de gokzuil op 20 december 2012 is ovn n  n   n v n n n n  d Algemene wet bestuursrecht.
12. He       r    r al Internet City. In het rapport wordt geconstateerd dat hij heeft gehandeld in strijd met artikel 30t, eerste lid, aanhef en onder c, van de Wok door een speelautomaat aanwezig te hebben op een plaats of inrichting als bedoeld in artikel 30b, eerste lid, aanhef en onder b, van de Wok (een voor het publiek toegankelijke plaats) die niet overeenstemt met een door de Kansspelautoriteit toee n   n  n n  n n n kel 30r, eerste lid, van de Wok.
3 Stuk 97/001.
Stuk 97/013.
Stuk 97/002.
Kansspelautoriteit Datum 21 november 2013 Ons kenmerk
7970 / 00.019.050
## 4 zienswijze
13. Bij brief van 16 september 2013 is de eigenaar van Call Internet City uitgenodigd om ter hoorzitting van 29 oktober 2013 zijn zienswijze te geven oveg  t t t t  t t r  ei een zienswijze te geven.
## Feitelijk 5 kader
## 5.1 Onderzoek gokzuil
14. Op 20 december 2012 hebben toezichthouders van de Kansspelautoriteit in belwinkel/internetcafé Call Internet City, een voor het publiek toegankelijke plaats, een computer aangetroffen. Op het beeldscherm van deze computer zagen de toezichthouders een website die wordt gebruikt om weddenschappen af te sluiten op sportwedstrijden.
15. Tijdens het bezoek op 20 december 2012 heeft een toezichthouder van de Kansspelautoriteit de computer nader onderzocht. De computer was voorzien van een beeldscherm en een muis. Ook bleek de computer via een ethernetkabel te zijn aangesloten op een ticketprinter en het internet.7
16. De aangetroffen computer is voor nader onderzoek overgebracht naar het kantoor van de Kansspelautoriteit. Uit dit nader onderzoek bleek dat de computer tijdens het opstarten rechtstreeks een internetverbinding tot stand bracht het webadres van Computer Betting Company (CBC) te Oostenrijk, een bedrijf dat sportweddenschappen aanbiedt. Getoond werd een menu met keuzemogelijkheden van op dat moment nog te spelen sportwedstrijden waarop een weddenschap kon worden afgesloten. Via de gebruikersinterface van de computer was het niet mogelijk om een ander programma te starten, bijvoorbeeld via een toegankelijk bureaublad in een Windowsomgeving. De computer was dan ook zodanig ingericht dat deze als doel had om via een internetverbinding deel te nemen aan kansspelen in de vorm van sportweddenschappen. Er was dus sprake van een gokzuil.
6 Stuk 97/007
8 Stuk 97/009
7 Stuk 97/004
Kansspelautoriteit Datum 21 november 2013 Ons kenmerk 7970 / 00.019.050
## 5.2 Onderzoek digitale gegevens
17. De logbestanden van de gokzuil zijn nader onderzocht.
18. Uit het onderzoek van de logbestanden bleek dat op deze gokzuil in de periode vann             van € 77.525,50 aan weddenschappen was afgesloten en dat in totaal € 61.329,03 moest worden uitbetaald. Het voor de organisator van de weddenschappen positieve resultaat in deze periode bedraagt derhalve € 16.196,47.9
## 5.3 Verklaring
19. Op 25 januari 2013 heeft de heer [..] verklaart eigenaar te zijn van de onderneming Call Internet City, een belwinkel/internetcafé. Verder verklaarde hij dat de gokzuil vanaf 15 oktober 2012 in zijn onderneming aanwezig was en dat hij hiervoor € 150,- per maand ontving van de persoon die de gokzuil heeft geplaatst. Ter ondersteuning van deze verklaring heeft de heer [..] een overeenkomst overhandigd die is gesloten met Primebet International Ltd., het bedrijf dat de gokzuil heeft geïnstalleerd.1º Tot slot heeft hij verklaard dat klanten die weddenschappen willen afsluiten hem daarvoor moeten betalen en dat hij geldprijzen tot ongeveer € 500,- zelf uitkeert. Bedragen daarboven worden uitgekeerd door de persoon die de gokzuil heeft geplaatst.11
## 5.4 Samenvattend
20. Samenvattend kan het volgende worden vastgesteld:
2. In belwinkel/internetcafé Call Internet City stond een gokzuil opgesteld.
3. De gokzuil was geïnstalleerd door Primebet International Ltd., waarmee de eigenaar van Call Internet City een overeenkomst heeft gesloten.
4. Per maand ontving de eigenaar van Call Internet City € 150,- voor de aanwezigheid van de gokzuil.
5. Op de gokzuil kon worden gewed op sportwedstrijden.
6. Uitbetaling van kleinere bedragen geschiedde door de eigenaar van Call 0 Internet City; voor uitbetaling van grotere bedragen werd contact opgenomen met de persoon die de gokzuil heeft geplaatst.
9Stuk 97/010
11 Stuk 97/011
10 Stuk 97/011/003
Kansspelautoriteit Datum 21 november 2013 Ons kenmerk
7970 / 00.019.050
## 6 Juridische beoordeling
## 6.1 Bevoegdheid van de Kansspelautoriteit
21. Ingevolge artikel 33b van de Wok is de Raad belast met het toezicht op de naleving van de toepasselijke wet- en regelgeving, alsmede de handhaving daarvan.
22. Op grond van artikel 35a van de Wok is de Raad bevoegd tot het opleggen van een bestuurlijke boete wegens overtreding van – onder meer - artikel 30t, eerste lid, van de Wok.
## 6.2 De wettelijke bepalingen
23. Artikel 30t, eerste lid, aanhef en onder c, van de Wok luidt: Het is verboden een of meer speelautomaten, die niet overeenstemmen met het door de raad van bestuur, bedoeld in artikel 33a, toegelaten model daarvan en die niet ten bewijze daarvan zijn voorzien van het ingevolge artikel 30r, eerste lid, met betrekking tot die toelating vastgestelde merkteken: c. aanwezig te hebben op plaatsen als bedoeld in artikel 30b, eerste lid.
2. 24.
3. Artikel 30r, eerste lid, van de Wok luidt: De raad van bestuur, bedoeld in artikel 33a, stelt met betrekking tot iedere toelating van een model de merktekens vast die ingevolge die toelating op Hpe  s  t t tn n  dde afgifte van merktekens en afschriften van de verklaring, houdende toelating.
25. Artikel 30b, eerste lid, van de Wok luidt: Het is verboden, behoudens het in deze Titel bepaalde, zonder vergunning van
de burgemeester een of meer kansspelautomaten aanwezig te hebben
- a. op of aan de openbare weg;
- b. op voor het publiek toegankelijke plaatsen;
- c. in niet voor het publiek toegankelijke inrichtingen, waarvoor ingevolge artikel 3 van de Drank- en Horecawet een vergunning voor de uitoefening van het horecabedrijf is vereist of waarvan de ondernemer inschrijfplichtig is bij het Bedrijfschap Horeca.
Kansspelautoriteit Datum 21 november 2013 Ons kenmerk
7970 / 00.019.050
Kansspelautoriteit Datum 21 november 2013 Ons kenmerk 7970 / 00.019.050
## 6.3 De toelating van speelautomaten en de merktekens
26. Bij de toelating van speelautomaten is van belang dat de automaat voorzien wordt van duidelijke, niet voor misverstand vatbare en niet misleidende informatie over het spelverloop en niet beïnvloedbaar is ten nadele van de speler, zie onder meer de artikelen 9, 10 en 12 van het Speelautomatenbesluit 2000.
27. Speelautomaten die op basis van deze vereisten worden toegelaten, worden als bewijs daarvan voorzien van een merkteken.
28. Bin  n  zen n n   n   en merkteken, is voor de speler niet gegarandeerd dat het spel eerlijk verloopt en de eventuele winsten uitbetaald worden.
29. Ingr   a a   r n  n   art 2011 geldt artikel 30t, eerste lid, van de Wok – en daarmee de hier geschetste achtergrond van deze bepaling, niet alleen voor fysieke speelautomaten (zoals de klassieke fruitautomaat) maar ook voor de virtuele versie van dergelijke ue   a    g dz zraae: Beslissend zijn m.i. de functionaliteit van de apparatuur en de daarmee in de cafetaria geboden mogelijkheden. Zolang met de internetzuil een fruitmachine werd gesimuleerd was de internetzuil in essentie een fruitmachine, met inbegrip van de faciliteit van directe uitbetaling van gokwinsten door medewerkers van de cafetaria.13
30. Het Gerechtshof Arnhem-Leeuwarden voegde hieraan toe: Het is echter de vraag of voor de uitleg van de begrippen speelautomaat, behendigheidsautomaat en kansspelautomaat uitsluitend de fysieke kenmerken van de apparatuur bepalend zijn. Bij een dergelijke benadering is het immers betrekkelijk eenvoudig om zich aan door de wetgever in het leven geroepen verplichtingen te onttrekken door een apparaat dat in feite de bestemming heeft om gebruikt te worden als kansspelautomaat zodanige fysieke kenmerken te geven dat er ogenschijnlijk geen sprake is van een kansspelautomaat. [.….] Een ruimere, meer functionele uitleg van de vermelde begrippen, waarbij mede gekeken wordt naar de functies die aan een apparaat in feite worden gegeven, ligt daarom meer voor de hand. Die benadering wordt ook ingegeven door het doel en de strekking van de WOK, de regeling van de kansspelen in Titel Va, in het bijzonder in verband met de
12 LJN ECLI:NL:HR:2010:BM3629 en conclusie Procureur-Generaal ECLI:NL:PHR:2010:BM3629, resp.
1313 Overweging 4.4.2 van ECLI: NL:PHR:2010:BM3629.
ECLI:NL:HR:2011:BP3968 en conclusie Procureur-Generaal ECLI:NL:PHR:2011:BP3968.
gestelde vergunningsvereisten. In een dergelijke uitleg is de bestemming die aa s  dt t s  t sa  d ad  die bestemming gericht op het (faciliteren van het) spelen van kansspelen, dan is sprake van een kansspelautomaat.14
## 6.4 Geen toegelaten speelautomaat, geen merkteken
31. Gelet op hetgeen hiervoor is overwogen was er bij Call Internet City een speelautomaat aanwezig die niet overeenstemt met een door de Raad toegelaten model en die niet was voorzien van een merkteken.
32. Voor speelautomaten als op internet aangesloten gokzuilen zal vooralsnog ook geen sprake kunnen zijn van toelating met een bijbehorend merkteken, aangezien niet kan worden voldaan aan de vereisten uit het Speelautomatenbesluit 2000, waaronder de vereisten die zien op het voorkomen van onmatig speelgedrag en gokverslaving (artikel 12 van het Speelautomatenbesluit 2000).15
## 6.5 Conclusie
33. Door het aanwezig hebben van een gokzuil (een niet toegelaten model speelautomaat die niet was voorzien van een bijbehorend merkteken) op een voor het publiek toegankelijke plaats, te weten een belwinkel/internetcafé, is artikel 30t, eerste lid, aanhef en onder c, van de Wok overtreden.
## 7Overtreder
34. De eenmanszaak Call Internet City te Leeuwarden wordt geëxploiteerd door de heer [..]. Hij is verantwoordelijk voor de gang van zaken in het internetcafé en alss i  r r r   r sdng De aanwezigheid van de gokzuil in zijn onderneming is aan hem toe te rekenen.
35. Derhalve is de eigenaar aan te merken als overtreder van artikel 30t, eerste lid, aanhef en onder c, van de Wok.
14 Hof Arnhem-Leeuwarden, 21 mei 2013, parketnummer 21-000176-11.
15 Nota van Toelichting, Stb 2000, 223, pagina 13. En op pagina 16: Naast voorschriften voor het tegengaan van n    en on o yn oen d ord odede financiële stromen met betrekking tot kansspelautomaten.
## 8 Bestuurlijke boete
## 8.1 Inleiding
36. De Raad is ingevolge artikel 35a van de Wok bevoegd een boete op te leggen van ten hoogste het bedrag van de zesde categorie (artikel 23 van het Wetboek van Strafrecht) of – indien dit meer is – 10% van de omzet in het boekjaar voorafgaand aan de beschikking.
37. Het bedrag van de zesde categorie bedraagt met ingang van 1 januari 2012 EUR 780.000,-.
38. Bij de vaststelling van de boete houdt de Raad rekening met de ernst van de overtreding en de mate waarin deze aan de overtreder kan worden verweten. Zo nodig houdt de Raad rekening met de omstandigheden waaronder de overtreding is gepleegd (artikel 5:46 van de Algemene wet bestuursrecht).
39. Ingevolge artikel 3.4, tweede lid, van de Algemene wet bestuursrecht neemt de Raad bij het bepalen van de hoogte van de boete het evenredigheidsbeginsel in acht. Op grond van deze bepaling mogen de voor één of meer belanghebbenden nadelige gevolgen van een besluit niet onevenredig zijn in verhouding tot de met het besluit te dienen doelen. Als algemene maatstaf geldt daarbij dat de hoogte van de boete zodanig dient te zijn dat deze de overtreder weerhoudt van nieuwe overtredingen (speciale preventie) en ook in algemene zin voor andere (potentiële) overtreders een afschrikkende werking heeft (generale preventie).
40. In de onderhavige zaak is de Raad van oordeel dat het passend is een boete op te leggen voor de overtreding van artikel 30t, eerste lid, aanhef en onder c, van de Wok.
## 8.2 Verwijtbaarheid
41. Naar het oordeel van de Raad is het de verantwoordelijkheid van de betreffende ondernemer om zich op de hoogte te stellen van de voor hem toepasselijke weten regelgeving en deze na te leven.
42. Dat de eigenaar niet op de hoogte was van de Wok en niet wist dat gokzuilen niet waren toegestaan acht de Raad niet aannemelijk. Maar wat hier van zij, de eien  r   r  er e  r ren op de mededelingen van de tussenpersoon dat "alles legaal was."16
16 Stuk 97/011/002, pag. 3.
## 8.3 Ernst en duur van de overtreding
43. De kansspelmarkt is geen gewone economische markt. Omdat financieel gewin knr  r sr s s  sz dr se deze markt extra gevoelig voor fraude, bedrog en verslaving waarvan de kansspelconsument de dupe kan worden.17
44. kan    g  ng on stot (grote) financiële problemen bij de speler en van groot effect zijn op diens omgeving. Bij ongereguleerd aanbieden van kansspelen is geen sprake van afdracht van de opbrengsten aan caritatieve, sportieve of culturele doelen, en worden bovendien geen heffingen en belastingen afgedragen. Daarmee hebben deze kansspelaanbieders een negatief effect op reguliere aanbieders – die wel opbrengsten afdragen en heffingen en belasting betalen - en hun financieel beheer daar op afstemmen. De opbrengst van een ongereguleerd kansspel kan eenvoudig worden aangewend voor individueel profijt,19 hetgeen de wijze waarop het kansspel wordt aangeboden, georganiseerd en gespeeld, kan beïnvloeden.
45. De positie van deelnemers aan ongereguleerde kansspelen is niet geregeld.2º Er is geen enkele garantie voor de deelnemer dat het spel op een eerlijke manier gespeeld wordt, het betalingsverkeer veilig verloopt en eventueel gewonnen prijzen ook daadwerkelijk worden uitgekeerd.21
46. In 1999 werd door het Europese Hof van Justitie hierover geoordeeld: Het Hof wees er voorts op, dat loterijen, wegens de grote bedragen die ermee kunnen worden ingezameld en de winsten die zij de deelnemers kunnen bieden, vooral wa         z rog en andere vormen van criminaliteit kunnen meebrengen. Zij zijn ook een aansporing tot geldverkwisting, hetgeen schadelijke gevolgen voor het individu en de samenleving kan hebben. Ten slotte, aldus het Hof, mag echter ook niet over het hoofd worden gezien - ofschoon dit op zich geen objectieve rechtvaardiging kan zijn —, dat loterijen in belangrijke mate kunnen bijdragen
17 Zesde voortgangsrapportage kansspelen, 27 januari 2009, pagina 6.
19 Zie het Europese Hof van Justitie, 24 maart 1994, zaak C-275/92, overweging 60. 20 Zie bijvoorbeeld: http://www.kansspelautoriteit.nl/kansspelen/risico'-kansspelen/. Zie ook LJN: AI0977, overweging 3.14: De Wet op de Kansspelen strekt tot bescherming van het publieke belang bij het inperken van fraude en van excessieve goklust. Zie ook LJN: AR4841, overweging 3.3.2, en LJN: BB8297, overweging 6.16.
1a   i    a n t and n   , d1 1t naar schatting 8,7 miljoen recreatieve spelers, 92.000 risicospelers en 20.300 probleemspelers (tabel 6.1). In 2005 ging het naar schatting om 9,6 miljoen recreatieve spelers, 55.000 risicospelers en 28.700 probleemspelers.
21 Rapport Aanpak bestrijding van kansspelen via internet, Ministerie van Justitie, 25 juli 2006.
7970 / 00.019.050
tot de financiering van onbaatzuchtige activiteiten of activiteiten in het algemeen belang, zoals maatschappelijk en caritatief werk, sport en cultuur.22
47. Zoals hiervoor is toegelicht worden speelautomaten als op internet aangesloten gokzuilen of voetbalzuilen niet toegelaten aangezien onvoldoende vorm kan wo   h n    n men van kansspelverslaving, het beschermen van de consument en het tegengaan van mogelijke fraude en criminaliteit.
48. De Raad kwalificeert het aanwezig hebben van niet tot toelating gemerkte speelautomaten, in casu voor het afsluiten van sportweddenschappen, als zeer ernstig.
49. De Raad stelt vast dat in de periode van 15 oktober 2012 tot en met 20 december 2012 in belwinkel/internetcafé Call Internet City op een niet tot toelating gemerkte speelautomaat (gokzuil) gelegenheid was tot het afsluiten van sportweddenschappen.
## 8.4 Boetevaststelling
50. Gelet op bovenstaande acht de Raad een boete van € 20.000,- passend en geboden.
## 8.5 Boeteverhogende of boeteverlagende omstandigheden
51. Er is niet gebleken van boeteverhogende of boeteverlagende omstandigheden.
## 8.6 Toerekening
52. De overtreding wordt toegerekend aan de eigenaar van belwinkel/internetcafé Call Internet City, de heer [...] te Leeuwarden.
2² C-124/97,overweging 13. Zie ook zaak C-275/92, de zgn. zaak Schindler, waarnaar het Hof in deze uitspraak verwijst, en dan met name overweging 60.
## 9 Besluit
De Raad van Bestuur van de Kansspelautoriteit:
- a. stelt vast dat de eigenaar van belwinkel/internetcafé Call Internet City, de heer [.…], een overtreding heeft begaan van artikel 30t, eerste lid, aanhef en onder c, van de Wok door het aanwezig hebben van een speelautomaat (gokzuil) van een niet toegelaten model en niet voorzien van een bijbehorend merkteken, op een voor het publiek toegankelijke plaats, te weten een belwinkel/internetcafé;
- b. legt aan de eigenaar een boete op van € 20.000,-.
's-Gravenhage, 21 november 2013
De Raad van Bestuur van de Kansspelautoriteit
w.g.
- J.J.H. Suyver
## Bezwaar
Tegen dit besluit kan degene wiens belang rechtstreeks bij dit besluit is betrokken, binnen zes weken na de dag van bekendmaking van dit besluit een gemotiveerd bezwaarschrift indienen bij de Kansspelautoriteit, afdeling Juridische Zaken en Communicatie, Postbus 298, 2501 CG Den Haag.
## Betaling boete
Boetes dienen binnen zes weken nadat het besluit op de in artikel 3:41 van de Algemene wet bestuursrecht voorgeschreven wijze bekend is gemaakt, te zijn betaald op bankrekeningnummer IBAN NL07ABNA0501634479 ten name van Kansspelautoriteit, Den Haag, Nederland, onder vermelding van het kenmerk van dit besluit. Na het verstrijken van deze termijn wordt de geldboete vermeerderd met de wettelijke rente.
7970 / 00.019.050</t>
  </si>
  <si>
    <t>Tipico Co. Ltd.</t>
  </si>
  <si>
    <t>tipico co. ltd</t>
  </si>
  <si>
    <t>Tipico Co. Ltd. [44584:44599]</t>
  </si>
  <si>
    <t>[...] ijzen of premies, waarbij de aanwijzing der winnaars geschiedt door enige kansbepaling waarop de deelnemers geen overwegende invloed kunnen uitoefenen, en waarvoor niet de vereiste vergunning is verleend; - b. legt aan Tipico Co. Ltd. een boete op van € 531.250,-. 's-Gravenhage, 7 september 2021, De raad van bestuur van de Kansspelautoriteit, w.g. drs. René J.P. Jansen Voorzitter ## Bezwaar Tegen dit besluit kan degene wiens belang [...]</t>
  </si>
  <si>
    <t>KSA__https___kansspelautoriteit.nl_sites_default_files_besluit_tipico_openbaar.txt::Besluitvormend Orgaan</t>
  </si>
  <si>
    <t>De raad van bestuur van de Kansspelautoriteit [44669:44714]</t>
  </si>
  <si>
    <t>OPENBAAR
Kansspelautoriteit Datum 3 december 2024 Ons kenmerk 18052/ 01.330.227
&lt;!-- image --&gt;
Besluit van de raad van bestuur van de Kansspelautoriteit als bedoeld in artikel 35a van de Wet op de Kansspelen
Zaak:
18052
Kenmerk:
18052/ 01.330.227
## Besluit
## 1 Inleiding
1. De raad van bestuur van de Kansspelautoriteit (hierna: de raad van bestuur) is belast met het toezicht op de naleving van het bepaalde bij of krachtens de Wet op de Kansspelen (hierna: Wok) en onderliggende regelgeving, waaronder het Besluit kansspelen op afstand (hierna: Bkoa).
2. In artikel 31k, tweede lid, van de Wok en artikel 4.12, eerste en tweede lid, van het Bkoa is vastgelegd welke gegevens een aanbieder van online kansspelen moet controleren, voordat hij overgaat tot het inschrijven van een speler. Daarbij is onder meer vastgelegd dat en hoe gecontroleerd moet worden of een speler is ingeschreven in het Centraal register uitsluiting kansspelen (hierna: Cruks)
3. Optdeck Service Limited (hierna: Optdeck) heeft in de periode van 22 november 2022 tot en met 30 januari 2023 spelers ingeschreven zonder sluitend en deugdelijk te controleren of zij waren geregistreerd in Cruks. Dit is een overtreding van artikel 31k, tweede lid, van de Wok en artikel 4.12, tweede lid, van het Bkoa. Deze overtreding wordt aan Optdeck toegerekend.
4. De raad van bestuur legt een boete op van € 400.000, -.
5. De raad van bestuur zet dit besluit hieronder nader uiteen.
## 2 Onderzoek
## 2.1 Signaal en opvolging
6. De Kansspelautoriteit heeft op 28 juni 2023 een signaal ontvangen van een speler dat hij zich, ondanks een inschrijving in Cruks, in november 2022 heeft
&lt;!-- image --&gt;
Kansspelautoriteit Datum 3 december 2024 Ons kenmerk 18052/ 01.330.227
kunnen inschrijven bij www.unibet.nl (hierna: Unibet) en erna meermaals kon deelnemen aan kansspelen bij Unibet. De klacht die de speler hierover bij Optdeck heeft ingediend, is vervolgens niet correct afgehandeld, aldus de speler.
7. Per e-mail van 21 augustus 2023 hebben toezichthouders van de Kansspelautoriteit (hierna: de toezichthouders) informatie gevorderd van Optdeck over zowel de afhandeling van de klacht van de speler, als het verloop van het inschrijvings- en aanmeldproces.
8. Op 30 augustus 2023 heeft Optdeck een incident gemeld bij de Kansspelautoriteit. In deze melding heeft Optdeck omschreven dat een aantal spelers ondanks een registratie in Cruks zich heeft kunnen inschrijven en spelen bij Unibet.
9. Op 4 september 2023 heeft Optdeck gereageerd op de vordering van 21 augustus 2023. In die brief heeft Optdeck uiteengezet hoe haar registratieproces er normaliter uit ziet en dat zij in het vierde kwartaal van 2022 daarvan is afgeweken. Deze handelswijze heeft ertoe geleid dat spelers die waren geregistreerd in Cruks, toch zijn ingeschreven en konden spelen via Unibet. Optdeck heeft verder toegelicht hoe de klacht van de speler is afgehandeld.
10. Op 27 september en 2 november 2023 heeft Optdeck meer informatie naar de Kansspelautoriteit gestuurd. In deze brieven heeft Optdeck laten weten dat het om meer spelers ging dan zij eerder had gemeld.
11. Op 10 november 2023 heeft de Kansspelautoriteit opnieuw informatie gevorderd van Optdeck over het gebruikte registratieproces, de reden voor de wijziging in werkwijze en de reden om daar weer mee te stoppen, en de huidige werkwijze.
12. Op 23 november 2023 heeft Optdeck gereageerd op de vordering van 10 november 2023. Daarin heeft zij, kort samengevat, laten weten dat het WK Voetbal 2022 (hierna: het WK 2022) zorgde voor een toename in het aantal spelers en foutmeldingen bij raadpleging van Cruks. Om die piek te kunnen verwerken heeft zij in de bewuste periode spelers met een Burgerservicenummer (hierna: BSN) die bij registratie een foutmelding kregen van Cruks, laten inschrijven zonder hun BSN te gebruiken bij het bevragen van Cruks. Met deze werkwijze is Optdeck gestopt toen er signalen kwamen dat spelers die geregistreerd waren in Cruks op deze manier toch ingeschreven konden worden.
13. Op 18 december 2023 heeft de Kansspelautoriteit Optdeck laten weten dat zij een rapport van bevindingen op zou gaan stellen.
14. Op 20 maart 2024 heeft de Kansspelautoriteit opnieuw informatie gevorderd van Optdeck.
&lt;!-- image --&gt;
15. Op 3 april 2024 heeft Optdeck gereageerd op de vordering van 20 maart 2024. Daarbij heeft ze gegevens geüpload van 15 spelers die in de periode van 22 november 2022 tot en met 30 januari 2023 zijn ingeschreven en meermaals aangemeld, terwijl zij op dat moment in Cruks waren geregistreerd.
## 2.2 De betrokkenen
16. Optdeck Service Limited is gevestigd aan de Tigne Point, Level 6, The Centre, Sliema, Malta. Zij is houder van een vergunning voor het organiseren van kansspelen op afstand, als bedoeld in artikel 31a van de Wok. Bij besluit van 7 juni 2022 heeft de raad van bestuur aan Optdeck deze vergunning verleend voor de periode van 8 juni 2022 tot en met 7 juni 2027. 1  Optdeck biedt kansspelen aan via Unibet.
## 3 Rapport
17. De toezichthouders hebben op grond van de resultaten van het onder paragraaf 2.1 genoemde onderzoek op 25 juni 2024 een rapport opgesteld. In het rapport is geconstateerd dat Optdeck in de periode van periode van 22 november 2022 tot en met 30 januari 2023 artikel 31k, tweede lid, van de Wok en artikel 4.12, tweede lid, van het Bkoa, heeft overtreden.
18. Optdeck heeft gedurende deze periode spelers ingeschreven en toegelaten tot de speelomgeving van Unibet, terwijl de procedure om vast te stellen of deze spelers op dat moment waren geregistreerd in Cruks, niet sluitend en ondeugdelijk was. Dit heeft zich bij 3.020 afzonderlijke spelers voorgedaan, waarbij in 15 gevallen is vastgesteld dat de speler daadwerkelijk was geregistreerd in Cruks. 2
19. Het rapport is met de bijbehorende stukken verzonden naar het adres en het e-mailadres van Optdeck.
## 4 Zienswijze
## 4.1 Procedure
1  Onder kenmerk 1730/01.267.175.
2  Zie blz. 10 respectievelijk blz. 8 van het onderzoeksrapport van 25 juni 2024, met kenmerk 01.307.561.
&lt;!-- image --&gt;
20. Optdeck is per brief van 28 juni 2024 uitgenodigd voor een hoorzitting op 16 juli 2024. Op verzoek van Optdeck is de hoorzitting verschoven naar 12 september 2024.
21. Per email van 30 augustus 2024 heeft Optdeck een schriftelijke zienswijze op het onderzoeksrapport ingediend.
22. Op 12 september 2024 heeft Optdeck haar zienswijze mondeling toegelicht tijdens een hoorzitting als bedoeld in artikelen 4:8 en 5:50 van de Algemene wet bestuursrecht (hierna: Awb). Van deze hoorzitting is een verslag gemaakt dat op 16 september 2024 aan Optdeck is gestuurd.
23. Optdeck heeft op 26 september 2024 gereageerd op het verslag.
## 4.2 Inhoud zienswijze
24. De raad van bestuur constateert dat Optdeck in haar zienswijze de feiten niet heeft betwist.
25. In haar zienswijze heeft Optdeck toegelicht dat op twee verschillende manieren bij inschrijving van een speler kan worden gecontroleerd of deze speler in Cruks is ingeschreven. Dat kan via een set gegevens mèt BSN of via een set gegevens zonder BSN. Beide manieren vergen een eigen Application Programming Interface (hierna: API), waarmee Cruks door een aanbieder zoals Optdeck kan worden bevraagd. Volgens Optdeck werd zij in de bewuste periode geconfronteerd met een toenemend aantal foutmeldingen bij raadpleging van Cruks. Deze foutmeldingen deden zich voor wanneer Optdeck controleerde aan de hand van een set gegevens mèt BSN, via de daartoe bestemde API 'ConsultBSNRequest' . Optdeck is vanwege de foutmeldingen overgegaan tot controle aan de hand van gegevens zonder BSN, ook bij spelers die wel over een BSN beschikten, via een -niet langer in gebruik zijnde -API 'ConsultDocumentRequest' . Door spelers te controleren aan de hand van deze laatste API nam het aantal foutmeldingen af.
26. Samengevat stelt Optdeck primair dat zij geen overtreding heeft begaan. De Wok verplicht niet tot controle van Cruks aan de hand van een BSN. Optdeck heeft bovendien steeds gecontroleerd of een speler was geregistreerd in Cruks. Alleen als zij geen ' hit ' uit het register ontving, is zij overgegaan tot inschrijving. Daarmee heeft Optdeck naar beste weten en kunnen vastgesteld dat een speler niet was geregistreerd en daarmee heeft zij voldaan aan haar wettelijke verplichtingen als bedoeld in artikel 31k, tweede lid, aanhef en onder b, van de Wok en artikel 4.12, eerste en tweede lid van het Bkoa.
&lt;!-- image --&gt;
Kansspelautoriteit
Datum
3 december 2024
Ons kenmerk
18052/ 01.330.227
27. Subsidiair stelt Optdeck dat de overtreding haar niet kan worden verweten. Dat de invoer zonder BSN ertoe kon leiden dat de informatie uit Cruks niet betrouwbaar was, was Optdeck niet bekend en betekent in feite dat Cruks niet correct functioneert. Optdeck heeft bovendien direct maatregelen getroffen toen bleek dat zij mogelijk spelers had ingeschreven terwijl zij geregistreerd waren in Cruks. Gezien hetgeen bepaald in artikel 5:41 van de Awb en in lijn met jurisprudentie zou de raad van bestuur moeten afzien van het opleggen van een boete aan Optdeck.
28. Tot slot stelt Optdeck dat het opleggen van een boete in strijd zou zijn met de algemene beginselen van behoorlijk bestuur, in het bijzonder het legaliteitsbeginsel, het rechtszekerheidsbeginsel en het evenredigheidsbeginsel. In dat verband voert Optdeck aan dat de uitleg die de Kansspelautoriteit geeft aan artikel 31k, tweede lid, aanhef en onder b, van de Wok en artikel 4.12, eerste en tweede lid van het Bkoa, niet juist is. Verder voert Optdeck aan dat de Kansspelautoriteit beide inschrijvingsprocedures akkoord heeft bevonden toen de vergunning werd verleend en dat zij erop mocht vertrouwen dat de informatie uit Cruks juist is. Een boete is bovendien niet evenredig, gezien het feit dat Cruks niet juist functioneert. Optdeck zou hard worden getroffen door een eventuele boete, aldus Optdeck.
## 5 Juridische beoordeling
## 5.1 De wettelijke bepalingen
29. In artikel 31k, eerste lid van de Wok is vastgelegd dat de houder van een vergunning tot het organiseren van kansspelen op afstand een persoon die niet bij hem als speler is ingeschreven en aangemeld, geen kansspelen op afstand aanbiedt.
2. In het tweede lid, aanhef en onder b, van voornoemd artikel is vastgelegd dat de vergunninghouder een persoon niet inschrijft als speler, dan nadat de identiteit van die persoon is vastgesteld en is vastgesteld dat die persoon niet is opgenomen in Cruks.
3. In het vierde lid van voornoemd artikel is vastgelegd dat de vergunninghouder bij de uitvoering van de voorgaande leden gebruik kan maken van het BSN. In het vijfde lid van voornoemd artikel is vastgelegd dat bij of krachtens algemene maatregel van bestuur nadere regels worden gesteld met betrekking tot de inschrijving en aanmelding als speler.
4. Het Bkoa is de algemene maatregel van bestuur waarnaar verwezen wordt in
30. artikel 31k, vijfde lid, van de Wok.
6. In artikel 4.12, eerste lid, van het Bkoa is vastgelegd dat de vergunninghouder
&lt;!-- image --&gt;
Kansspelautoriteit Datum 3 december 2024 Ons kenmerk 18052/ 01.330.227
een persoon slechts inschrijft na raadpleging van Cruks. In het tweede lid van dit artikel, is vastgelegd dat raadpleging van het register geschiedt aan de hand van de naam, de voornamen, de geboortedatum en de geboorteplaats van de betrokken persoon, alsmede, voor zover die persoon daarover beschikt, diens burgerservicenummer, zoals die zijn opgenomen op het identiteitsdocument van die persoon.
## 5.2 Beoordeling van de zienswijze
## 5.2.1 Controle aan de hand van BSN is verplicht
## Wettelijk kader is helder
31. In artikel 31k, vierde lid, van de Wok is bepaald dat de vergunninghouder bij de inschrijving of aanmelding van een speler gebruik kan maken van het BSN. Door het gebruik van het woord 'kan', in combinatie met de parlementaire geschiedenis bij deze bepaling, meent Optdeck dat het voor een vergunninghouder optioneel is om te controleren aan de hand van het BSN.
32. Met deze lezing gaat Optdeck in zijn geheel voorbij aan artikel 4.12, tweede lid, van het Bkoa. In deze bepaling is immers vastgelegd dat wanneer een persoon beschikt over een BSN, raadpleging van Cruks geschiedt aan de hand van -onder meer -het BSN. Daarbij is geen sprake van strijd tussen artikel 31k, vierde lid, van de Wok enerzijds en artikel 4.12, tweede lid, van het Bkoa anderzijds. Laatstgenoemde is simpelweg een uitwerking van eerstgenoemde. 3
33. In dit verband wordt verder gewezen op de totstandkomingsgeschiedenis van de Wok en in het bijzonder artikel 31k van de Wok:
' Om een effectief en efficiënt centraal register in te richten, is het noodzakelijk dat de gegevenskwaliteit van het register voldoende is. Opname in het register en toetsing hiertegen vindt daarom plaats op basis van het Burgerservicenummer (BSN). […] Hoge gegevenskwaliteit is essentieel voor de effectiviteit van het register. Het gebruik van het BSN is hiervoor een belangrijk middel. Voorkomen moet worden dat spelers die zijn ingeschreven in het centraal register aan de meer risicovolle kansspelen kunnen deelnemen en nietingeschreven personen ten onrechte van deelname worden uitgesloten. Op dit moment is geen ander minder vergaand middel beschikbaar om een voldoende hoge gegevenskwaliteit en voldoende betrouwbaarheid van gegevens te bewerkstelligen. Weliswaar kan een slechts tot één uniek persoon te herleiden identiteit worden vastgesteld door verschillende persoonsgegevens met elkaar te combineren, maar hierbij is de kans op fouten groter. ' 4
3  Zie TK 2013-2014, 33 996, nr. 3, blz. 106.
4  TK, 2013-2014, 33 996, nr. 3, blz. 53 en blz. 108.
&lt;!-- image --&gt;
Kansspelautoriteit Datum 3 december 2024 Ons kenmerk 18052/ 01.330.227
' Aangezien de vergunninghouder personen die zijn opgenomen in het centraal register uitsluiting kansspelen (artikel 33h) niet als speler mag inschrijven en dat register in het belang van de gegevenskwaliteit door hem wordt geraadpleegd aan de hand van het burgerservicenummer van de betrokkene, wordt bij de inschrijving ook dat burgerservicenummer verlangd. Indien de betrokkene daar niet over beschikt, kan het register aan de hand van andere persoonsgegevens worden geraadpleegd. ' 5
34. Het is aldus volstrekt helder dat de Wok en het Bkoa voorschrijven dat wanneer een persoon beschikt over een BSN, raadpleging in Cruks te allen tijde moet geschieden aan de hand van dat BSN.
35. Dat in artikel 31k, vierde lid, van de Wok het woord 'kan' wordt gebruikt, is overigens logisch. De wetgever was immers verplicht een grondslag te creëren voor het gebruik van het BSN. 6  Daarnaast beschikt niet iedereen binnen Nederland over een BSN. Voor personen zonder BSN is daarom de mogelijkheid gecreëerd om Cruks te raadplegen zonder BSN.
## Communicatie eveneens helder
36. Ook anderszins kon en kan geen misverstand bestaan over de verplichting om, wanneer een persoon beschikt over een BSN, Cruks te allen tijde te raadplegen aan de hand van dat BSN.
37. De raad van bestuur wijst in dat verband op de e-mail van 16 november 2021. In dit bericht staat het volgende:
' U bent verplicht om naar het BSN van de spelers te vragen. Dit geldt zowel bij spelers met een Nederlands identiteitsbewijs als met een buitenlands identiteitsbewijs of vreemdelingendocument. Bijna iedereen die langdurig in Nederland verblijft, heeft namelijk een BSN. Als een speler beschikt over een BSN, moet uw eerste raadpleging van Cruks op basis daarvan plaatsvinden.
Blijkt bij uw navraag dat een speler écht niet over een BSN beschikt? Bijvoorbeeld omdat het om een buitenlandse toerist gaat? Alleen dan vindt uw raadpleging van Cruks plaats zonder BSN controle.
Controleer vandaag nog of uw organisatie werkt zoals hierboven beschreven. Is dit niet het geval? Dan zult u meteen maatregelen moeten nemen. Zoals aanpassingen in uw aanmeldproces en/of de instructies aan uw personeel en/of uw software.
5  TK, 2013-2014, 33 996, nr. 3, blz. 107.
6  Zie TK 2013-2014, 33 996, nr. 3, blz. 74.
&lt;!-- image --&gt;
De Ksa vertrouwt op uw medewerking in deze, maar kan als u geen gehoor geeft aan deze oproep uiteindelijk handhavend optreden. ' 7
38. Ook deze tekst laat aan duidelijkheid niets te wensen over: bij spelers met een BSN moet gecontroleerd worden aan de hand van het BSN. Dit bericht is aan verschillende partijen gestuurd, waaronder Optdeck en Optdeck betwist ook niet dat zij het bericht heeft ontvangen. Dat Optdeck eerst op 8 juni 2022 een KOA-vergunning heeft gekregen, maakt niet dat zij geen kennis zou hebben kunnen of hoeven nemen van dit bericht nu aan de daarin genoemde verplichting niets is veranderd na het verzenden van dit bericht en Optdeck als vergunninghouder bovendien aan deze verplichting gebonden is.
39. De raad van bestuur wijst tot slot op de informatie die op de website van de Kansspelautoriteit staat. 8  Ook daar is duidelijk vermeld dat alleen als een speler niet beschikt over een BSN, zijn of haar gegevens gecontroleerd kunnen worden zonder BSN.
## 5.2.2 Controleren zonder BSN is een overtreding
Overtreding staat vast
40. Optdeck stelt dat zij geen overtreding heeft begaan, omdat zij steeds heeft gecontroleerd of een speler was geregistreerd in Cruks. Bij spelers die beschikken over een BSN, controleerde zij eerst aan de hand van het BSN en daarna, als aanvullende controle, zonder BSN. P as als er geen 'hit' kwam uit Cruks, schreef zij de speler in, aldus Optdeck.
41. Met het voorgaande doet Optdeck geen recht aan hetgeen bepaald in artikel 31k, vierde lid, van de Wok en artikel 4.12, tweede lid, van het Bkoa. Zoals hiervoor omschreven, vergen die bepalingen dat aanbieders bij spelers met een BSN altijd een controle aan de hand van het BSN uitvoeren. Controleren zonder BSN is daarbij geen optie, zo volgt duidelijk uit zowel artikel 4.12, tweede lid, van het Bkoa, als uit alle aanvullende communicatie die hierover heeft plaatsgevonden.
42. In paragraaf 5.2.1 is uitvoerig omschreven dat controle aan de hand van het BSN bij spelers met een BSN verplicht is. Nu de door Optdeck gehanteerde procedure daar niet aan voldeed, mocht en kon Optdeck reeds daarom niet menen dat haar procedure sluitend was.
Geen 'hit' is niet relevant Kansspelautoriteit Datum 3 december 2024 Ons kenmerk 18052/ 01.330.227
7  Kenmerk 01.310.369.
8  Zie https://kansspelautoriteit.nl/voor-zakelijke-aanbieders/uitsluitregister/speler-checken-cruks/.
&lt;!-- image --&gt;
43. Dat Optdeck geen 'hit' kreeg uit Cruks, ongeacht of zij direct of aanvullend controleerde zonder BSN, maakt het voorgaande niet anders. De enige oorzaak voor het achterwege blijven van een 'hit' bij de getroffen groep spelers is immers de onjuiste procedure die is uitgevoerd door Optdeck. Elke aanbieder heeft de verplichting èn verantwoordelijkheid om Cruks op een juiste wijze te raadplegen. Optdeck heeft hier niet aan voldaan en daardoor is geen hit uit Cruks verkregen. Deze melding kreeg zij overigens ook in meerdere gevallen waarin de desbetreffende speler wel degelijk ingeschreven was in Cruks.
## Advies Netcompany
44. De alternatieve procedure van Optdeck druist verder in tegen het advies van Netcompany. Immers, vanuit Netcompany werd geadviseerd, naar Optdeck stelt, de controles mèt BSN opnieuw uit te voeren. 9  Nu Optdeck willens en wetens dit advies naast zich heeft neergelegd, kon en mocht zij ook op basis van die handelswijze er niet op vertrouwen dat haar alternatieve procedure sluitend was.
45. Over deze alternatieve procedure heeft Optdeck overigens ook nimmer overleg gevoerd met de Ksa. De Ksa is pas na de melding van de speler op 28 juni 2023 op de hoogte geraakt van de werkwijze van Optdeck tijdens het WK 2022. Optdeck zelf heeft eerst op 30 augustus 2023 een melding gedaan.
## 5.2.3 Overtreding kan Optdeck worden tegengeworpen
## Functioneren Cruks staat niet ter discussie
46. Optdeck heeft meermaals gewezen op een -naar gesteld -groot aantal foutmeldingen. Deze foutmeldingen duiden erop dat Cruks niet naar behoren functioneert. Dat volgt ook uit het advies van Netcompany waarin werd gesignaleerd dat er storingen bij Beheersvoorziening BSN dan wel de Rijksdienst voor Identiteitsgegevens aan de foutmeldingen ten grondslag lagen. Uitsluitend vanwege die foutmeldingen is Optdeck gekomen tot haar alternatieve werkwijze, aldus Optdeck.
47. Of Cruks al dan niet naar behoren functioneert, is niet van belang bij het beantwoorden van de vraag of in dit geval sprake is van een overtreding. Zoals hiervoor reeds uiteengezet, is iedere aanbieder van online kansspelen verplicht om controles in Cruks uit te voeren aan de hand van het BSN bij spelers met een BSN. De norm in artikel 4.12, tweede lid, van het Bkoa is dus glashelder en daarin is geen ruimte gelaten om factoren zoals het algemene functioneren van Cruks mee te wegen.
48. Optdeck heeft overigens niet inzichtelijk gemaakt om hoeveel foutmeldingen het concreet ging in relatie tot het totaal aantal inschrijvingen over een specifieke
9  Zie de brief van Optdeck van 4 september 2023, met kenmerk 01.296.766.
&lt;!-- image --&gt;
periode of waar deze foutmeldingen door veroorzaakt werden. Zij heeft slechts in algemene termen gesteld dat Cruks niet naar behoren functioneert. Indien Optdeck van mening was dat zich een storing in Cruks voordeed, dan had zij zich kunnen en moeten melden bij de Kansspelautoriteit. Dat heeft zij ten tijde van belang nagelaten. Daarnaast heeft Optdeck zich ten tijde van belang of naderhand niet gemeld bij de Kansspelautoriteit met de door haar gehanteerde, afwijkende procedure. Ook om die reden meent de raad van bestuur dat de stellingen van Optdeck op dit punt niet slagen.
49. Optdeck verwijst tot slot in haar schriftelijke zienswijze naar artikel 11, zesde lid, van het Besluit werving, reclame en verslavingspreventie kansspelen (hierna: Bwrvk). Deze bepaling ziet op aanbieders van landgebonden kansspelen. Voor aanbieders van online kansspelen is een voorziening getroffen in artikel 4.18, derde lid, van het Bkoa, voor zover het gaat om aanmeldingen van (reeds bij de aanbieder ingeschreven) spelers. Van een situatie als bedoeld in artikel 4.18, derde lid, van het Bkoa, is bovendien geen sprake nu zich ten tijde van belang geen technische storingen hebben voorgedaan.
50. Kansspelen op afstand hebben bijzondere risico's. 10  Zij zijn laagdrempelig, hebben een (zeer) hoog speeltempo en er ontbreekt fysiek contact tussen de aanbieder en de speler. Als gevolg van kansspelverslaving kunnen zich naast financiële, onder meer ook ernstige psychische, sociale en lichamelijke problemen voor doen, zoals agressie, arbeidsproblemen, relatieproblemen en criminaliteit. Het register biedt een effectieve mogelijkheid om risico- en probleemspelers te beschermen tegen kansspelverslaving. Met een inschrijving kunnen spelers voldoende afstand behouden tot zulke risicovolle kansspelen en hun daadwerkelijke speelgedrag onder controle houden. Alleen als een vergunninghouder bij iedere inschrijving en aanmelding van een speler het register op de juiste wijze raadpleegt en inschrijvingen en aanmeldingen slechts toestaat als die speler niet in het register is ingeschreven, kan voorkomen worden dat een ingeschreven speler deelneemt en kan het belang van kansspelverslavingspreventie worden gewaarborgd. Optdeck heeft dat belang ondermijnd door inschrijvingen van spelers toe te staan zonder het register op juiste wijze te raadplegen. Financiële compensatie kan daar niets aan afdoen.
## 5.2.4 Geen strijd met enig algemeen beginsel van behoorlijk bestuur
51. Voor zover Optdeck meent dat het opleggen van een boete in strijd zou zijn met enig algemeen beginsel van behoorlijk bestuur, overweegt de raad van bestuur als volgt.
10 Kamerstukken II , 2013/14, 33996, nr. 3 ( MvT ), p. 6-7, 12.
&lt;!-- image --&gt;
## Geen strijd met legaliteits- of rechtszekerheidsbeginsel
52. Zoals hiervoor al uitvoerig beschreven, is de raad van bestuur van mening dat de wet- en regelgeving op dit punt glashelder is. Van strijd met het legaliteitsbeginsel of het rechtszekerheidsbeginsel kan daarom geen sprake zijn. Daarbij is Optdeck bovendien op verschillende manieren nogmaals geattendeerd op de wijze waarop controle in Cruks plaats moet vinden. Zie randnummers 30-37.
53. Dat Optdeck in haar vergunningaanvraag heeft beschreven dat controle aan de hand van het BSN of andere gegevens plaats kan vinden, maakt het voorgaande niet anders. Ten eerste doet een vergunningaanvraag niet af aan de eigen verantwoordelijkheid van iedere aanbieder om overeenkomstig de Wok en onderliggende regelgeving te handelen en te blijven handelen. Ten tweede is het, zoals hiervoor reeds uiteengezet onder randnummer 33 mogelijk dat spelers géén BSN-nummer hebben en uitsluitend om die reden kan afgeweken worden van de regel dat controle aan de hand van (onder meer) het BSN dient plaats te vinden. Dat een vergunninghouder zonder BSN kan controleren of een speler zonder BSN is ingeschreven in Cruks en deze procedure heeft beschreven in zijn vergunningaanvraag, is dientengevolge niet meer dan logisch.
## Geen strijd met evenredigheidsbeginsel
54. Onder verwijzing naar de uitspraak van de Afdeling Bestuursrechtspraak van de Raad van State van 2 februari 2022 meent Optdeck dat het opleggen van een boete niet evenredig zou zijn. 11
55. In de desbetreffende uitspraak heeft de Afdeling overwogen dat noodzakelijkheid, geschiktheid en de evenwichtigheid van belang kunnen zijn bij de toetsing aan artikel 3:4, tweede lid, van de Awb, waarin het evenredigheidsbeginsel is neergelegd. 12  Optdeck stelt dat het opleggen van een boete niet geschikt of noodzakelijk is omdat zij steeds naar beste kunnen heeft gehandeld. Verder zou het opleggen van een sanctie niet evenwichtig zijn vanwege het functioneren van Cruks en de nadelige gevolgen van een boete voor Optdeck.
56. De raad van bestuur stelt vast dat de toets ten aanzien van het opleggen van een bestuurlijke boete al langer op de wijze, zoals hierna in voorzien, wordt uitgevoerd en dat de door Optdeck aangehaalde uitspraak dit niet anders maakt. Ten aanzien van de geschiktheid en noodzakelijkheid merkt de raad van bestuur op dat hij op grond van artikel 35a van de Wok bevoegd is tot het opleggen van een boete wegens overtreding van artikel 31k, tweede lid, van de Wok en artikel
11  ECLI:NL:RVS:2022:285 (Harderwijk).
12  Zie r.o. 7.8.
Kansspelautoriteit Datum 3 december 2024 Ons kenmerk 18052/ 01.330.227
&lt;!-- image --&gt;
- 4.12, tweede lid, van het Bkoa. De raad van bestuur heeft vervolgens beleidsruimte bij het opleggen van een boete. Het enkele feit dat ook een andere maatregel opgelegd zou kunnen worden, maakt niet dat niet gekozen zou kunnen worden voor een boete. Gezien de ernst van de overtreding en de mate van verwijtbaarheid, zoals omschreven in paragrafen 7.2 en 7.3 van dit besluit, is het opleggen van een boete in dit geval naar het oordeel van de raad van bestuur passend en geboden.
57. Dat er voor een overtreder nadelige gevolgen aan een boete kunnen zitten, is evident en tot op zekere hoogte zelfs beoogd. De raad van bestuur wijst in dat verband op artikel 5:2, eerste lid, aanhef en onder a, van de Awb. Dat Optdeck reputatieschade zou kunnen ondervinden, of last zou kunnen krijgen van spelers die vaker klagen, maakt niet dat de gevolgen van een boete voor haar dusdanig nadelig zouden zijn, dat daarom van een boete zou moeten worden afgezien. Optdeck heeft haar stellingen hierover ook niet onderbouwd. Er is evenmin reden om het functioneren van Cruks in deze afweging te betrekken nu Optdeck ook op dat punt blijft hangen in algemeenheden en de raad van bestuur het door Optdeck geschetste beeld niet herkent. De raad van bestuur meent dan ook dat het opleggen van een boete in dit geval evenwichtig is.
## 6 Overtreder
58. De Kansspelautoriteit heeft aan Optdeck een vergunning tot het organiseren van kansspelen op afstand verleend. Optdeck biedt kansspelen op afstand aan via de website www.unibet.nl en via verschillende apps. Optdeck was in de periode van 22 november 2022 tot en met 30 januari 2023 verantwoordelijk voor het inschrijven van spelers zonder sluitend en deugdelijk te controleren of zij waren geregistreerd in Cruks. Gelet hierop concludeert de raad van bestuur dat Optdeck artikel 31k, tweede lid, van de Wok en artikel 4.12, tweede lid, van het Bkoa heeft overtreden.
## 7 Bestuurlijke boete
## 7.1 Algemeen
59. De Kansspelautoriteit is op grond van artikel 35a van de Wok bevoegd een boete op te leggen voor deze overtreding en stelt zich in deze op het standpunt dat een bestuurlijke boete recht doet aan de overtreding.
&lt;!-- image --&gt;
60. Bij de vaststelling van de boete houdt de Kansspelautoriteit op grond van artikel 5:46, tweede lid, van de Awb rekening met de ernst van de overtreding en de mate waarin deze aan de overtreder kan worden verweten. Zo nodig houdt de Kansspelautoriteit rekening met de omstandigheden waaronder de overtreding is gepleegd.
61. Op grond van artikel 3:4, tweede lid, van de Awb neemt de Kansspelautoriteit bij het bepalen van de hoogte van de boete het evenredigheidsbeginsel in acht. Op grond van deze bepaling mogen de voor één of meer belanghebbenden nadelige gevolgen van een besluit niet onevenredig zijn in verhouding tot de met het besluit te dienen doelen. Als algemene maatstaf geldt daarbij dat de hoogte van de boete zodanig dient te zijn dat deze de overtreder weerhoudt van nieuwe overtredingen (speciale preventie) en ook in algemene zin voor andere (potentiële) overtreders een afschrikkende werking heeft (generale preventie).
62. Op welke manier de ernst en verwijtbaarheid van de overtreding worden meegewogen bij het opleggen van de boete, wordt hierna toegelicht.
## 7.2 Ernst van de overtreding
63. Bij de beoordeling van de ernst van de overtreding door Optdeck acht de raad van bestuur met name de volgende omstandigheden van belang.
64. Vergunde aanbieders van online kansspelen zijn aan tal van wettelijke voorschriften en voorwaarden gebonden waarop door de raad van bestuur toezicht wordt gehouden. Die voorschriften en voorwaarden zorgen ervoor dat de Nederlandse speler op een veilige en verantwoorde manier kan deelnemen aan online kansspelen. Het bestrijden en voorkomen van kansspelverslaving is hiervan een wezenlijk onderdeel en van groot belang. Een belangrijk onderdeel van de verslavingspreventie is het register. Het register stelt personen in staat zichzelf of anderen van deelname van de meer risicovolle kansspelen op afstand, in speelcasino's en speelhallen, uit te (laten) sluiten. Het register stelt ingeschreven personen in staat om voldoende afstand tot het spel te behouden, hun daadwerkelijke speelgedrag onder controle te krijgen, verandering in hun speelgedrag bewerkstelligen en ruimte voor eventuele verslavingsbehandeling te scheppen. Met de uitsluiting van deelname aan risicovolle kansspelen kan onder meer het risico op een snelle terugval voorkomen worden.
65. Het register is effectief wanneer vergunninghouders de toepassing, registratie en naleving van uitsluitingen van risicovolle kansspelen op de juiste wijze uitvoeren. Van vergunninghouders wordt en mag worden verwacht dat zij zich aan de
&lt;!-- image --&gt;
Kansspelautoriteit
Datum
3 december 2024
Ons kenmerk
18052/
01.330.227
- voorschriften en voorwaarden houden. Het negeren daarvan ondermijnt het belang bij het bestrijden en voorkomen van kansspelverslaving. Immers, wanneer een vergunninghouder de inschrijvingen van spelers toestaat terwijl hij het register niet op de juiste wijze raadpleegt, krijgen spelers niet de bescherming van het register teneinde voldoende afstand tot het spel te behouden, verandering in hun speelgedrag te bewerkstelligen en ruimte voor eventuele verslavingszorg te nemen, met alle mogelijke gevolgen van dien. In dit verband wijst de Kansspelautoriteit op de uitspraak van de rechtbank Den Haag van 23 mei 2024. 13
66. Daarbij is ook van belang dat in dit geval short odd-kansspelen werden aangeboden, namelijk online sportweddenschappen en online casinospelen. Uit de (wetenschappelijke) literatuur is bekend dat bij short odd-kansspelen meer verslaafde spelers te vinden zijn dan bij long odd-kansspelen, zoals loterijen. Bij short odd-kansspelen speelt verslavingsproblematiek derhalve een extra rol van betekenis.
67. De raad van bestuur verwijst daarbij ter illustratie naar de uitspraak van de Afdeling van 22 februari 2017, waarin overwogen wordt: ' Naast het feit dat er geen direct contact is tussen de consument en de marktdeeln</t>
  </si>
  <si>
    <t>## OPENBAAR Besluit van de raad van bestuur van de Kansspelautoriteit als bedoeld in artikel 35a van de Wet op de kansspelen tot oplegging van een boete aan Tipico Co. Ltd. Zaak: 13851 Kenmerk: 14165 / 01.246.366 Openbaarmaking onder kenmerk: 14165/01.247.948 ## Besluit ## 1 Inleiding 1. De raad van bestuur van de Kansspelautoriteit (hierna: de Kansspelautoriteit) is belast met het toezicht op de naleving van de Wet op de kansspelen (hierna: Wok). De Wok bevat een verbod op het gelegenheid geven tot deelname aan kansspelen zonder vergunning. Het handhaven van dit verbod is één van de prioriteiten van de Kansspelautoriteit. Onduidelijk is immers of de aanbieders van ongereguleerde kansspelen voldoende betrouwbaar zijn en of zij de speler voldoende beschermen. Deze situatie is bijzonder onwenselijk. Bij de aanpak van online aangeboden kansspelen richt de Kansspelautoriteit zich in eerste instantie op aanbieders die zich (mede) richten op Nederland en/of de identiteit van hun klanten niet op zichtbare wijze verifiëren voordat het inschrijvingsproces voltooid is. ## 2 Onderzoek naar website en betrokkenen ## 2.1 De website ## 2.1.1 Eerste onderzoek website 2. De Kansspelautoriteit heeft op 10 januari 2020 de website www.tipico.com (hierna: de website) onderzocht. 1 Daarbij is onder meer het volgende gebleken: 3. Algemeen - a. De website was bereikbaar vanaf een Nederlands IP-adres; 1 Stuk 13420.018/01.066.504. &lt;!-- image --&gt; ## Kansspelautoriteit &lt;!-- image --&gt; - b. Op de website werden (live) sportweddenschappen en (live) casinospelen aangeboden; 2 - c. Op de website stond vermeld dat Tipico Co Ltd. (hierna: Tipico) is gevestigd in Malta en daar een vergunning heeft; 3 - d. Daarnaast stond er onder meer vermeld dat Tipico bovengemiddeld hoge wedquoteringen en een omvangrijk aanbod van live weddenschappen biedt en bovendien kan de speler 'in ons online casino populaire spellen als roulette, black jack, Texas Hold'em, slotmachines en 50 andere spellen spelen' [vertaling door de Kansspelautoriteit]; 4 - e. Bij het inschrijvingsproces werd de optie 'Netherlands' aangeboden in een aantal keuzemenu's; 5 - f. Bij het inschrijvingsproces werd de leeftijd niet zichtbaar geverifieerd voordat het inschrijvingsproces was voltooid; 6 - g. Nergens op de website werd vermeld dat het niet toegestaan is om de betreffende spelen aan te bieden in Nederland of om vanuit Nederland daaraan deel te nemen; - h. Er werd een bonus toegezegd bij de eerste storting. 7 ## 4. Algemene voorwaarden 8 - a. Door een account te openen sluit de speler een contract met Tipico (I.4); - b. Tipico is gevestigd te Malta (I.1); - c. Tipico beschikt over een vergunning die is verleend door de Malta Gaming Authority (hierna: MGA) (I.1); - d. Tipico beoogt geen spellen aan te bieden in landen waar dat verboden is. Spelers mogen alleen gebruik maken van de diensten die Tipico aanbiedt als de wetten van het land van waaruit van die diensten gebruik wordt gemaakt dat toestaan (I.6); - e. Als de speler een account opent, moet hij onder meer verklaren dat hij van 'legal age' is (II.1 sub a); - f. Tipico behoudt zich het recht voor om te verzoeken om bewijs en documentatie om de door de speler verstrekte informatie te verifiëren (II.3); - g. In het bijzonder kan Tipico de speler verzoeken om bewijs van zijn leeftijd te verstrekken en kan Tipico de opening van een account afhankelijk maken van het bereiken van de leeftijd van 18 jaar (II.4); 2 Onder andere stukken 13420.018/01.066.504/01 en -13 en 13420.018/01.066.504/14. 3 Stuk 13420.018/01.066.504/01. 4 Stuk 13420.018/01.066.504/01. 5 Stuk 13420.018/01.066.504/08. 6 Stuk 13420.018/01.066.504/08 tot en met -11. 7 Stuk 13420.018/01.066.504/10. 8 Stuk 13420/018/01.066.504/03. &lt;!-- image --&gt; Kansspelautoriteit Datum 7 september 2021 Ons kenmerk 14165/01.247.948 - h. Als een speler langer dan twaalf maanden niet heeft ingelogd, boekt Tipico maandelijks vijf euro af van de rekening van de speler tot dat geld op is (V.1); - i. Tipico is niet verplicht om toezicht te houden op het speelgedrag van spelers, maar behoudt zich het recht voor om beperkingen op te leggen aan accounts als zij dat nodig acht vanuit het belang van verantwoord spelen (VII.4); - j. Tipico kan besluiten een bonus uit te keren als aan bepaalde criteria is voldaan (IX.1). ## 2.1.2 Tweede onderzoek website 5. De Kansspelautoriteit heeft op 30 april 2020, 1 mei 2020 en 8 mei 2020 de website onderzocht. 9 Daarbij is onder meer het volgende gebleken: ## 6. Algemeen - a. De website was bereikbaar vanaf een Nederlands IP-adres; - b. De algemene voorwaarden van Tipico waren identiek aan de algemene voorwaarden zoals vastgelegd op 10 januari 2020; 10 - c. Op de website werden (live) sportweddenschappen aangeboden, 11 alsmede (live) casinospellen (waaronder roulette en blackjack) en speelautomaten (slots); 12 - d. Op de website was een overzicht van gewonnen prijzen weergegeven; 13 - e. Het minimale bedrag dat op de speelrekening gestort moest worden, was € 10,terwijl het maximale bedrag afhankelijk was van de gekozen betaalmethode waarbij dat bedrag kon oplopen tot maximaal € 21.000,- per week; 14 - f. Er waren bonussen en promotie-acties; 15 - g. De website is geregistreerd door Tipico; 16 - h. Nergens op de website werd vermeld dat het niet toegestaan is om de betreffende spelen aan te bieden in Nederland of om vanuit Nederland daaraan deel te nemen; - i. Er kon conform een Nederlandstalig betaalproces geld overgemaakt worden. 17 9 Stuk 13851/01.070.888. 10 Stuk 13851/01.070.888/03. 11 Stuk 13851/01.070.888/12 en -16. 12 Onder andere stukken 13851/01.070.888/17A, -18A en -19. 13 Stuk 13851/01.070.888/01D. 14 Stukken 13851 /01.070.888/23 tot en met -27. 15 Stukken 13851/01.070.888/21A tot en met -21J. 16 Stuk 13851/01.070.888/29. 17 Stukken 13851/01.070.888/11A tot en met -11F. ## 2.1.3 Storting 7. Op 22 juni 2020 heeft een toezichthouder van de Kansspelautoriteit een storting van € 10,- verricht op de website via de betaalmethode 'Sofort'. 18 Nadat de toezichthouder op 'Deposit € 10.00' klikte, verscheen er een Nederlandstalig menu. 19 Blijkens het afschrift van de overboeking was Tipico de ontvangende partij. 20 ## 2.1.4 Derde onderzoek website 8. De Kansspelautoriteit heeft op 2 juli 2020 de website opnieuw onderzocht. 21 Daarbij is onder meer het volgende gebleken: ## 9. Algemeen - a. De website was bereikbaar vanaf een Nederlands IP-adres; - b. De algemene voorwaarden van Tipico waren identiek aan de algemene voorwaarden zoals vastgelegd op 10 januari 2020 en 30 april 2020; 22 - c. Op de website werden (live) sportweddenschappen aangeboden, 23 alsmede (live) casinospellen (waaronder roulette en blackjack) en speelautomaten (slots); 24 - d. Een van de onderzochte spellen was 'Quantum Roulette Live', dat het uiterlijk had van een virtuele versie van het casinospel roulette zoals genoemd in artikel 4, eerste lid, van de Beschikking casinospelen 1996; 25 - e. Het minimale bedrag dat op de speelrekening gestort moest worden, was € 10,terwijl het maximale bedrag afhankelijk was van de gekozen betaalmethode waarbij dat bedrag kon oplopen tot maximaal € 21.000,- per week; 26 - f. Er waren bonussen en promotie-acties; 27 - g. De website is geregistreerd door Tipico; 28 - h. Nergens op de website werd vermeld dat het niet toegestaan is om de betreffende spelen aan te bieden in Nederland of om vanuit Nederland daaraan deel te nemen; - i. Er kon conform een Nederlandstalig betaalproces geld overgemaakt worden. 29 18 Stuk 13851/01.072.492. 19 Stuk 13851/01.072.492/06. 20 Stuk 13851/01.072.492/13. 21 Stuk 13851/01.073.002. 22 Stuk 13851/01.073.002/03. 23 Stukken 13851/01.073.002/01C en -16. 24 Stukken 13851/01.073.002/17A tot en met -17C, -18A tot en met -18F, -19, -20A en -20B. 25 Stuk 13851/01.073.002/18E. 26 Stukken 13851 /01.073.002/22 tot en met -28. 27 Stukken 13851/01.073.002/21A tot en met -21K. 28 Stuk 13851/01.073.002/30. 29 Stukken 13851/01.073.002/11D1 tot en met -11G. &lt;!-- image --&gt; 14165/01.247.948 &lt;!-- image --&gt; ## 2.1.5 Onderzoek betalingsverkeer 10. Bij brieven van 3 juli 2020 en 31 juli 2020 heeft een toezichthouder van de Kansspelautoriteit informatie gevorderd van [bedrijf 1]. 30 Bij e-mailbericht van 11 augustus 2020 heeft [bedrijf 1] de gevraagde informatie aan de Kansspelautoriteit gezonden. 11. Uit deze informatie bleek onder meer dat [bedrijf 2], gevestigd te Gauting, Duitsland en Tipico, gevestigd te St. Julians, Malta overeen zijn gekomen dat het betaalsysteem sofortueberweisung.de, buiten Duitstalige landen ook wel Sofort genoemd, wordt geïntegreerd in de website die Tipico exploiteert. 12. Bij e-mailbericht van 12 augustus 2020 werd namens [bedrijf 1] verklaard dat er in de periode 30 april 2020 tot en met 31 juli 2020 in totaal 4974 transacties van Nederlandse bankrekeningen naar de website werden verricht. ## 2.1.6 Vierde onderzoek website 13. De Kansspelautoriteit heeft op 31 juli 2020 en 14 augustus 2020 de website opnieuw onderzocht. 31 Daarbij is onder meer het volgende gebleken: ## 14. Algemeen - a. De website vermeldde dat Tipico is gevestigd op Malta en dat zij over een vergunning van de MGA beschikt; 32 - b. Daarnaast staat er onder meer vermeld dat Tipico bovengemiddeld hoge wedquoteringen biedt en bovendien kan de speler 'in ons online casino populaire spellen als roulette, black jack, Texas Hold'em, slotmachines en 50 andere spellen spelen' [vertaling door de Kansspelautoriteit]; 33 - c. Uit de algemene voorwaarden bleek onder meer dat Tipico is gevestigd op Malta en dat zij over een vergunning van de MGA beschikt; 34 - d. Onder het kopje 'Legal Notice' staat onder meer vermeld dat Tipico is ingeschreven bij de Kamer van Koophandel op Malta, dat zij aldaar gevestigd is, dat zij een vergunning van de MGA heeft en dat haar e-mailadres info@tipico.com is. 35 30 Stukken 13851/01.072.723 en 13851/01.072.807. 31 Stuk 13851/01.073.797. 32 Stuk 13851/01.073.797/01. 33 Stuk 13851/01.073.797/01. 34 Stuk 13851/01.073.797/01. 35 Stuk 13851/01.073.797/01. 14165/01.247.948 ## 2.1.7 Onderzoek registers Malta 15. Uit het register van de Kamer van Koophandel van Malta blijkt dat [bedrijf 3] de aandeelhouder van Tipico is. 36 Verder is uit datzelfde register gebleken dat [bedrijf 4] aandeelhouder is van [bedrijf 3]. 37 16. Uit het register van de MGA blijkt dat aan Tipico een vergunning is verleend voor het aanbieden van kansspelen op onder meer de website www.tipico.com. 38 Ook is opnieuw gebleken dat deze website is geregistreerd door Tipico. 39 ## 2.1.8 Vijfde onderzoek website 17. Ook op 14 en 15 september 2020 is de website onderzocht. Daarbij is onder meer het volgende gebleken: - a. De website vermeldde dat Tipico is gevestigd op Malta en dat zij over een vergunning van de MGA beschikt; 40 - b. Daarnaast stond er onder meer vermeld dat Tipico bovengemiddeld hoge wedquoteringen en een omvangrijk aanbod van live weddenschappen biedt en bovendien kan de speler 'in ons online casino populaire spellen als roulette, black jack, Texas Hold'em, slotmachines en 50 andere spellen spelen' [vertaling door de Kansspelautoriteit]; 41 - c. Uit de algemene voorwaarden bleek onder meer dat Tipico is gevestigd op Malta en dat zij over een vergunning van de MGA beschikt; 42 - d. In het registratieformulier dient de klant aan te geven waar hij zich bevindt. Daarbij moet hij uit één van de slechts vier aangeboden opties kiezen. Eén van die vier opties is 'Netherlands'. 43 Bij het telefoonnummer is al een Nederlandse vlag ingevuld en het landnummer voor Nederland (+31); 44 - e. De toezichthouder kon zich succesvol inschrijven, ondanks dat uit de verstrekte gegevens bleek dat zij zich in Nederland bevond; 45 - f. De inschrijving werd voltooid zonder dat de leeftijd zichtbaar werd geverifieerd. 46 36 Stuk 13851/01.073.797/02. 37 Stuk 13851/01.073.797/03. 38 Stuk 13851/01.073.797/04. 39 Stuk 13851/01.073.797/05. 40 Stuk 13420.018/01.073.670/01A. 41 Stuk 13420.018/01.073.670/01A. 42 Stuk 13420.018/01.073.670/02. 43 Stuk 13420.018/01.073.670/20. 44 Stuk 13420.018/01.073.670/19. 45 Stuk 13420.018/01.073.670/24. 46 Stuk 13420.018/01.073.670/24-30. &lt;!-- image --&gt; 14165/01.247.948 ## 2.2 De betrokkene ## 18. Tipico Tipico geeft gelegenheid tot deelname aan kansspelen op de website. Dat blijkt onder meer uit het volgende. Blijkens de informatie op de website 47 exploiteert Tipico de website. Zo vermeldt zij onder andere dat zij bovengemiddelde quoteringen biedt, een uitgebreid aanbod heeft van live weddenschappen en dat er diverse casinospelen gespeeld kunnen worden in het online casino van Tipico. Zij vermeldt daarbij tevens dat zij over een kansspelvergunning beschikt van de MGA. Tipico is de wederpartij die betalingen van spelers incasseert. 48 Bovendien blijkt uit verklaringen en documenten die [bedrijf 1] heeft overgelegd dat Tipico overeenkomsten heeft gesloten ten behoeve van de exploitatie van de website. 49 De website is geregistreerd door Tipico. 50 19. Tipico is gevestigd op Malta, is daar ingeschreven in het register van de Kamer van Koophandel en beschikt over een vergunning om aldaar kansspelen aan te bieden. De aandelen in Tipico zijn in handen van [bedrijf 3]. 51 De aandelen van [bedrijf 3] zijn in handen van [bedrijf 4]. 52 ## 3 Rapport 20. De Kansspelautoriteit heeft op grond van de hierboven genoemde onderzoeken op 8 december 2020 een rapport opgesteld. In het rapport is geconstateerd dat Tipico door middel van de website gelegenheid heeft gegeven om mede te dingen naar prijzen of premies, waarbij de aanwijzing van de winnaars geschiedt door enige kansbepaling waarop de deelnemers in het algemeen geen overwegende invloed kunnen uitoefenen, terwijl daarvoor geen vergunning is verleend. Dat is een overtreding van artikel 1, eerste lid, aanhef en onder a, van de Wok. 21. Het rapport is met de bijbehorende stukken per reguliere post verzonden aan: Tipico Co. Limited, Tipico Tower, Vjal Portomaso, St Julian's STJ4011, Malta; en per e-mail verzonden aan: compliance@tipico.com. 47 Stuk 13851/01.070.888/16, p. 12. 48 Stuk 13851/01.072.492/01 tot en met -13. 49 Stuk 13851/01.074. 50 Stuk 13851/01.073.002/30. 51 Stuk 13851/01.073.797/03. 52 Stuk 13851/01.073.797/03. &lt;!-- image --&gt; 14165/01.247.948 ## 4 Zienswijze ## 4.1 Procedureel 22. Bij brief van 25 januari 2021 hebben [gemachtigde 1] en [gemachtigde 2] namens Tipico een schriftelijke zienswijze op het rapport gegeven. 23. Op 4 mei 2021 hebben [gemachtigde 1] en [gemachtigde 3] namens Tipico hun zienswijze mondeling toegelicht. ## 4.2 Inhoudelijk 24. Namens Tipico is in de kern het volgende aangevoerd: - a. Er is geen sprake van een overtreding want het aanbod is niet op Nederland gericht; - b. Tipico verifieert de leeftijd van haar klanten. 25. De Kansspelautoriteit zal hieronder op de geëigende plek ingaan op deze punten. ## 5 Feitelijk kader ## 5.1 Onderzoek website 26. Uit het bovenstaande volgt dat er kansspelen zijn aangeboden op de website. Tipico beschikt niet over een vergunning van de Kansspelautoriteit. Deze feiten worden door niemand betwist. ## 5.2 De aangeboden spellen 27. De op de website aangeboden spellen zijn aan te merken als kansspelen: sportweddenschappen, virtuele kansspelautomaten (slots) en casinospelen. 28. Er wordt voor de casinospelen en slots gebruikgemaakt van een random number generator. Ook sportweddenschappen zijn kansspelen. 29. Met deelname aan de kansspelen kan worden meegedongen naar prijzen of premies. Dat is onder andere gebleken uit een lijst van gewonnen prijzen. &lt;!-- image --&gt; 14165/01.247.948 &lt;!-- image --&gt; 30. Om deel te kunnen nemen aan de kansspelen kan de speler een account aanmaken en geld storten door middel van bijvoorbeeld Sofort. De identiteit van de speler, waaronder zijn leeftijd, wordt niet op een zichtbare wijze vastgesteld. ## 6 Juridische beoordeling ## 6.1 De wettelijke bepalingen 31. Artikel 1, eerste lid, aanhef en onder a, van de Wok bepaalt dat het verboden is om gelegenheid te geven om mede te dingen naar prijzen of premies, indien de aanwijzing der winnaars geschiedt door enige kansbepaling waarop de deelnemers geen overwegende invloed kunnen uitoefenen, tenzij daarvoor ingevolge deze wet vergunning is verleend. 32. Artikel 35a, eerste lid, van de Wok bepaalt dat de Kansspelautoriteit een bestuurlijke boete kan opleggen wegens overtreding van onder andere de voorschriften vastgesteld bij of krachtens artikel 1, eerste lid, onder a. 33. Artikel 35a, tweede lid, van de Wok bepaalt dat de bestuurlijke boete die voor een overtreding als bedoeld in het eerste lid kan worden opgelegd ten hoogste het bedrag van de zesde categorie, bedoeld in artikel 23, vierde lid, van het Wetboek van Strafrecht of, indien dat meer is, tien procent van de omzet in het boekjaar voorafgaande aan de beschikking. 34. Artikel 23, vierde lid, van het Wetboek van Strafrecht bepaalt dat het hiervoor bedoelde bedrag van de zesde categorie € 870.000,- is. ## 6.2 Handhavingsbeleid van de Kansspelautoriteit 35. Voor het aanbieden van kansspelen waarmee prijzen kunnen worden gewonnen, is in Nederland een vergunning vereist. Iedereen die toch zulke kansspelen aanbiedt zonder over een vergunning te beschikken is dus in overtreding. De Kansspelautoriteit is bevoegd om al deze overtreders te beboeten of om anderszins handhavende maatregelen jegens hen te nemen. 53 36. Bij de aanpak van exploitanten die zonder vergunning online kansspelen aanbieden, richt de Kansspelautoriteit zich in de eerste plaats op alle aanbieders die hun aanbod specifiek en onmiskenbaar op Nederland richten. 54 Deze gerichtheid op 53 Zie in dit verband ook Rb Den Haag 13 juli 2017, ECLI:NL:RBDHA:2017:7645 (Onisac &amp;amp; Mansion), r.o. 5.1. 54 https://kansspelautoriteit.nl/aanpak-misstanden/aanpak-illegale-0/. &lt;!-- image --&gt; Nederland kan blijken uit onder andere het gebruik van de Nederlandse taal, een website met een .nl-extensie, reclame maken op tv, radio of gedrukte media, het gebruik van Nederlandstalige domeinnamen of het gebruik van betaalmiddelen die uitsluitend of grotendeels door Nederlanders worden gebruikt. Een illegale aanbieder die niet aan deze prioriteringscriteria voldoet, komt uiteraard ook voor handhaving in aanmerking, maar heeft een lagere prioriteit. Voor de vragen of artikel 1, eerste lid, aanhef en onder a, van de Wok is overtreden en of de Kansspelautoriteit bevoegd is daartegen op te treden, is overigens niet relevant of het aanbod primair op Nederland is gericht. 55 De rechtbank Den Haag oordeelde daarover al meermaals in duidelijke bewoordingen: ' Het niet voldoen aan deze prioriteringscriteria betekent overigens niet dat van een overtreding geen sprake is, of dat [de Kansspelautoriteit] niet handhavend zou mogen optreden .' 56 37. Per 1 januari 2020 heeft de Kansspelautoriteit een nieuw prioriteringscriterium aan haar handhavingsbeleid toegevoegd. Illegale aanbieders die de leeftijd van hun spelers niet zichtbaar verifiëren voordat de inschrijvingsprocedure is voltooid, worden sindsdien met voorrang aangepakt. Dit hangt samen met één van de belangrijkste prioriteiten van de Kansspelautoriteit, namelijk het voorkomen dat minderjarigen deelnemen aan kansspelen. 57 ## 6.3 Gelegenheid geven 38. Zoals de Kansspelautoriteit hierboven al heeft geconcludeerd heeft Tipico kansspelen aangeboden zonder over de vereiste vergunning te beschikken. Daarmee heeft zij artikel 1, eerste lid, aanhef en onder a, van de Wok overtreden. 39. Volgens Tipico volgt uit het Ladbrokesarrest 58 dat er slechts sprake kan zijn van een overtreding als het aanbod mede gericht is op Nederland, wat volgens haar in casu niet het geval is. Daartoe voert zij aan dat de inrichting van de website daarvoor geen aanwijzingen biedt. Zo is het aanbod in de Duitse taal en is de Nederlandse taal daarentegen niet beschikbaar. Er worden alleen Duitse en Oostenrijkse partners genoemd. Tipico heeft nooit geprobeerd om Nederlandse spelers te werven en vermeldt niet op haar website dat zij in Nederland kansspelen aanbiedt. Er is evenmin sprake van andere aanwijzingen zoals typisch Nederlandse symbolen of iDeal. Bovendien is in de algemene voorwaarden bepaald dat spelers niet mogen meedoen vanuit landen waar dat verboden is. 55 ABRvS 22 februari 2017, ECLI:NL:RVS:2017:484 (Bluemay), r.o. 5. 56 Rb. Den Haag 3 februari 2017, SGR 16/5013 (Bluemay II), r.o. 4, 10 augustus 2016, SGR 14/7589 en 15/778 (Imperial), r.o. 6 en 20 april 2016, ECLI:NL:RBDHA:2016:4235 (Bluemay), r.o. 4.3. 57 https://kansspelautoriteit.nl/nieuws/2019/december/leeftijdsverificatie/. 58 HR 18 februari 2005, ECLI:NL:HR:2005:AR4841, r.o. 3.3. &lt;!-- image --&gt; 40. De Kansspelautoriteit overweegt dat vooropgesteld moet worden dat uit vaste rechtspraak volgt dat de Wok is overtreden als vaststaat dat de betreffende website toegankelijk is vanuit Nederland. 59 Niet bestreden is dat de deelname vanuit Nederland pas onmogelijk is gemaakt nadat Tipico het rapport van de Kansspelautoriteit heeft ontvangen. Daaruit volgt dat de website daarvoor steeds toegankelijk was vanuit Nederland. Dat blijkt eveneens uit het onderzoek dat de Kansspelautoriteit naar de website heeft verricht, waaronder het feit dat de toezichthouder zich kon inschrijven en de speelrekening die bij het account hoorde, kon crediteren. 41. Voor zover nog relevant, zijn er, anders dan Tipico stelt, wel degelijk aanwijzingen dat zij zich (mede) op Nederland richtte. Zo was het proces waarin de toezichthouder een betaling aan Tipico heeft verricht, volledig in de Nederlandse taal. Dat Tipico dat onderdeel van haar dienst heeft uitbesteed aan een derde doet daar niets aan af. Verder bleek dat in de inschrijfprocedure 'Netherlands' één van de slechts vier mogelijke opties was die door Tipico werd aangeboden. 60 Al voordat de toezichthouder op 'Netherlands' had geklikt, verscheen er bovendien in het invulveld voor het mobiele telefoonnummer al een Nederlandse vlag met het landnummer voor Nederland (+31). 61 Naar het oordeel van de Kansspelautoriteit blijkt hieruit voldoende dat de website mede op Nederland was gericht. Hetgeen Tipico daarover gesteld heeft, doet daar niets aan af. ## 6.4 Geen controle en verificatie van de identiteit 42. Een toezichthouder van de Kansspelautoriteit heeft op 10 januari 2020 succesvol een account aangemaakt op de website. Daarbij werd tijdens de inschrijvingsprocedure om een aantal persoonsgegevens gevraagd. Tijdens die procedure is echter op geen enkel moment gevraagd om enig bewijs waarmee deze gegevens geverifieerd konden worden. Op 22 juni 2020 heeft een andere toezichthouder van de Kansspelautoriteit € 10,- overgemaakt op de speelrekening die bij het account hoorde dat op 10 januari 2020 was aangemaakt. De toezichthouder kon dus van het aanbod van Tipico gebruik maken zonder dat Tipico heeft vastgesteld of zij daadwerkelijk meerderjarig was. Er is overigens op geen enkele wijze gebleken dat Tipico überhaupt heeft vastgesteld met wie zij in zee is gegaan. Op 14 september 2020 heeft een andere toezichthouder nogmaals succesvol een account aangemaakt op de website. Ook deze keer heeft Tipico 59 Bijv. rechtbank Den Haag 31 augustus 2020, ECLI:NL:RBDHA:2020:8458, r.o. 4.3. 60 Stuk 13420.018/01.073.670/20. Die vier opties waren: Germany', 'Austria', 'Netherlands' en 'Malta'. 61 Stuk 13420.018/01.073.670/19. &lt;!-- image --&gt; - gedurende het inschrijvingsproces niet laten zien dat zij de leeftijd of andere identiteitsgegevens van de betreffende toezichthouder heeft geverifieerd. 43. Tipico voert aan dat zij de leeftijd van haar klanten verifieert, maar zij heeft deze stelling niet nader onderbouwd. Verder verwijst zij naar de algemene voorwaarden waaruit zou blijken dat minderjarigen niet mogen deelnemen. Hierover merkt de Kansspelautoriteit in de eerste plaats op dat een eventuele vermelding in de algemene voorwaarden van een verbod op deelname door minderjarigen geen vorm van leeftijdsverificatie is. Zo'n bepaling verhindert minderjarigen evenmin om daadwerkelijk aan de kansspelen deel te nemen. 44. In de tweede plaats merkt de Kansspelautoriteit op dat het niet duidelijk is op welke bepaling Tipico doelt. Volledigheidshalve wordt hieronder daarom een aantal bepalingen langsgelopen die Tipico in dit verband mogelijk op het oog heeft. 45. In artikel I.6 is onder meer bepaald dat het de eigen verantwoordelijkheid van de klant is om zich te houden aan de wetten van zijn land en zich ervan te verzekeren dat de wet hem daarbij geen beperkingen oplegt. Uit deze bepaling blijkt dat Tipico de verantwoordelijkheid voor naleving van de toepasselijke wetten geheel bij de speler legt. Het bevat in ieder geval geen aanwijzing dat Tipico voor zichzelf een rol ziet weggelegd om te controleren of de speler meerderjarig is. 46. In artikel II.1 is bepaald dat de speler door een account te openen verklaart dat hij 'of legal age' is. Er is niet nader toegelicht wat hieronder wordt verstaan. Wat daar ook van zij, de enkele impliciete verklaring van een speler dat hij 'of legal age' is, is uiteraard geen verificatie van diezelfde verklaring. 47. Artikel II.3 bepaalt dat de klant correcte informatie moet verstrekken bij de inschrijving. Tipico behoudt zich het recht voor om bewijs en documentatie te vragen wanneer zij dat wil. Artikel II.4 voegt daar nog aan toe dat Tipico in het bijzonder gedurende het inschrijvingsproces om bewijs van de leeftijd kan vragen en dat zij het recht om een account te openen, afhankelijk kan maken van het feit dat de klant de leeftijd van 18 jaar heeft bereikt. 48. Uit deze laatste twee artikelen blijkt dat als Tipico de door de klant verstrekte gegevens verifieert, zij dat doet door bij de klant nadere gegevens als bewijs op te vragen. Verificatie geschiedt echter alleen op verzoek van Tipico ' at its absolute discretion '. Het is dus geen vast onderdeel van de inschrijvingsprocedure, maar het gebeurt slechts wanneer Tipico daartoe beslist. In het bijzonder kan Tipico om bewijs vragen dat de opgegeven leeftijd klopt, maar ook dat gebeurt dus alleen in &lt;!-- image --&gt; die gevallen waarin Tipico besluit daar specifiek om te vragen. Ook kan het openen van een account afhankelijk worden gemaakt van de leeftijd van de klant, maar dat hoeft kennelijk niet. Hieruit volgt dat Tipico niet standaard de identiteit (en dus ook niet de leeftijd) van haar klanten verifieert. Hoe dan ook verifieert Tipico niet de leeftijd van de klant voordat de inschrijfprocedure voltooid is. Ten overvloede wijst de Kansspelautoriteit erop dat evenmin is gebleken dat Tipico minderjarige spelers daadwerkelijk weert van de website. ## 6.5 Conclusie overtreding 49. De Kansspelautoriteit stelt vast dat Tipico door middel van de website gelegenheid heeft gegeven om mede te dingen naar prijzen of premies, terwijl de aanwijzing van de winnaars geschiedt door enige kansbepaling waarop de deelnemers geen overwegende invloed konden uitoefenen. Tevens stelt de Kansspelautoriteit vast dat zij hiervoor geen vergunning heeft verleend. Bovendien stelt de Kansspelautoriteit vast dat de website mede gericht is op Nederland. Ten slotte stelt de Kansspelautoriteit vast dat Tipico de leeftijd van de speler niet zichtbaar verifieert voordat de inschrijvingsprocedure is voltooid en dat spelers gebruik kunnen maken van een account dat na die inschrijvingsprocedure is gecreëerd. ## 7 Overtreder 50. Blijkens het rapport biedt Tipico gelegenheid tot deelname aan de kansspelen op de website. 62 Op de website staan haar contactgegevens en vergunning vermeld. 63 De website waarop de kansspelen worden aangeboden, staat geregistreerd op naam van Tipico. 64 Blijkens de informatie op de website 65 exploiteert Tipico de website. Zo vermeldt zij onder andere dat zij bovengemiddelde quoteringen biedt, een uitgebreid aanbod heeft van live weddenschappen en dat er diverse casinospelen gespeeld kunnen worden in het online casino van Tipico. 51. Tipico wekt de indruk dat de spellen op de website worden aangeboden onder het toezicht van de MGA op grond van een vergunning die de MGA aan Tipico verleend heeft. 52. Eén van de toezichthouders van de Kansspelautoriteit heeft een account aangemaakt op de website. Daarna is de speelrekening die bij dat account hoort 62 Zie ook onderdeel 2.2 van dit besluit. 63 Bijv. stuk 13851/01.073.797/01. 64 Stuk 13851/01.073.002/30. 65 Stuk 13851/01.070.888/16, p. 12. &lt;!-- image --&gt; Kansspelautoriteit Datum 7 september 2021 Ons kenmerk 14165/01.247.948 gecrediteerd. Uit het bankafschrift blijkt dat Tipico de ontvangende partij is die de betalingen incasseert. 66 Uit een overeenkomst die [bedrijf 2] heeft overgelegd blijkt verder dat Tipico het betaalsysteem Sofort, heeft laten opnemen in de website. 67 Ook blijkt daaruit dat Tipico afspraken maakte over onder andere software en reclame ten behoeve van de exploitatie van de website. 68 53. Gelet op het voorgaande concludeert de Kansspelautoriteit dat Tipico gelegenheid geeft om deel te nemen aan kansspelen op de website. ## 8 Boete ## 8.1 Algemeen 54. De Kansspelautoriteit is ingevolge artikel 35a van de Wok bevoegd een boete op te leggen van ten hoogste het bedrag van de zesde categorie (artikel 23 van het Wetboek van Strafrecht) of - indien dit meer is - tien procent van de omzet in het boekjaar voorafgaand aan de beschikking. Het bedrag van de zesde categorie bedraagt met ingang van 1 januari 2020 € 870.000,-. 55. Bij de vaststelling van de boete houdt de Kansspelautoriteit rekening met de ernst van de overtreding en de mate waarin deze aan de overtreder kan worden verweten. Zo nodig houdt de Kansspelautoriteit rekening met de omstandigheden waaronder de overtreding is gepleegd. 56. Ingevolge artikel 3:4, tweede lid, van de Awb neemt de Kansspelautoriteit bij het bepalen van de hoogte van de boete het evenredigheidsbeginsel in acht. Op grond van deze bepaling mogen de voor één of meer belanghebbenden nadelige gevolgen van een besluit niet onevenredig zijn in verhouding tot de met het besluit te dienen doelen. Als algemene maatstaf geldt daarbij dat de hoogte van de boete zodanig dient te zijn dat deze de overtreder weerhoudt van nieuwe overtredingen (speciale preventie) en ook in algemene zin voor andere (potentiële) overtreders een afschrikkende werking heeft (generale preventie). 57. De Kansspelautoriteit neemt bij het bepalen van de hoogte van een op te leggen boete de Beleidsregels aanbieden kansspelen online zonder vergunning (hierna: de 66 Stuk 13851/01.072.492/01 tot en met -13. 67 Zie onder randnummer 14. 68 Stuk 13851/01.074. &lt;!-- image --&gt; - Beleidsregels) in acht. 69 De Beleidsregels zijn te vinden op de website van de Kansspelautoriteit. 70 58. De Kansspelautoriteit ziet zich thans gesteld voor de vraag of en zo ja, welke sanctie in dit geval passend is. ## 8.2 Ernst van de overtreding 59. De kansspelmarkt is geen gewone economische markt. Omdat financieel gewin kan optreden zonder dat daar een evenredige inspanning tegenover staat, is deze markt extra gevoelig voor fraude, bedrog en verslaving waarvan de consument de dupe kan worden. 71 60. Kansspelverslaving of onmatige deelneming aan kansspelen kan leiden tot (grote) financiële problemen bij de speler en van groot effect zijn op zijn omgeving. Bij ongereguleerd aanbieden van kansspelen is niet gewaarborgd dat opbrengsten worden afgedragen aan charitatieve, sportieve of culturele doelen, van limieten aan verliezen en minimale uitkeringspercentages. Bovendien worden er geen heffingen en belastingen afgedragen. Daarmee hebben deze kansspelaanbieders een negatief effect op reguliere aanbieders, die wel opbrengsten afdragen aan doelen van algemeen belang, de voorgeschreven limieten aan verliezen en uitkeringspercentages respecteren, heffingen en belasting betalen en hun financieel beheer daarop afstemmen. De opbrengst van een niet vergund kansspel kan eenvoudig worden aangewend voor individueel profijt, 72 wat de wijze waarop het kansspel wordt aangeboden, georganiseerd en gespeeld, kan beïnvloeden. Bij ongereguleerde kansspelen bestaat er bovendien een groter risico op gerelateerde criminaliteit, zoals witwassen. 61. De positie van deelnemers aan ongereguleerde kansspelen is niet geregeld. 73 Er is geen enkele garantie voor de deelnemer dat het spel op een eerlijke manier gespeeld wordt, het betalingsverkeer veilig verloopt, persoonsgegevens correct worden verwerkt en eventueel gewonnen prijzen ook daadwerkelijk worden 69 https://kansspelautoriteit.nl/wet-koa/regels-leidraden/boetebeleidsregels-0/. 70 https://kansspelautoriteit.nl/nieuws/2019/februari/ksa-verhoogt-boete/. 71 Zesde voortgangsrapportage kansspelen, 27 januari 2009, pagina 6. 72 Zie het Europese Hof van Justitie, 24 maart 1994, ECLI:EU:C:1994:119 (Schindler), r.o. 60. 73 Zie bijvoorbeeld: http://www.kansspelautoriteit.nl/kansspelen/risico'-kansspelen/. Zie ook ECLI:</t>
  </si>
  <si>
    <t>KSA__https___kansspelautoriteit.nl_sites_default_files_besluit_tipico_openbaar.txt::Rechtshandeling</t>
  </si>
  <si>
    <t>legt [44575:44580]</t>
  </si>
  <si>
    <t>legt [44575:44579]</t>
  </si>
  <si>
    <t>[...] n naar prijzen of premies, waarbij de aanwijzing der winnaars geschiedt door enige kansbepaling waarop de deelnemers geen overwegende invloed kunnen uitoefenen, en waarvoor niet de vereiste vergunning is verleend; - b. legt aan Tipico Co. Ltd. een boete op van € 531.250,-. 's-Gravenhage, 7 september 2021, De raad van bestuur van de Kansspelautoriteit, w.g. drs. René J.P. Jansen Voorzitter ## Bezwaar Tegen dit besluit kan d [...]</t>
  </si>
  <si>
    <t>KSA__https___kansspelautoriteit.nl_sites_default_files_besluit_tipico_openbaar.txt::Rechtsobject</t>
  </si>
  <si>
    <t>boete [44604:44610]</t>
  </si>
  <si>
    <t>boete [44604:44609]</t>
  </si>
  <si>
    <t>[...] arbij de aanwijzing der winnaars geschiedt door enige kansbepaling waarop de deelnemers geen overwegende invloed kunnen uitoefenen, en waarvoor niet de vereiste vergunning is verleend; - b. legt aan Tipico Co. Ltd. een boete op van € 531.250,-. 's-Gravenhage, 7 september 2021, De raad van bestuur van de Kansspelautoriteit, w.g. drs. René J.P. Jansen Voorzitter ## Bezwaar Tegen dit besluit kan degene wiens belang rechtstreek [...]</t>
  </si>
  <si>
    <t>KSA__https___kansspelautoriteit.nl_sites_default_files_last_onder_dwangsom_bankgiro_loterij_n_v.txt::Ontvanger</t>
  </si>
  <si>
    <t>KSA__https___kansspelautoriteit.nl_sites_default_files_last_onder_dwangsom_bankgiro_loterij_n_v.txt</t>
  </si>
  <si>
    <t>de BankGiro Loterij N.V.</t>
  </si>
  <si>
    <t>de bankgiro loterij n.v</t>
  </si>
  <si>
    <t>de BankGiro Loterij N.V. [20196:20220]</t>
  </si>
  <si>
    <t>[...] ng die na afloop van de begunstigingstermijn wordt aangetroffen op een website die zich richt op minderjarigen tot een maximum van € 100.000,-. ## Besluit 30. De raad van bestuur van de Kansspelautoriteit legt aan de BankGiro Loterij N.V. de volgende last onder dwangsom op: 1. De BankGiro Loterij N.V. dient uiterlijk 27 oktober 2017 overtreding van artikel 4a, vijfde lid van de Wok jo. artikel 2, derde lid, van het Besluit bestaande uit het online richt [...]</t>
  </si>
  <si>
    <t>KSA__https___kansspelautoriteit.nl_sites_default_files_last_onder_dwangsom_bankgiro_loterij_n_v.txt::Besluitvormend Orgaan</t>
  </si>
  <si>
    <t>OPENBAAR
Besluit van de raad van bestuur van de Kansspelautoriteit als bedoeld in artikel 35 van de Wet op de kansspelen.
Kenmerk besluit: 14777/01.282.739 Openbaarmaking onder kenmerk: 14777/01.285.044
## Besluit
## Samenvatting
De raad van bestuur van de Kansspelautoriteit heeft vastgesteld dat Winning Poker Network door middel van de website www.truepoker.eu gelegenheid geeft tot deelname aan een kansspel, terwijl voor dat laatstgenoemde aanbod geen vergunning is afgegeven op grond van de Wet op de kansspelen. Daarmee handelt Winning Poker Network in strijd met de artikel 1, eerste lid, aanhef en onder a, van de Wet op de kansspelen. De raad van bestuur van de Kansspelautoriteit draagt Winning Poker Network op het aanbieden van kansspelen waarvoor geen vergunning ingevolge de Wet op de kansspelen is verleend, te staken en gestaakt te houden door middel van het opleggen van een last onder dwangsom.
## 1 Inleiding
1. De raad van bestuur van de Kansspelautoriteit (hierna: de Kansspelautoriteit) is belast met het toezicht op de naleving van het bepaalde in de Wet op de kansspelen (hierna: Wok). In de Wok is onder andere bepaald dat het in Nederland verboden is gelegenheid te geven om mede te dingen naar prijzen of premies, indien de aanwijzing der winnaars geschiedt door enige kansbepaling waarop de deelnemers in het algemeen geen overwegende invloed kunnen uitoefenen, tenzij daarvoor ingevolge de Wok vergunning is verleend (artikel 1, eerste lid, aanhef en onder a Wok). Daarnaast is het ingevolge artikel 1, eerste lid, aanhef en onder b, van de Wok eveneens verboden de deelneming aan een
&lt;!-- image --&gt;
Kansspelautoriteit OPENBAAR
&lt;!-- image --&gt;
Kansspelautoriteit 28 februari 2023 Kenmerk
14777/01.285.044
kansspel, waarvoor geen vergunning is verleend, te bevorderen.
2. Sinds 1 april 2021 is het mogelijk om bij de Kansspelautoriteit een vergunning aan te vragen voor het aanbieden van kansspelen op afstand. 1  Met het verlenen van vergunningen voor kansspelen op afstand is toezicht op een verantwoord, betrouwbaar en controleerbaar aanbod mogelijk. De Kansspelautoriteit acht het aanbieden van kansspelen op afstand zonder daartoe strekkende vergunning zeer ernstig. 2  De doelstellingen van het kansspelbeleid, wetende het voorkomen van kansspelverslaving, het beschermen van de consument en het tegengaan van mogelijke fraude en criminaliteit, worden door het zonder vergunning aanbieden van kansspelen op afstand omzeild. De kansspelsector is immers geen gewone economische sector maar extra gevoelig voor fraude, bedrog en verslaving waarvan de consument de dupe kan worden. Deelnemers aan dergelijke kansspelen lopen daarbij risico's omdat er geen garantie is dat het spel betrouwbaar is, het betalingsverkeer veilig verloopt en gewonnen prijzen daadwerkelijk worden uitgekeerd.
3. Handhaving door de Kansspelautoriteit jegens illegale aanbieders van kansspelen op afstand is herhaaldelijk rechterlijk getoetst en door meerdere rechters en in verschillende instanties rechtmatig bevonden.
## 2 Juridisch kader
4. Op grond van artikel 1, eerste lid, aanhef en onder a, van de Wok is het verboden om gelegenheid te geven tot deelname aan een kansspel waarvoor geen vergunning ingevolge de Wok is verleend.
5. Op grond van artikel 33b van de Wok heeft de Kansspelautoriteit onder meer tot taak het toezicht op de naleving van de toepasselijke wet- en regelgeving en de vergunningen, alsmede de handhaving daarvan.
1  Kansspelen op afstand zijn kansspelen waaraan de speler met elektronische communicatiemiddelen en zonder fysiek contact met (het personeel van) de organisator van de kansspelen, of een derde die ten behoeve van de deelname aan de kansspelen een ruimte en middelen ter beschikking stelt, deelneemt.
2  Alle sanctiebesluiten zijn te vinden op http://www.kansspelautoriteit.nl.
OPENBAAR
&lt;!-- image --&gt;
Kansspelautoriteit 28 februari 2023 Kenmerk
14777/01.285.044
6. De Kansspelautoriteit is op grond van artikel 35 van de Wok bevoegd tot het opleggen van een last onder bestuursdwang wegens overtreding van de voorschriften van de Wok. Artikel 5:32, eerste lid van de Algemene wet bestuursrecht (hierna: Awb) bepaalt dat een bestuursorgaan dat bevoegd is een last onder bestuursdwang op te leggen, in plaats daarvan aan de overtreder een last onder dwangsom kan opleggen.
## 3 Bevindingen onderzoek
## Aanbod van kansspelen zonder vergunning
7. Op 19 en 20 september 2022 en op 14 november 2022 heeft een toezichthouder van de Kansspelautoriteit (hierna: toezichthouder) de website www.americascardroom.eu (hierna: de website) onderzocht. De toezichthouder heeft onderzocht of er gelegenheid werd gegeven om vanuit Nederland deel te nemen aan kansspelen.
8. Uit het onderzoek is gebleken dat het mogelijk is om vanuit Nederland een spelersaccount aan te maken, een storting te verrichten en deel te nemen aan kansspelen. Er zijn geen technische maatregelen genomen om deelnemers vanuit Nederland de toegang tot de kansspelen te beletten.
## Registratie
9. Op 19 september 2022 heeft een toezichthouder zich vanuit Nederland (met een Nederlands IP-adres) geregistreerd als nieuwe speler op de website. De toezichthouder heeft met een emailadres van de Kansspelautoriteit en andere benodigde gegevens zoals een gebruikersnaam en wachtwoord een spelersaccount aangemaakt. Tijdens het aanmaken van het spelersaccount diende de toezichthouder het account te verifiëren door middel van een verificatiecode die naar het opgegeven emailadres werd verzonden. De toezichthouder heeft vervolgens de gevraagde gegevens zoals de volledige naam, het land van herkomst, telefoonnummer, geboortedatum, geslacht en adresgegevens ingevuld en het registratieproces daarmee voltooid. Nederland stond als optie weergegeven in de lijst met beschikbare landen. 3
3  Bijlage 14777/01.274.440/01 Registratie.
OPENBAAR
&lt;!-- image --&gt;
Kansspelautoriteit 28 februari 2023 Kenmerk
14777/01.285.044
10. Bij de registratie is gebruik gemaakt van de bevoegdheid als bedoeld in artikel 34c van de Wok. 4
## Storting
11. Op 19 september 2022 heeft een toezichthouder een storting verricht op de website. De toezichthouder heeft de betaalmethode creditcard als betaaloptie geselecteerd. Na het selecteren van de betaalmethode diende de toezichthouder de kaartgegevens in te vullen. De adresgegevens waren al automatisch ingevuld. Vervolgens werd de toezichthouder naar de volgende stap doorgeleid, namelijk het invoeren van het stortingsbedrag. Het minimale stortingsbedrag bedroeg $25,00. De toezichthouder heeft het minimale stortingsbedrag van $25,00 ingevoerd en vervolgens op storten geklikt. De storting was hiermee voltooid. Vervolgens ging de toezichthouder terug naar het scherm waar de accountgegevens waren weergegeven. Het gestorte bedrag van $25,00 was op de balans terug te lezen. 5
12. De instructies over de betaling waren in de Engelse taal. 6
## Deelname aan kansspelen
13. Op 19 september 2022 heeft een toezichthouder onderzocht of er vanuit Nederland kan worden deelgenomen aan kansspelen op de website.
14. De toezichthouder heeft een spel nader onderzocht, te weten 'Three Card Poker' (hierna: het spel). Hieruit bleek dat het spel de weergave had van een virtuele versie van het casinospel poker als genoemd in artikel 4, eerste lid, in de Beschikking Casinospelen 1996. 7
15. De toezichthouder zag dat er vier verschillende categorieën van spellen werden weergegeven namelijk Sports, Casino Table Games, Live Dealer BlackJack en Slot Machines. De toezichthouder heeft vervolgens op de categorie Slot Machines geklikt. Rechtsboven op het scherm was de balans weergegeven. Deze was opgesplitst in twee soorten balansen, namelijk de casinobalans en de
4 Bijlage 14777/01.285.321 Verslaglegging valse identiteitsgegevens.
5  Bijlage 14777/01.274.440/02 Storten.
6  Bijlage 14777/01.274.440/02 Storten.
7 Stcrnt , 1996, 92.
OPENBAAR
&lt;!-- image --&gt;
Kansspelautoriteit 28 februari 2023 Kenmerk
14777/01.285.044
pokerbalans. De casinobalans bedroeg $0,00 en de pokerbalans stond op $25,00. Om onbekende reden was het gestorte bedrag automatisch op de pokerbalans gestort en niet op de casinobalans. Het was niet mogelijk om slots te spelen terwijl de casinobalans $0,00 bedroeg. Vervolgens is de toezichthouder terug gegaan naar de instant play pagina om voor de categorie 'Casino Table Games' te kiezen. Binnen deze categorie waren meerdere soorten spellen weergeven. De toezichthouder koos ervoor om het spel Three Card Poker te spelen. 8  Er werd gevraagd om het gestorte bedrag van $25,00 te gebruiken als credits. De toezichthouder heeft dit vervolgens bevestigd. De toezichthouder speelde vervolgens met de laagst mogelijke inzet, namelijk $1,00. Nadat de spelronde voorbij was, zag de toezichthouder dat de pokerbalans van $25,00 naar $27,00 was opgehoogd. 9
16. Op 14 november 2022 heeft de toezichthouder met het beschikbare tegoed op het bestaande spelersaccount nogmaals deelgenomen aan het spel. Hieruit bleek dat het nog steeds mogelijk was om vanuit Nederland deel te nemen aan een kansspel op de website. 10
17. Naast deelname aan een kansspel bleek het gelegenheid geven tot het mededingen naar prijzen of premies uit art. 2.4.1 van de Security en game integrity policy waarin voorwaarden gegeven worden voor het winnen van prijzen bij uitsluiting van andere spelers in Multi-Table Tournaments. 11
## Hercontrole
18. Op 10 januari 2023 heeft een toezichthouder van de Kansspelautoriteit (hierna: toezichthouder) een hercontrole uitgevoerd op de website www.americascardroom.eu. De toezichthouder heeft onderzocht of er gelegenheid werd gegeven om vanuit Nederland deel te nemen aan kansspelen.
19. Uit het onderzoek is gebleken dat inloggen met het bestaande account van de Kansspelautoriteit wel mogelijk is, maar dat het vanuit Nederland niet mogelijk is om deel te nemen aan kansspelen op deze website. 12  Daarom heeft een
8   Bijlage 14777/01.274.440/03 Spelen.
9   Bijlage 14777/01.274.440/03 Spelen.
10  Bijlage 14777/01.274.440/11 Spelen november.
11  Bijlage 14777/01.274.440/07 Security and Game Integrity policy.
12  Bijlage 14777/01.281.807/01 Hercontrole Americascardroom.
OPENBAAR
&lt;!-- image --&gt;
Kansspelautoriteit 28 februari 2023 Kenmerk
14777/01.285.044
toezichthouder op 10 en 17 januari 2023 één van de overige websites van de aanbieder genaamd www.truepoker.eu onderzocht.
20. Uit het onderzoek is gebleken dat het op www.truepoker.eu mogelijk is om vanuit Nederland een spelersaccount aan te maken, een storting te verrichten en deel te nemen aan kansspelen. Er zijn geen technische maatregelen genomen om deelnemers vanuit Nederland de toegang tot de kansspelen te beletten.
## Registratie
21. Op 10 januari 2023 heeft een toezichthouder zich vanuit Nederland (met een Nederlands IP-adres) geregistreerd als nieuwe speler op de website, nadat bleek dat het niet mogelijk was om met het bestaande account van www.americascardroom.eu in te loggen op www.truepoker.eu. De toezichthouder heeft met een e-mailadres van de Kansspelautoriteit en andere benodigde gegevens zoals een gebruikersnaam en wachtwoord een spelersaccount aangemaakt. Tijdens het aanmaken van het spelersaccount diende de toezichthouder het account te verifiëren door middel van een verificatiecode die naar het opgegeven emailadres werd verzonden. De toezichthouder heeft de gevraagde gegevens zoals de volledige naam, het land van herkomst, telefoonnummer, geboortedatum, geslacht en adresgegevens ingevuld en het registratieproces daarmee voltooid. 13
22. Bij de registratie is gebruik gemaakt van de bevoegdheid als bedoeld in artikel 34c van de Wok. 14
## Storting
23. Op 10 januari 2023 heeft een toezichthouder een storting verricht op de website. De toezichthouder heeft de betaalmethode crypto (bitcoin) als betaaloptie geselecteerd. De toezichthouder heeft met behulp van de eWallet Exodus applicatie een storting uitgevoerd met crypto. Er is vanuit het cryptoaccount van de Kansspelautoriteit een minimaal stortingsbedrag van $10,00 op de spelersrekening gestort. Het gestorte bedrag van $10,00 was op de balans terug te lezen als $9,99 in verband met de op dat moment geldende bitcoin koers.
13  Bijlage 14777/01.281.807/02 Hercontrole truepoker, p.1-p.15.
14  Bijlage 14777/01.285.045 Verslaglegging valse identiteitsgegevens.
OPENBAAR
24. De instructies over de betaling waren in de Engelse taal.
## Deelname aan kansspelen
25. Op 10 januari 2023 heeft een toezichthouder onderzocht of er vanuit Nederland kan worden deelgenomen aan kansspelen op de website.
26. De toezichthouder heeft een spel nader onderzocht, te weten 'Three Card Poker' (hierna: het spel). Hieruit bleek dat het spel de weergave had van een virtuele versie van het casinospel poker als genoemd in artikel 4, eerste lid, in de Beschikking Casinospelen 1996. 15
27. De toezichthouder heeft op de instant play pagina voor de categorie 'Casino Table Games' gekozen. Binnen deze categorie waren meerdere soorten spellen weergeven. De toezichthouder koos ervoor om het spel Three Card Poker te spelen. Er werd gevraagd om het gestorte bedrag van $9,99 te gebruiken als credits. De toezichthouder heeft dit vervolgens bevestigd. De toezichthouder speelde het spel vervolgens met een inzet van $2,00. Nadat de spelronde voorbij was, zag de toezichthouder dat de balans van $9,99 naar $7,99 was verlaagd. 16
28. Naast het feit dat er geen technische maatregelen zijn genomen om deelname vanuit Nederland aan de kansspelen te beletten heeft de toezichthouder andere kenmerken aangetroffen waaruit (in onderlinge samenhang bezien) blijkt dat de website (mede) gericht is op de Nederlandse markt. Deze kenmerken zijn, naast de overige bevindingen van het onderzoek, verwerkt in onderstaand overzicht.
## Overzicht onderzoek overtreding
29. Hieronder volgt een schematisch overzicht van de bevindingen van het onderzoek van de toezichthouder naar het vanuit Nederland deelnemen aan kansspelen op de website.
15 Stcrnt , 1996, 92.
16  Bijlage 14777/01.281.807/02 Hercontrole truepoker, p.23-p.30.
&lt;!-- image --&gt;
Kansspelautoriteit 28 februari 2023 Kenmerk 14777/01.285.044
OPENBAAR
&lt;!-- image --&gt;
## Kansspelautoriteit
## Kansspelautoriteit
28 februari
2023
Kenmerk
14777/01.285.044
| Onderzoek                                                                         | Onderzoek        | Bijlage                                                                                                               | Opmerkingen   |
|-----------------------------------------------------------------------------------|------------------|-----------------------------------------------------------------------------------------------------------------------|---------------|
| A. Website vanuit                                                                 | 01.282.739/01/02 |                                                                                                                       |               |
| Aanmaken account, storten deelnemen aan een kansspel                              | 01.281.807/02    | Hercontrole Truepoker.                                                                                                | B. en         |
| C. Informatie over prijzen/winsten                                                | 01.282.739/09    | Pagina die betrekking heeft op de uitbetaling van winsten aan spelers.                                                |               |
| Website bevat Nederlandse of de Engelse taal                                      | 01.282.739/02/08 | (02) De website is volledig in de Engelse taal. (08) Nederlands is geen optie in het talenmenu.                       | D.            |
| Betaalmethode iDEAL of andere betaalmethode die doorgeleidt naar Nederlandse bank | 01.281.807/02    | Er is vanuit een Nederlandse bankrekening geld op de eWallet van het cryptoaccount van de Kansspelautoriteit gestort. | E.            |
| F. Nederland is niet benoemd uitgesloten land in de T&amp;C                           |                  | 01.282.739/02/03 Nederland staat niet benoemd als uitgesloten land in artikel 14 van de T&amp;C.                          | als           |
## Overtreder
30. Voor het hiervoor beschreven kansspelaanbod wordt Winning Poker Network (hierna: overtreder) verantwoordelijk gehouden. In de 'WPN Manifesto'' sectie van de website wordt Winning Poker Network als eigenaar en beheerder van de website genoemd. Op grond hiervan wordt deze onderneming als overtreder aangemerkt. 17  Daarnaast wordt WPN onderaan de homepage vermeld. 18
17  Bijlage 14777/01.282.739/07 About WPN.
18  Bijlage 14777/01.282.739/02 Homepage.
OPENBAAR
&lt;!-- image --&gt;
Kansspelautoriteit 28 februari 2023 Kenmerk
14777/01.285.044
31. Overtreder is niet in het bezit van een vergunning voor het aanbieden van online kansspelen in Nederland. 19
## 4 Overtreding van de Wet op de kansspelen
32. Op grond van het voorgaande staat naar het oordeel van de Kansspelautoriteit vast dat overtreder gelegenheid geeft tot deelname aan een kansspel waarvoor geen vergunning is verleend.
33. Op grond van het voorgaande stelt de Kansspelautoriteit vast dat overtreder artikel 1, eerste lid, aanhef en onder a, van de Wok heeft overtreden.
## 5 Zienswijze
## Procedureel
34. In de brief van 28 november 2022 heeft de Kansspelautoriteit het voornemen tot het opleggen van een last onder dwangsom kenbaar gemaakt aan overtreder. 20 Hiermee is de gelegenheid geboden om binnen twee weken na dagtekening van de brief een zienswijze, mondeling of schriftelijk, te geven op het voornemen.
35. In reactie op het voornemen tot het opleggen van een last onder dwangsom is op 12 december 2022 namens overtreder per email aan de Kansspelautoriteit medegedeeld dat de mogelijkheid om vanuit Nederland te spelen op www.amerciascardroom.eu in de avond van 12 december 2022, Costa Ricaanse tijd gestaakt zal worden.
## 6 Overwegingen tot oplegging last
36. Handhavend optreden tegen aanbieders van kansspelen waarvoor geen vergunning is verleend is noodzakelijk om de overtreding te doen beëindigen, en beëindigd te houden, en de zwaarwegende belangen van de Wok zoals hierboven
19  Een overzicht van alle vergunninghouders is te vinden op https://kansspelautoriteit.nl.
20 Bijlage 14777/01.278.190 Begeleidende brief.
OPENBAAR
&lt;!-- image --&gt;
Kansspelautoriteit 28 februari 2023 Kenmerk
14777/01.285.044
vermeld, te beschermen. Naast het opleggen van boetes, kan de Kansspelautoriteit ook handhaven door middel van het opleggen van een last onder dwangsom.
37. Met het oog op het evenredigheidsbeginsel van artikel 3:4, tweede lid, van de Awb is de Kansspelautoriteit van oordeel dat de belangen van overtreder derhalve niet onevenredig worden geschaad door dit besluit en het daarmee gediende belang. Zij verwijst daarvoor naar de overwegingen in paragrafen 5 en 6.
## 7 Hoogte dwangsom en begunstigingstermijn
38. Zoals in dit besluit toegelicht is handhaving van de regels in de kansspelsector en voorkomen van illegaal kansspelaanbod noodzakelijk. De kansspelsector is extra gevoelig voor fraude, bedrog en verslaving waarvan de consument de dupe kan worden. Het zijn deze te beschermen - en in beginsel geschonden belangen die de Kansspelautoriteit heeft meegewogen bij de vaststelling van de hoogte van de dwangsom en de begunstigingstermijn.
## Hoogte dwangsom
39. Ten aanzien van de hoogte van de dwangsom, bepaalt artikel 5:32b, derde lid van de Awb dat de hoogte ervan in redelijke verhouding dient te staan tot de zwaarte van het geschonden belang en tot de beoogde werking van de dwangsom. Daarnaast moet van de hoogte van de dwangsom voldoende (financiële) prikkel uitgaan voor de overtreder om de overtreding te beëindigen.
40. Bij de vaststelling van de hoogte van de dwangsom heeft de Kansspelautoriteit acht geslagen op het feit dat de opbrengst van het aanbieden van kansspelen online per dag hoog kunnen zijn.
41. De Kansspelautoriteit weegt de belangen van verslavingspreventie, kwetsbare groepen, zoals minderjarigen, een betrouwbaar spelaanbod, veilig betalingsverkeer en het tegengaan van illegaliteit en criminaliteit, mee bij de vaststelling van de hoogte van de dwangsom.
OPENBAAR
## Begunstigingstermijn
42. Volgens vaste jurisprudentie van de Afdeling bestuursrechtspraak van de Raad van State 21  geldt bij het bepalen van de lengte van de begunstigingstermijn als uitgangspunt dat deze termijn niet wezenlijk langer mag worden gesteld dan noodzakelijk is om de overtreding te kunnen opheffen. Een begunstigingstermijn mag ook niet wezenlijk korter worden gesteld dan noodzakelijk is om de overtreding te kunnen opheffen.
43. De Kansspelautoriteit houdt bij de vaststelling van de begunstigingstermijn rekening met het feit dat de gelegenheid om vanuit Nederland deel te nemen aan kansspelen op afstand zeer snel kan worden beëindigd.
44. Dit is onder andere gebleken uit het feit dat diverse illegale aanbieders eind september 2021 naar aanleiding van het nieuwe handhavingsbeleid van de Kansspelautoriteit 22  binnen enkele dagen het aanbod aan Nederlandse consumenten hebben gestaakt.
## 8 Besluit
45. De Kansspelautoriteit legt aan overtreder de volgende last onder dwangsom op:
- a. Overtreder wordt op straffe van verbeurte van een dwangsom gelast uiterlijk binnen twee weken na dagtekening van dit besluit de overtreding(en) van artikel 1, eerste lid, onder a, van de Wok te staken en gestaakt te houden.
- b. Overtreder kan dit doen door alle gelegenheid om vanuit Nederland deel te nemen aan kansspelen op afstand, waarvoor geen vergunning ingevolge de Wok is verleend, te beëindigen en beëindigd te houden. Dit omvat het aanbieden van kansspelen via de door de Kansspelautoriteit onderzochte website en alle andere websites die in eigendom/beheer zijn bij overtreder. Tevens omvat dit ook iedere andere activiteit (waaronder, maar niet uitsluitend, het aanbieden van kansspelapps) als gevolg
21  ECLI:NL:RVS:2018:2196 en ECLI:NL:RVS:2015:3891.
22  Handhavingsbeleid, Prioritering van handhavingsonderzoeken, Stcrnt. 2021/44765.
&lt;!-- image --&gt;
Kansspelautoriteit 28 februari 2023 Kenmerk 14777/01.285.044
OPENBAAR
&lt;!-- image --&gt;
Kansspelautoriteit 28 februari 2023 Kenmerk
14777/01.285.044
waarvan het mogelijk is vanuit Nederland deel te nemen aan kansspelen op afstand en waarvoor geen vergunning ingevolge de Wok is verleend, te beëindigen en beëindigd te houden.
- c. Na het verstrijken van de onder randnummer a genoemde begunstigingstermijn verbeurt overtreder een dwangsom van € 25.000,per week of gedeelte van de week tot een maximum van € 75.000,-.
's-Gravenhage, 28 februari 2023
De raad van bestuur van de Kansspelautoriteit, namens deze,
w.g.
mr. Ella J. Seijsener Afdelingshoofd Handhaving OPENBAAR
## Bezwaar maken
U kunt tegen deze beslissing bezwaar maken door een gemotiveerd bezwaarschrift in te dienen binnen zes weken na bekendmaking van deze beslissing. U kunt uw bezwaarschrift sturen naar het volgende adres:
Kansspelautoriteit Afdeling Juridische Zaken en Vergunningen Postbus 298 2501 CG  Den Haag
U kunt uw bezwaarschrift ook door uw gemachtigde laten indienen. Als de gemachtigde geen advocaat is, moet u een machtiging bijvoegen bij uw bezwaarschrift.
Zorg ervoor dat uw bezwaarschrift in elk geval het volgende bevat:
- uw naam en adres;
- de datum waarop u het bezwaarschrift schrijft;
- een kopie van de beslissing;
- de gronden van uw bezwaar;
- uw handtekening of de handtekening van uw gemachtigde.
Let wel: het instellen van bezwaar schort de werking van dit besluit niet op. Kunt u de beslissing op uw bezwaarschrift niet afwachten vanwege een spoedeisend belang? Dan kunt u bij de sector bestuursrecht van de rechtbank in uw arrondissement een verzoek om voorlopige voorziening indienen.
&lt;!-- image --&gt;
Kansspelautoriteit 28 februari 2023 Kenmerk 14777/01.285.044</t>
  </si>
  <si>
    <t>De raad van bestuur van de Kansspelautoriteit [20141:20186]</t>
  </si>
  <si>
    <t>## Openbaar Besluit van de Raad van Bestuur van de Kansspelautoriteit als bedoeld in artikel 35 van de Wet op de kansspelen. Kenmerk: 01.017.613 ## Samenvatting De raad van bestuur van de Kansspelautoriteit heeft vastgesteld dat de BankGiro Loterij N.V. wervings- en reclameactiviteiten heeft gericht op minderjarigen. Er is namelijk geadverteerd voor kansspelen van de BankGiro Loterij N.V. op in ieder geval de websites: Scholieren.com, Fashionista.nl, Girlscene.nl, DonaldDuck.nl, Spel.nl, Spele.nl, Spelletjes.nl en Kleurplaten.nl. Met het adverteren op deze websites staat naar het oordeel van de raad van bestuur vast dat de BankGiro Loterij N.V. zich met haar wervings- en reclameactiviteiten heeft gericht op minderjarigen. Daarmee heeft de BankGiro Loterij N.V. in strijd gehandeld met artikel 4a, vijfde lid van de Wet op de Kansspelen jo. artikel 2, derde lid van het Besluit werving, reclame en verslavingspreventie kansspelen. De raad van bestuur legt de BankGiro Loterij N.V. een last onder dwangsom op om de online wervings- en reclameactiviteiten die zich richten op minderjarigen te beëindigen en beëindigd te houden. ## Handhaving van de Wet op de kansspelen 1. Artikel 35 van de Wet op de kansspelen (hierna: Wok) bepaalt dat de raad van bestuur van de Kansspelautoriteit (hierna: de raad van bestuur) een last onder bestuursdwang kan opleggen wegens overtreding van de voorschriften vastgesteld bij of krachtens de Wok, met uitzondering van titel VA., paragraaf 2 van de Wok. ## Kansspelautoriteit ## Besluit ## Openbaar 2. Artikel 5:32, eerste lid van de Algemene wet bestuursrecht (hierna: Awb) bepaalt dat een bestuursorgaan dat bevoegd is een last onder bestuursdwang op te leggen, in plaats daarvan aan de overtreder een last onder dwangsom kan opleggen. ## Juridisch kader 3. Artikel 4a, van de Wok luidt: 1. …. 2. De houders van vergunningen op grond van deze wet geven op zorgvuldige en evenwichtige wijze vorm aan wervings- en reclameactiviteiten waarbij in het bijzonder wordt gewaakt tegen onmatige deelneming. […] 5. Bij of krachtens algemene maatregel van bestuur kunnen regels worden gesteld met betrekking tot het eerste tot en met het vierde lid. 6. De in het vijfde lid bedoelde regels kunnen onder meer betrekking hebben op: a. […]; - b. de doelgroepen waarop zodanige activiteiten zijn gericht; - c. de hoeveelheid, de tijdsduur en het tijdstip, en - d. de wijze waarop en de plaats waar wervings- en reclame-uitingen worden gedaan. 4. Artikel 2, derde lid, van het Besluit werving, reclame en verslavingspreventie kansspelen (hierna: Besluit) luidt: Vergunninghouders richten hun wervings- en reclameactiviteiten voor kansspelen niet op maatschappelijk kwetsbare groepen van personen. Onder kwetsbare groepen van personen wordt in ieder geval verstaan minderjarigen en personen die kenmerken van risicovol spelgedrag vertonen. ## Bevindingen 5. Een toezichthoudend medewerker van de Kansspelautoriteit heeft in het kader van het toezicht op reclame door houders van een kansspelvergunning een controle ## Openbaar uitgevoerd van online wervings- en reclameactiviteiten van de BankGiro Loterij N.V. De bij deze controle uitgevoerde toezichtshandelingen zijn vastgelegd in twee verslagen van ambtshandelingen. 1 Kort gezegd bestond dit toezichtonderzoek uit het controleren van online reclame-uitingen in de periode juni 2016 tot en met 24 augustus 2017. Daarbij is uit alle online reclame-uitingen die zijn vastgelegd op de 300 meest bezochte Nederlandse websites een selectie gemaakt van reclameuitingen door vergunninghouders, die zijn getoond op websites die zich richten op minderjarigen. Uit deze controle is gebleken dat de BankGiro Loterij N.V. in de genoemde periode reclame heeft geplaatst (of heeft doen plaatsen) op de hierna in randnummer 7 nader aangeduide websites door middel van rechtstreekse inkoop dan wel via 'programmatic buying'. 2 6. De online reclame-uitingen zijn vastgelegd door een onderzoeksbureau dat is gespecialiseerd in het wereldwijd vastleggen van reclame-uitingen en reclamebestedingen in verschillende media en binnen verschillende sectoren. Daarbij wordt onder andere vastgelegd wie de afzender is van een advertentie, op welke wijze deze is aangekocht en wat de verschijningsvorm was. De specifieke reclame-uitingen zijn ook door deze partij vastgelegd. 7. De Kansspelautoriteit heeft onder meer vastgesteld dat de BankGiro Loterij N.V. in de periode juni 2016 tot en met 24 augustus 2017 3 : - Op de website www.Scholieren.com zelf rechtstreeks 2 reclame-uitingen heeft geplaatst; - Op de website www.Spel.nl zelf rechtstreeks 33 reclame-uitingen heeft geplaatst; - Op de website www.Fashionista.nl middels programmatic buying 120 reclame-uitingen heeft laten plaatsen; - Op de website www.Girlscene.nl middels programmatic buying 210 reclame-uitingen heeft laten plaatsen; - Op de website www.DonalsDuck.nl middels programmatic buying 14 reclame-uitingen heeft laten plaatsen; - Op de website www.Scholieren.com middels programmatic buying 73 reclame-uitingen heeft laten plaatsen; 1 VVA Algemeen 28 augustus 2017 2 Het geautomatiseerd inkopen van advertentieruimte voor onlinereclame. 3 Zie § 3 VVA ## Openbaar - Op de website www.Kleurplaten.nl middels programmatic buying 123 reclame-uitingen heeft laten plaatsen; - Op de website www.Spel.nl middels programmatic buying 176 reclameuitingen heeft laten plaatsen; - Op de website www.Spele.nl middels programmatic buying 3 reclameuitingen heeft laten plaatsen; - Op de website www.Spelletjes.nl middels programmatic buying 17 reclame-uitingen heeft laten plaatsen; - Op de website www.Girlscene.nl zelf rechtstreeks dan wel middels programmatic buying 4 reclame-uitingen heeft geplaatst; - Op de website www.Scholieren.com zelf rechtstreeks dan wel middels programmatic buying 6 reclame-uitingen heeft geplaatst; - Op de website www.Spel.nl zelf rechtstreeks dan wel middels programmatic buying 2 reclame-uitingen heeft geplaatst. 8. Op basis van deze bevindingen concludeert de raad van bestuur vast dat de BankGiro Loterij N.V. zich met deze wervings- en reclameactiviteiten heeft gericht op minderjarigen. ## Overtreding van de Wet op de kansspelen 9. Op grond van de voorgaande bevindingen stelt de raad van bestuur vast dat de BankGiro Loterij N.V. in strijd heeft gehandeld met artikel 4a, vijfde lid van de Wok jo. artikel 2, derde lid van het Besluit. ## Zienswijze 10. De BankGiro Loterij N.V. is op 28 augustus 2017 op de hoogte gesteld van het voornemen tot handhavend optreden. Op 31 augustus 2017 hebben de gezamenlijke Goede Doelen Loterijen (GDL) 4 , mede namens de BankGiro Loterij N.V., van de haar geboden gelegenheid gebruik gemaakt om mondeling een zienswijze te geven op dit voornemen. Daarbij zijn enkele processuele afspraken gemaakt die dezelfde dag per e-mail zijn bevestigd. Daarna is de BankGiro Loterij 4 Dit zijn de Nationale Postcode Loterij, de Vriendenloterij en de BankGiro Loterij. ## Openbaar 19 oktober 2017 01.017.613 - N.V. in de gelegenheid gesteld om haar zienswijze schriftelijk in te brengen, wat zij bij mail van 7 september 2017 heeft gedaan. 11. Door de BankGiro Loterij N.V. is - kort gezegd - het volgende naar voren gebracht. De BankGiro Loterij N.V. heeft met haar mediabureau afspraken gemaakt op welk type websites de BankGiro Loterij N.V. niet wenst te adverteren. In aanvulling daarop wordt in opdracht van de BankGiro Loterij N.V. aan de hand van maandelijkse rapportages beoordeeld of er advertenties zijn geplaatst op websites waarop de BankGiro Loterij N.V. niet wenst te adverteren. Als dat het geval blijkt te zijn dan wordt de bewuste website op een blacklist geplaatst, als gevolg waarvan daarna op die bewuste websites geen advertenties van de BankGiro Loterij N.V. getoond kunnen worden. 12. De BankGiro Loterij N.V. geeft aan dat de acht websites - waarvan de Kansspelautoriteit heeft vastgesteld dat daarop door de BankGiro Loterij N.V. advertenties zijn geplaatst - al voor ontvangst van het voornemen tot handhaving op de blacklist stonden. De BankGiro Loterij N.V. concludeert dat een blacklist een reactief instrument is en niet proactief werkt. De BankGiro Loterij N.V. plaatst kanttekeningen bij de kwalificatie of een bepaalde website zich richt op 'jongeren' maar ziet er vanaf in discussie te gaan of de acht door de Kansspelautoriteit genoemde websites terecht zijn aangemerkt als gericht op jongeren. 13. De BankGiro Loterij N.V. beschrijft vervolgens de nieuwe werkwijze waarbij de BankGiro Loterij N.V. een whitelist hanteert waarop de websites staan die vooraf door de BankGiro Loterij N.V. zijn gecontroleerd en goedgekeurd. Dat geldt zowel voor rechtstreekse aankoop als voor Real Time Bidding. De BankGiro Loterij N.V. acht het opleggen van een last onder dwangsom niet nodig nu volgens de BankGiro Loterij N.V. aan de overtreding een einde is gemaakt. De BankGiro Loterij N.V. geeft aan bezwaar te hebben tegen openbaarmaking omdat volgens haar gebleken is dat niet alleen de BankGiro Loterij N.V. geadverteerd heeft op websites die zijn gericht op minderjarigen. De BankGiro Loterij N.V. heeft een groot (bedrijfs- en reputatie) belang dat zwaarder dient te wegen dan de publicatie van een dergelijk besluit dat alleen tegen de BankGiro Loterij N.V. is gericht. ## Openbaar ## Beoordeling van de zienswijze 14. De door de BankGiro Loterij N.V. beschreven werkwijze - waarbij sprake is van een maandelijkse controle en eventuele plaatsing van de blacklist - blijkt pas in het eerste kwartaal van 2017 te hebben geleid tot het op de blacklist zetten van de door de Kansspelautoriteit onderzochte websites. 5 De Kansspelautoriteit heeft vastgesteld dat ruim voor die periode op de verschillende websites voor de BankGiro Loterij N.V. is geadverteerd. De websites zijn dus pas na meerdere advertentieplaatsingen op de blacklist terecht gekomen. De Kansspelautoriteit constateert met de BankGiro Loterij N.V. dat overtreding van artikel 4a Wok jo. artikel 2, derde lid van het Besluit heeft plaatsgevonden en dat een blacklist geen betrouwbaar middel is om iedere reclameactiviteit gericht op minderjarigen te voorkomen. 15. De BankGiro Loterij N.V. heeft in haar zienswijze aangegeven dat inmiddels wordt gewerkt met een whitelist. De raad van bestuur is van oordeel dat een whitelist op zichzelf een geschikte methode kan zijn om de overtreding waarop deze last onder dwangsom ziet te voorkomen. Of een whitelist overtredingen in de praktijk ook voorkomt, is mede afhankelijk van de criteria die worden gehanteerd om een website al dan niet op de whitelist te plaatsen en de naleving van die whitelist door derden, zoals het door BGL ingeschakelde mediabureau. 16. Ten aanzien van de vraag wanneer een website gericht is op 'jongeren' merkt de raad van bestuur allereerst op dat de norm van artikel 2 van het Besluit zich in het bijzonder richt op de bescherming van minderjarigen. Voor de beoordeling of een bepaalde website zich richt op minderjarigen kunnen de volgende factoren richtinggevend zijn: de leeftijdsopbouw van de bezoekers, de kwalificatie die de websitehouder zelf geeft aan de doelgroep van zijn website, het oordeel van externe marketingpartijen, maar ook het product dat of dienst die op website wordt aangeboden. De raad van bestuur is van oordeel dat van een professionele partij als de BankGiro Loterij N.V., die beschikt over specifieke marketingkennis en kennis over het bepalen van een doelgroepen, mag worden verwacht in staat te zijn om te bepalen welke (type) websites zich richt(en) op minderjarigen. 5 Zo blijkt bijvoorbeeld op www.donaldduck.nl van 6 april tot 19 april 2017 te zijn geadverteerd maar die site is op 19 april 2017 op de blacklist te zijn gezet; op www.girlscene.nl blijkt in de periode 19 februari 2017 t/m 17 mei 2017 te zijn geadverteerd maar is die site aan de blacklist toegevoegd op 17 augustus 2017. Kansspelautoriteit 19 oktober 2017 01.017.613 ## Openbaar Kansspelautoriteit 19 oktober 2017 01.017.613 17. Naar aanleiding van enkele vragen die de BankGiro Loterij N.V. heeft gesteld over de verslagen van ambtshandelingen merkt de raad van bestuur op dat de ontbrekende context url's valt te verklaren uit het feit dat per regel in het Excel bestand slechts ruimte is voor het weergeven van één creative. 6 Wanneer er meerdere creatives per website zijn vastgelegd, wordt de context url en de wijze van aankoop alleen bij de eerste creative vermeld; op de andere regels wordt dan alleen de creative weergegeven. Ten aanzien van de 'onjuist' weergegeven creatives lijkt het inderdaad om een fout bij het vastleggen van die creatives te gaan. Aangezien het hier een beperkt aantal - volgens de BankGiro Loterij N.V. 4,4% van de gevallen - fouten betreft, laat de raad van bestuur dit verder buiten beschouwing. ## Overwegingen tot oplegging last 18. Het aanbieden van kansspelen in Nederland is door middel van een vergunningstelsel gereguleerd en slechts op grond van en in overeenstemming met een verleende vergunning toegestaan. Doelstelling van die regulering is het voorkomen van kansspelverslaving, het beschermen van de consument en het tegengaan van mogelijke fraude en criminaliteit. De raad van bestuur houdt toezicht op de naleving van de toepasselijke wet- en regelgeving en de vergunningen en handhaaft de wet- en regelgeving ten aanzien waarvan zij een toezichtstaak heeft. 19. Houders van vergunningen op grond van de Wok dienen op zorgvuldige en evenwichtige wijze vorm te geven aan wervings- en reclameactiviteiten aldus artikel 4a, tweede lid, van de Wok. Daarenboven verplicht artikel 2, derde lid, van het Besluit houders van een kansspelvergunning ertoe om hun wervings- en reclameactiviteiten voor kansspelen niet te richten op maatschappelijk kwetsbare groepen van personen waaronder in ieder geval minderjarigen wordt verstaan. 20. Gelet op het algemeen belang dat gediend is met handhaving, zal in geval van overtreding van een wettelijk voorschrift het bestuursorgaan dat bevoegd is om met een last onder bestuursdwang of dwangsom op te treden, in de regel van 6 Context url: de vindplaats van de eerder vastgelegde advertentie; creative: de reclame-uiting (een afbeelding of een filmpje). - deze bevoegdheid gebruik moeten maken. Ook indien er geen gegronde vrees bestaat dat de overtreding opnieuw zal plaatsvinden, is dat op zichzelf geen omstandigheid op grond waarvan een bestuursorgaan van het opleggen van de last behoort af te zien. 7 Het handhavend optreden van de raad van bestuur ten aanzien van reclame is gericht op het (doen) staken van de overtreding en/of het voorkomen van verdere overtreding en/of een herhaling van de overtreding. In het bijzonder geldt dat wanneer de overtreden norm strekt tot bescherming van de belangen van kwetsbare groepen, waaronder minderjarigen. 21. De norm is reeds sinds 1 juli 2013 van kracht. De raad van bestuur acht de norm voldoende helder om nageleefd te worden. Ten aanzien van de verplichting dat reclame zich niet op kwetsbare groepen, waaronder minderjarigen, dient te richten, heeft de raad van bestuur reeds aangeven dat de gerichtheid onder meer afgeleid kan worden uit het gekozen medium en dat geen reclame wordt gemaakt in (of rond) elektronische diensten die gericht zijn op of waarvan bekend of aannemelijk is dat zij worden gebruikt door minderjarigen. 8 Van de BankGiro Loterij N.V. mag derhalve verwacht worden dat zij passende maatregelen had getroffen om de naleving te bewerkstelligen van het verbod reclame te richten op kwetsbare groepen, waaronder begrepen minderjarigen. De raad van bestuur stelt vast dat de BankGiro Loterij N.V. pas besloten heeft tot verdere en aanvullende maatregelen nadat de BankGiro Loterij N.V. op de hoogte was gesteld van de resultaten van het onderzoek als beschreven in de randnummers 5, 6 en 7. 22. Ten overvloede merkt de raad van bestuur nog het volgende op. Zoals hiervoor is aangegeven, kan whitelisting op zichzelf een goede methode zijn ter voorkoming van de geconstateerde overtreding. Echter, de raad van bestuur kan deze effectiviteit niet beoordelen, omdat de criteria voor het al dan niet plaatsen van een website op de whitelist haar onbekend zijn en ook of en, zo ja, hoe deze criteria door de BankGiro Loterij N.V. in contracten met derden zijn geborgd. Voorts is niet inzichtelijk gemaakt of en, zo ja, welke maatregelen zijn genomen om toe te zien op de naleving van de afspraken door die derden. Reeds daarom bestaat er onvoldoende zekerheid dat overtredingen ook in de toekomst zullen uitblijven. 7 Afdeling Bestuursrechtspraak van de Raad van State van 11 juli 2012, ECLI:NL:RVS:2012:BX1022 (AB 2012/255). 8 Leidraad reclame februari 2016 onder punt 10 respectievelijk 12; http://www.kansspelautoriteit.nl/nieuws/alle-nieuwsberichten/2017/maart/regels-reclame/ ## Openbaar 23. Een houder van een vergunning voor kansspelen dient effectieve maatregelen te nemen om overtreding van voor haar geldende regelgeving te voorkomen. Dat geldt in het bijzonder voor bepalingen die er op zijn gericht om maatschappelijk kwetsbare groepen van personen - waaronder minderjarigen - te beschermen. 24. In het licht van genoemde feiten en omstandigheden is er geen sprake van omstandigheden die nopen tot het afzien van handhaving. 25. De raad van bestuur biedt - in het geval van een last onder dwangsom overtreders, zo ook de BankGiro Loterij N.V. in dit geval, de gelegenheid om binnen de begunstigingstermijn de overtreding te beëindigen en daarmee om het verbeuren van een dwangsom te voorkomen. Gelet op het evenredigheidsbeginsel van artikel 3.4, tweede lid, van de Awb is de raad van bestuur van oordeel dat de belangen van de betrokkenen - in dit geval de belangen van de BankGiro Loterij N.V. - derhalve niet onevenredig worden geschaad door dit besluit en het daarmee gediende belang, in casu het beschermen van kwetsbare groepen waaronder minderjarigen. ## Hoogte van de dwangsom 26. Ten aanzien van de hoogte van de dwangsom, bepaalt artikel 5:32b, derde lid van de Awb dat de hoogte ervan in redelijke verhouding dient te staan tot de zwaarte van het geschonden belang en tot de beoogde werking van de dwangsom. Daarnaast moet van de hoogte van de dwangsom voldoende (financiële) prikkel uitgaan voor de overtreder om de overtreding te beëindigen. 27. Handhaving van de regels in de kansspelsector is noodzakelijk, gelet op onder meer de bescherming van consumenten. Daarbij kent de raad van bestuur gewicht toe aan het specifieke karakter van normen die er op zijn gericht de reclame voor kansspelen te reguleren en aan het bijzondere belang van de bescherming van kwetsbare groepen, waaronder begrepen minderjarigen. Het zijn deze te beschermen - en geschonden - belangen die de raad van toezicht heeft meegewogen bij de vaststelling van de hoogte van de dwangsom. ## Openbaar Kansspelautoriteit 19 oktober 2017 01.017.613 ## Begunstigingstermijn en hoogte van de dwangsom 28. De raad van bestuur houdt bij de vaststelling van de begunstigingstermijn rekening met het feit dat: - de BankGiro Loterij N.V. al sinds 28 augustus 2017 op de hoogte is van de bevindingen van de Kansspelautoriteit - dat de BankGiro Loterij N.V. zelf heeft aangegeven de overtredingen te kunnen beëindigen en daartoe al de nodige maatregelen te hebben genomen - de raad van bestuur ook van mening is dat de overtredingen snel kunnen worden beëindigd. Op grond daarvan bepaalt de raad van bestuur de begunstigingstermijn op acht dagen na dagtekening van deze brief. 29. De raad van bestuur houdt bij de vaststelling van de hoogte van de dwangsom rekening met de zwaarte van het geschonden belang en de beoogde werking van de dwangsom. Op grond daarvan bepaalt de raad van bestuur de dwangsom op € 10.000 voor iedere reclame-uiting die na afloop van de begunstigingstermijn wordt aangetroffen op een website die zich richt op minderjarigen tot een maximum van € 100.000,-. ## Besluit 30. De raad van bestuur van de Kansspelautoriteit legt aan de BankGiro Loterij N.V. de volgende last onder dwangsom op: 1. De BankGiro Loterij N.V. dient uiterlijk 27 oktober 2017 overtreding van artikel 4a, vijfde lid van de Wok jo. artikel 2, derde lid, van het Besl [...]</t>
  </si>
  <si>
    <t>KSA__https___kansspelautoriteit.nl_sites_default_files_last_onder_dwangsom_bankgiro_loterij_n_v.txt::Rechtshandeling</t>
  </si>
  <si>
    <t>legt [20187:20192]</t>
  </si>
  <si>
    <t>legt [20187:20191]</t>
  </si>
  <si>
    <t>[...] lame-uiting die na afloop van de begunstigingstermijn wordt aangetroffen op een website die zich richt op minderjarigen tot een maximum van € 100.000,-. ## Besluit 30. De raad van bestuur van de Kansspelautoriteit legt aan de BankGiro Loterij N.V. de volgende last onder dwangsom op: 1. De BankGiro Loterij N.V. dient uiterlijk 27 oktober 2017 overtreding van artikel 4a, vijfde lid van de Wok jo. artikel 2, derde lid, van het Besluit be [...]</t>
  </si>
  <si>
    <t>KSA__https___kansspelautoriteit.nl_sites_default_files_last_onder_dwangsom_bankgiro_loterij_n_v.txt::Rechtsobject</t>
  </si>
  <si>
    <t>last onder dwangsom [20233:20252]</t>
  </si>
  <si>
    <t xml:space="preserve">## OPENBAAR
Besluit van de raad van bestuur van de Kansspelautoriteit als bedoeld in artikel 35 van de Wet op de kansspelen.
Kenmerk: 01.290.898
Openbaar onder kenmerk: 01.291.294
## Besluit
## Samenvatting
1. De raad van bestuur van de Kansspelautoriteit (hierna: de Kansspelautoriteit) heeft vastgesteld dat de VriendenLoterij N.V. (hierna: VL) met de Spellen Loterij, waarvan de (online) spellen VriendenLoterij Miljonairs, Club-man en Bingo Crush een onderdeel zijn, een online kansspel aanbiedt, zonder daartoe over de vereiste vergunning te beschikken. Hiermee handelt VL in strijd met artikel 1, aanheft en onder a, van de Wet op de kansspelen (hierna: de Wok). De Kansspelautoriteit legt VL een last onder dwangsom op om het onvergunde online kansspel te staken en gestaakt te houden.
2. In aanvulling hierop valt, ongeacht of het door VL aangeboden kansspel een loterij is, het aangeboden kansspel niet onder de uitzondering van artikel 31, tweede lid, van de Wok. Deze uitzondering heeft betrekking op het online mogen aanbieden van deelnamebewijzen, zonder daartoe beschikking te hebben over een vergunning voor kansspelen op afstand. VL biedt met dit kansspel op afstand online meer aan dan enkel deelnamebewijzen.
## Betrokken partij
3. Dit besluit betreft het handelen van de VriendenLoterij N.V. gevestigd aan de Beethovenstraat 200, 1077 JZ te Amsterdam.
&lt;!-- image --&gt;
OPENBAAR
Kansspelautoriteit
15 mei 2023
01.291.294
4. VL is houder van een vergunning voor het organiseren van niet-incidentele loterijen, verstrekt op basis van artikel 3 van de Wok. Onder deze vergunning mogen loterijen georganiseerd worden ten behoeve van het algemeen belang. De vergunning van VL, geldig van 1 januari 2022 tot en met 31 december 2026, is op 21 oktober 2021 verleend door de raad van bestuur, onder kenmerk 300027/14481. 1  VL is onderdeel van de Holding Nationale Goede Doelen Loterijen N.V.
## Juridisch kader
## Bevoegdheid Kansspelautoriteit
5. Op grond van artikel 33b van de Wok heeft de Kansspelautoriteit onder meer tot taak het toezicht op de naleving van de toepasselijke wet- en regelgeving en de vergunningen, alsmede de handhaving daarvan.
6. Artikel 35 van de Wok bepaalt dat de Kansspelautoriteit een last onder bestuursdwang kan opleggen wegens overtreding van de voorschriften vastgesteld bij of krachtens de Wok, met uitzondering van titel VA., paragraaf 2 van de Wok.
7. Artikel 5:32, eerste lid, van de Algemene wet bestuursrecht (hierna: Awb) bepaalt dat een bestuursorgaan dat bevoegd is een last onder bestuursdwang op te leggen, in plaats daarvan aan de overtreder een last onder dwangsom kan opleggen.
## Kansspelen
8. Artikel 1, eerste lid, aanhef en onder a, van de Wok bepaalt dat het verboden is om gelegenheid te geven om mede te dingen naar prijzen of premies, indien de aanwijzing der winnaars geschiedt door enige kansbepaling waarop de deelnemers geen overwegende invloed kunnen uitoefenen, tenzij daarvoor ingevolge deze wet vergunning is verleend.
9. Artikel 3, eerste lid, van de Wok bepaalt dat tenzij deze wet anders bepaalt, voor een gelegenheid als bedoeld in artikel 1, onder a, een vergunning kan worden verleend, indien deze gelegenheid wordt opengesteld uitsluitend ten einde met
1  Aan VL is op 23 december 2016 een vergunning verleend onder kenmerk 10234 door de raad van bestuur
van de Kansspelautoriteit en gold van 1 januari 2017 tot en met 31 december 2021.
15 mei 2023
01.291.294
- de opbrengst daarvan enig algemeen belang te dienen. De vergunning wordt verleend door de raad van bestuur van de Kansspelautoriteit, bedoeld in artikel 33a van de Wok.
## Kansspelen op afstand
10. Artikel 31, eerste lid, van de Wok bepaalt dat onder een kansspel op afstand wordt verstaan: een gelegenheid als bedoeld in artikel 1, eerste lid, onder a van deze wet, die op afstand met elektronische communicatiemiddelen wordt gegeven en waaraan wordt deelgenomen zonder fysiek contact met degene die die gelegenheid geeft of die voor deelname aan die kansspelen ruimte en middelen ter beschikking stelt.
11. Artikel 31a, eerste lid van de Wok bepaalt dat de Kansspelautoriteit een vergunning kan verlenen tot het organiseren van kansspelen op afstand.
## Onderscheid loterijen en kansspelen op afstand
12. Artikel 31, tweede lid, van de Wok bepaalt dat, met uitzondering van het aanbieden van deelnamebewijzen aan de bij of krachtens algemene maatregel van bestuur aangewezen kansspelen waarvoor op grond van een andere dan titel Vb vergunning is verleend, uitsluitend een vergunning wordt verleend voor het organiseren van kansspelen op afstand overeenkomstig de bepalingen van titel Vb. De in de algemene maatregel van bestuur aangewezen kansspelen zijn genoemd in artikel 1.2 van het Besluit kansspelen op afstand (hierna: Besluit KOA). Hieronder vallen onder andere de kansspelen die krachtens een vergunning op grond van artikel 3 van de Wok worden georganiseerd.
13. In de toelichting bij artikel 1.2 van het Besluit KOA heeft de wetgever vermeld dat voor de verkoop van deelnamebewijzen via het internet geen vergunning voor kansspelen op afstand is vereist, omdat dit onder de uitzondering van artikel 31, tweede lid, van de Wok valt. De wetgever vervolgt dat hiermee de voorheen gangbare praktijk wordt bestendigd waarbij de speler thuis vanachter zijn computer via het internet een lot kan kopen. 2
14. Artikel 2.1, tweede lid, van het Besluit KOA bepaalt dat geen vergunning verleend kan worden voor het op afstand organiseren van loterijen.
2  Toelichting op het besluit Kansspelen op afstand (Stb-2021, 37), p. 87 en 88
OPENBAAR
Kansspelautoriteit
15 mei 2023
01.291.294
15. In de toelichting bij artikel 2.1, tweede lid, van het Besluit KOA heeft de wetgever benadrukt dat 'hiermee een onderscheid is aangebracht tussen loterijproducten en andere kansspelen als sportweddenschappen, weddenschappen op de uitslagen van paardenrennen en harddraverijen, en casinospelen.' 3
## Vergunning
16. In de vergunning is opgenomen dat deze is verstrekt aan VL voor het organiseren van niet-incidentele loterijen als bedoeld in artikel 3 van de Wok. VL beschikt niet over een vergunning voor het organiseren van kansspelen op afstand als bedoeld in artikel 31a, eerste lid, van de Wok.
## Procedure
## Aanleiding
17. Het is in Nederland verboden kansspelen aan te bieden zonder daartoe over de vereiste vergunning te beschikken. Van illegaal aanbod is ook sprake wanneer een partij een kansspel aanbiedt dat niet onder de aan haar verstrekte vergunning georganiseerd mag worden.
18. In de Wok heeft de wetgever voorzieningen getroffen om specifieke vormen van kansspelen te reguleren. Naast de in de Wok bij naam genoemde kansspelen de Staatsloterij, de Lotto, de Instantloterij, de landgebonden sportweddenschappen en de Totalisator - kan de Kansspelautoriteit op grond van artikel 3, eerste lid, van de Wok, vergunningen verstrekken voor een gelegenheid waarbij de opbrengst ten goede komt aan het algemeen belang. In de praktijk verstrekt de Kansspelautoriteit op grond artikel 3, eerste lid, van de Wok enkel de zogeheten 'incidentele artikel 3 loterijvergunningen' en 'nietincidentele artikel 3 loterijvergunningen'. In aanvulling op bovenstaande voorzieningen kan de Kansspelautoriteit sinds 1 april 2021, met de invoering van de Wet Kansspelen op afstand, vergunningen verstrekken voor het aanbieden van kansspelen op afstand. Uit de gemaakte indeling van kansspelen in de Wok blijkt duidelijk dat er geen vermenging van kansspelen plaats moet vinden. Dat voor de onderscheiden categorieën kansspelen verschillende beschermingsregimes voor consumenten gelden onderstreept die opvatting.
3  Toelichting op het Besluit Kansspelen op afstand (Stb. 2021, 37), p. 87
15 mei 2023
01.291.294
19. Op 28 februari 2022 heeft VL de Kansspelautoriteit geïnformeerd over een uitbreiding van haar spelaanbod. VL is dit verplicht op basis van voorschrift 24 aanhef en onder a uit haar vergunning. De Kansspelautoriteit toetst de aanpassing van het aanbod aan hetgeen is toegestaan onder de verleende artikel 3 vergunning. Dit heeft geleid tot een onderzoek naar de spellen Vriendenloterij Miljonairs, Club-Man en Bingo Crush .
## Proces
20. Op 28 februari 2022 heeft VL de Kansspelautoriteit per mail geïnformeerd over het verder uitbreiden van haar spelaanbod. 4  Het gaat om de volgende spellen die in 2022 georganiseerd zullen worden onder de volgende vergunningen: VriendenLoterij Miljonairs (vergunning VL) HOGER-LAGER (vergunning VL) WAAR IS DE BAL (vergunning VL)
In de mail werd door VL erop gewezen dat spelconcepten van bovenstaande spellen vergelijkbaar zijn met die van een door de Nationale Postcode Loterij N.V. (hierna: NPL) aangeboden spel Deal or no Deal . NPL heeft eveneens een vergunning op grond van artikel 3, eerste lid, van de Wok voor het organiseren van niet-incidentele loterijen. NPL en VL maken deel uit van dezelfde groep van ondernemingen, waarbij Holding Nationale Goede Doelen Loterijen N.V. (hierna: de Holding) de moedermaatschappij betreft.
21. Toezichthouders van de Kansspelautoriteit (hierna: toezichthouders) hadden eerder in oktober 2021 kennis genomen van dit door de Nationale Postcode Loterij aanboden spel Deal or no Deal . Dit spel Deal or no Deal kan op de website 5  van de NPL gespeeld worden en betreft een online boxenspel, vergelijkbaar met het gelijknamige televisieprogramma Deal or no Deal. Op de website is te lezen dat consumenten bij het spelen van het boxenspel 'fictieve bedragen' kunnen winnen, maar bij de daaraan gekoppelde loterij automatisch meedingen naar 'echte' prijzen.
22. Als reactie op de e-mail van 28 februari 2022 heeft de Kansspelautoriteit op 21 maart 2022 VL per e-mail geïnformeerd dat zij de desbetreffende mail en de inhoud daarvan gaat bekijken. 6  De Kansspelautoriteit heeft aangegeven VL zo
4  01.259.420 E-mail d.d. 28 februari 2022
5  https://spellen.vriendenloterij.nl/
6  01.261.200 E-mail d.d. 21 maart 2022
OPENBAAR
Kansspelautoriteit
15 mei 2023
01.291.294
- spoedig mogelijk te laten weten of zij nadere vragen heeft ten aanzien van de inhoud van de mail.
## Onderzoek
23. Toezichthouders startten op 16 mei 2022 een onderzoek naar het in de mail van 28 februari 2022 aangekondigde spelaanbod van VL. 7  Ten tijde van het starten van het onderzoek waren de per email aangekondigde spellen van VL nog niet online.
24. Op 23 mei 2022 heeft VL gereageerd op de e-mail van de Kansspelautoriteit van 16 mei 2022 betreffende de aankondiging van het onderzoek. 8  VL heeft middels deze mail gevraagd waar het onderzoek van de Kansspelautoriteit zich specifiek op richt. VL stelde hierbij dat zij altijd transparant is geweest over hoe de spellen eruit zouden komen te zien. In de slotalinea van de mail kondigde VL aan ondertussen door te blijven gaan met de ontwikkeling van de spellen.
25. De Kansspelautoriteit heeft op 7 juni 2022 gereageerd op de e-mail van VL van 23 mei 2022. 9  De Kansspelautoriteit heeft hierbij een reactie gegeven dat het onderzoek zich richt op specifieke kansspelelementen in enkele spellen van VL en dat het verder ontwikkelen van de spellen een eigen keuze is van VL.
26. Op 27 juli 2022 heeft de Kansspelautoriteit een brief gestuurd aan VL met daarin het verzoek om vóór 1 oktober 2022 het aanbieden van de spellen, en alle toekomstig geplande spellen, te staken en gestaakt te houden. 10  In het kort komt het erop neer dat de Kansspelautoriteit vindt dat VL een online kansspel aanbiedt, waarvoor ze geen vergunning heeft. Met het online aanbieden van de loterij, waaraan spellen en/of spelelementen zijn toegevoegd, wordt online meer aangeboden dan enkel deelnamebewijzen, waardoor deze loterij niet kan worden aangeboden op grond van de vergunning waarover VL wel beschikt. De Kansspelautoriteit heeft in deze brief aangegeven dat het van groot belang is, en zo heeft de wetgever het ook bedoeld, juist met de regulering van de kansspelen op afstand, dat het aanbieden van kansspelen op afstand en het loterij-aanbod strikt gescheiden blijven en dat er geen vermenging plaatsvindt tussen deze
7  01.265.788 E-mail d.d. 16 mei 2022
8  01.266.394 E-mail d.d. 23 mei 2022
9  01.267.310 E-mail d.d. 7 juni 2022
10  01.270.693 Brief d.d. 27 juli 2022
15 mei 2023
01.291.294
- vormen van kansspelen. Voor kansspelen op afstand, die geen loterijen mogen betreffen, gelden namelijk specifieke voorschriften vanwege het risicovolle karakter ervan. Het is niet de bedoeling dat aan loterijen (risicovollere) spelelementen worden toegevoegd of in de loterijen worden verwerkt, al helemaal niet als het gaat om online spelvormen.
27. Op 15 augustus 2022 heeft VL een mail gestuurd aan de Kansspelautoriteit met daarin een verzoek om in een overleg een toelichting te ontvangen op de brief van de Kansspelautoriteit van 27 juli 2022. 11
28. Op 22 augustus 2022 heeft de Kansspelautoriteit aan VL via mail laten weten dat de Kansspelautoriteit graag eerst hoort waarover precies onduidelijkheid bestaat, gezien de uitgebreide toelichting in de brief van 27 juli 2022. 12
29. VL heeft op deze mail gereageerd op 24 augustus 2022 en heeft vragen gesteld aan de Kansspelautoriteit. 13  Deze vragen hadden betrekking op:
- de criteria die de Kansspelautoriteit hanteert om te beoordelen of de spellen kansspelen zijn;
- het spelelement dat maakt dat de genoemde spellen meer zijn dan enkel het verstrekken van deelnamebewijzen;
- of de spellen in de huidige vorm nooit legaal kunnen worden aangeboden.
30. Op 8 september 2022 heeft VL een herinnering gestuurd aan de Kansspelautoriteit over de door haar gestelde vragen. 14
31. Op 9 september 2022 heeft de Kansspelautoriteit de vragen van VL per mail beantwoord. 15  De Kansspelautoriteit heeft bij de beantwoording van de vragen met name verwezen naar de inhoud van de brief van 27 juli 2022 en heeft hier de criteria ter beoordeling van een kansspel, aan toegevoegd.
11  01.272.403 E-mail d.d. 15 augustus 2022
12  01.272.673 E-mail d.d. 22 augustus 2022
13  01.272.753 E-mail d.d. 24 augustus 2022
14  01.273.961 E-mail d.d. 8 september 2022
15  01.273.962 E-mail d.d. 9 september 2022
15 mei 2023
01.291.294
32. Op 30 september 2022 heeft VL inhoudelijk gereageerd op de brief van de Kansspelautoriteit van 27 juli 2022. 16  VL heeft aangegeven dat ze de spellen heeft aangepast, maar het aanbod van de spellen niet staakt. De aanpassing ziet op het element waarmee spelers bij het halen van het vooraf vastgestelde resultaat kans maken op extra prijzen. Dit element is komen te vervallen. In deze brief werd voor het eerste gesproken over de inmiddels actief aangeboden spellen van VL: VriendenLoterij Miljonairs , Club-man en Bingo Crush .
33. Op 6 oktober 2022 heeft VL aangepaste deelnemersreglementen voor de spellen aan de Kansspelautoriteit gestuurd. 17
37. Naar aanleiding van bovenstaande aanpassingen hebben toezichthouders van de Kansspelautoriteit op 27 oktober, 16 en 29 november 2022 onderzoek gedaan naar het spelconcept van de Spellen Loterij en de online spellen VriendenLoterij Miljonairs, Club-man en Bingo Crush gespeeld. Zie voor feiten en bevindingen van het onderzoek de verslagen van ambtshandelingen van 2 november en 29 november 2022. 18
34. Per brief van 20 februari 2023 19  maakte de Kansspelautoriteit het voornemen tot het opleggen van een last onder dwangsom kenbaar aan VL. Met deze brief is aan VL de mogelijkheid geboden om een zienswijze, mondeling en/of schriftelijk, te geven op het voorgenomen besluit.
35. VL heeft per e-mail van 6 maart 2023 20  te kennen gegeven een mondelinge zienswijze te willen geven en heeft uitstel gevraagd.
36. Op 13 maart 2023 21  diende VL een schriftelijke zienswijze in.
37. Op 6 april 2023 heeft VL mondeling haar zienswijze naar voren gebracht ten kantore van Kansspelautoriteit. Deze mondelinge zienswijze diende als aanvulling op de reeds ingediende schriftelijke zienswijze. Een afschrift van de
16  01.275.612 E-mail d.d. 30 september 2022
17  01.276.011 E-mail d.d. 6 oktober 2022
18  Verslag met betrekking tot de spellen van Vrienden Loterij N.V., met kenmerk 01.277.654 en Verslag met
betrekking tot aanvullend onderzoek naar de spellen van Postcode Loterij N.V., met kenmerk 01.279.772
19  Met kenmerk 01.285.630
20  Met kenmerk 01.285.929
21  Met kenmerk 01.287.522
OPENBAAR
Kansspelautoriteit
15 mei 2023
01.291.294
- door VL op opgestelde spreeknotities zijn tijdens de hoorzitting gedeeld met de Kansspelautoriteit. 22
38. Op 7 april 2023 23  heeft de Kansspelautoriteit een aangepast deelnemersreglement van de Spellen Loterij van de Postcode Loterij ontvangen. Daarbij is melding gedaan dat het deelnemersreglementen van de Spellen Loterij van de Vrienden Loterij dezelfde wijzigingen kent.
39. De Kansspelautoriteit heeft verslag gemaakt van de hoorzitting van 6 april 2023. Dit verslag is op 19 april 2023 aan VL toegestuurd. VL had tot 26 april 2023 om op het verslag te reageren. 24  VL heeft laten weten geen aanvullingen of ander commentaar te hebben op het verslag. 25
## Bevindingen
## Aanpassingen spellen
38. VL heeft naar aanleiding van de brief van de Kansspelautoriteit van 27 juli 2022 haar spellenaanbod aangepast. Het element dat deelnemers aan de spellen door het halen van een vooraf vastgesteld resultaat kans maken op extra prijzen is komen te vervallen. Daarnaast is aangepast dat iedere deelnemer die zich aanmeldt voor de spellen en daarvoor een account aanmaakt, enkel en alleen door het starten van een van de spellen deelneemt aan de trekking van die betreffende week. Dit was voor de aanpassingen na het uitspelen van het spel. Spelers ontvangen, na het starten van het spel, automatisch een lotnummer en komen op trekking ongeacht de uitslag van het spel. Het is daarbij evenmin nodig dat ze het spel uitspelen.
39. Tijdens de hoorzitting van 6 april 2023 heeft VL aan de Kansspelautoriteit gemeld dat zij recent wederom aanpassingen heeft verricht aan het deelnemersreglement. Deze aanpassingen zien er onder andere op dat alléén deelnemers van de Vrienden Loterij kunnen deelnemen aan de Spellen Loterij. Niet-deelnemers aan de Vrienden Loterij kunnen niet meer meedoen met de Spellen Loterij en kunnen de (online) spellen ook niet meer spelen. Dit komt
22  Met kenmerk 01.289.240
23  Met kenmerk 01.285.929
24  01.289.240 E-mail d.d. 19 april 2023
25  01.289.240 E-mail d.d. 28 april 2023
OPENBAAR
15 mei 2023
01.291.294
doordat de optie tot credits kopen is komen te vervallen, alsook de wallet. Voor de volledigheid wordt nog opgemerkt dat VL in het gewijzigde deelnemersreglement aangeeft dat het vrij is om acties, dan wel campagnes te organiseren waarbij deelnemers op andere wijze credits kunnen verkrijgen. Onvoldoende duidelijk is of dit er niet toe kan leiden dat deelnemers, ondanks de wijziging, (toch) credits kunnen verwerven.
40. In dit besluit zijn deze aanpassingen in het deelnemersreglement, voor zover die tot nieuwe inzichten met betrekking tot de onderzoeksresultaten hebben geleid, meegenomen. Voornoemde aanpassingen zagen niet op inhoud van de (online) spellen VriendenLoterij Miljonairs, Club-man en Bingo Crush , waardoor de onderzoeksverslagen van november 2022, voor zover deze betrekking hebben op de inhoud van de spellen, actueel zijn. Allereerst worden overkoepelende spelconcepten besproken. Hierna volgt een bespreking van de spellen, per spel.
## Spelconcepten
40. Op de website van VL is een specifieke pagina 26  ingericht waar de spellen VriendenLoterij Miljonairs, Club-man en Bingo Crush aangeboden worden. Op de pagina worden de spellen aanduidt als ' VriendenLoterij Spellen' (hierna: de Spellen Loterij). Hierbij wordt vermeld dat deelnemers van de Vrienden Loterij per deelnemend lot (aan de Vrienden Loterij) dagelijks een vijf gratis credits krijgen om op deze pagina de spellen VriendenLoterij Miljonairs, Club-man en Bingo Crush te spelen en daarmee kans te maken op geldprijzen.
41. Het spelconcept van de Spellen Loterij is onderverdeeld in een eerste deel, een online spel ( VriendenLoterij Miljonairs, Club-man en Bingo Crush) , en een tweede deel waarbij sprake is van een loterij. De online spellen bestaan uit een quiz bij Weekend Miljonairs , een arcade game bij Club-man en een puzzelspel bij Bingo Crush . Alle spelers van de online spellen nemen automatisch deel aan de daaraan gekoppelde loterij. Spelers van alle drie de spellen nemen uiteindelijk deel aan dezelfde loterijtrekking.
42. Na de meeste recente wijziging van het deelnemersreglement kunnen alléén deelnemers van de Vrienden Loterij deelnemen aan de Spellen Loterij. Nietdeelnemers aan de Vrienden Loterij kunnen geen account aanmaken op de website van de Spellen Loterij, waardoor zij niet kunnen deelnemen aan de
26  https://spellen.vriendenloterij.nl/
OPENBAAR
15 mei 2023
01.291.294
Spellen Loterij, noch de spellen kunnen spelen. Dit komt doordat de optie tot credits kopen is komen te vervallen, alsook de wallet. Deelnemers van de Vrienden Loterij die het daarvoor noodzakelijke account aanmaken op de website van de Spellen Loterij, en enkel en alleen een spel spelen, doen mee met de trekking van die desbetreffende week. Spelers ontvangen, na het starten van het spel, automatisch een lotnummer en komen op de trekking ongeacht de uitslag van het spel.
## VriendenLoterij Miljonairs
43. Het spel VriendenLoterij Miljonairs is een quiz (afbeelding 1). Het spel bestaat uit 15 meerkeuzevragen die een speler moet beantwoorden. Als de vraag goed is beantwoord gaat de speler door naar de volgende vraag. Hoe meer vragen goed beantwoordt, hoe verder een speler komt in het spel. Bij een foutief antwoord, is de speler direct af. De speler kan tijdens het spelen van het spel hulplijnen inroepen.
Afbeelding 1: Vrienden Loterij Miljonairs
&lt;!-- image --&gt;
OPENBAAR
15 mei 2023
01.291.294
44. Uit het aanvullend onderzoek uitgevoerd door een toezichthouder van de Kansspelautoriteit op 16 november 2022 27  blijkt op welk moment de speler een ticket ontvangt voor de loterij gekoppeld aan de spellen. De ingezette credit wordt omgezet in een lotnummer nadat de speler de eerste vraag heeft gekozen en het spel daadwerkelijk aan het spelen is.
## Club-Man
45. Het spel Club-Man is een arcade game (afbeelding 2). Het doel van het spel is zoveel mogelijk ballen verzamelen. Voordat een spel start, moet de speler een voetbalclub kiezen waarvoor hij speelt. Dit zijn voetbalclubs uit de Eredivisie. Door het gebruiken van een joystick (of pijltjestoetsen) kan de speler zich door het veld heel bewegen, en moet hierbij de scheidsrechters ontwijken. Door middel van het pakken van een doel, scoort de speler en hebben de scheidsrechters alleen nog maar geel op zak.
Afbeelding 2: Club-Man
&lt;!-- image --&gt;
27  Verslag met betrekking tot extra onderzoek naar de spellen van Vrienden Loterij N.V., met kenmerk 01.279.772
OPENBAAR
15 mei 2023
01.291.294
46. Uit het aanvullend onderzoek uitgevoerd door een toezichthouder van de Kansspelautoriteit op 16 november 2022 28  blijkt op welk moment de speler een ticket ontvangt voor de loterij gekoppeld aan de spellen. De ingezette credit wordt omgezet in een lotnummer nadat het bewegingsveld in beeld is gekomen en de speler het spel daadwerkelijk aan het spelen is.
## Bingo Crush
47. Het spel Bingo Crush is een puzzelspel (afbeelding 3). Dit spel draait om het combineren van bingoballen. Door het swipen van de ballen moet een speler drie balletjes van dezelfde kleur en op een rij krijgen. Dit kan een horizontale of verticale rij zijn. Met het scoren van een ster, kan een speler een hele rij wegspelen. Hierbij moet een speler zoveel mogelijk punten scoren om een level te halen. Er zijn 10 levels. Hoe verder een speler komt, hoe moeilijker de level.
Afbeelding 3: Bingo Crush
&lt;!-- image --&gt;
28  Verslag met betrekking tot extra onderzoek naar de spellen van Vrienden Loterij N.V., met kenmerk 01.279.772
15 mei 2023
01.291.294
48. Uit het aanvullend onderzoek uitgevoerd door een toezichthouder van de Kansspelautoriteit op 29 november 2022 29  blijkt op welk moment de speler een ticket ontvangt voor de loterij gekoppeld aan de spellen. De ingezette credit wordt omgezet in een lotnummer nadat het puzzelveld in beeld is gekomen en de speler het spel daadwerkelijk aan het spelen is.
## Loterij
49. De Spellen Loterij omvat zowel de (online) spellen VriendenLoterij Miljonairs, Club-man en Bingo Crush als een trekking. De Spellen Loterij bestaat uit een wekelijkse trekking. Op de website van VL staat vermeld dat de loterij één prijzenpakket betreft, ongeacht welk spel de speler speelt of de score van de speler, en dat de speler door spellen te starten kans maakt op de prijzen. 30
50. In het deelnemersreglement behorende bij de spellen aangeboden door VL, te raadplegen op de website van de Spellen Loterij, staat in artikel 3 dat deelnemers die een spel starten automatisch een lotnummer ontvangen bestaande uit een combinatie van 2 cijfers, gevolgd door 8 cijfers, gevolgd door 2 letters, bijvoorbeeld 91-12345678-AA. Met het lotnummer speelt de deelnemer automatisch mee in de weektrekking van de Spellen Loterij. 31
51. De Spellen Loterij bestaat volgens artikel 3 van het deelnemersreglement uit het volgende element: de persoon die een spel start, doet met zijn lotnummer(s) automatisch mee in de eerstkomende trekking van de Spellen Loterij waarvoor dit mogelijk is. Het al dan niet uitspelen van het spel is daarbij niet relevant. De uitslag van het spel heeft geen invloed op de uitkomst van de trekking. 32
52. In artikel 5 van het deelnemersreglement staat vermeld dat de speler deelname aan een spel per keer dat hij of zij het spel speelt, een uniek lotnummer ontvangt waarmee hij of zij automatisch meedoet in de eerstvolgende weektrekking van de Spellen Loterij waarvoor dit mogelijk is.
## Website
53. De spellen worden op de website van VL aangeboden onder de knop 'spellen'. 33
29  Verslag met betrekking tot extra onderzoek naar de spellen van Postcode Loterij N.V., met kenmerk
01.278.580
30  https://spellen.vriendenloterij.nl/prijzen
31  01.276.011 E-mail d.d. 6 oktober 2022
32  01.276.011 E-mail d.d. 6 oktober 2022
33  https://spellen.vriendenloterij.nl/
54. Als men via de kop 'spellen' klikt op 'VriendenLoterij Miljonairs' wordt men naar de webpagina van het spel VriendenLoterij Miljonairs geleid. Op deze pagina is de tekst ' Speel VriendenLoterij Miljonairs en maak kans op geldprijzen tot wel €10.000,-!' 34 te lezen. Ook staat er de tekst ' Hoeveel kennis heb jij? Test het nu met VriendenLoterij Miljonairs!'. Ook staat op de webpagina de tekst ' Door het spel te starten maak je automatisch kans op mooie geldprijzen! Als je een credit inzet en een spel speelt, maak je kans op geldprijzen tot wel € 25.000,-. Hoe ver kom jij?'. Bovenaan de webpagina staat een groene button met de tekst ' speel Vriendenloterij Miljonairs' .
55. Als men via de kop 'spellen' klikt op 'Club-Man' wordt men naar de webpagina van het spel Club-Man geleid. Op deze pagina is de tekst ' Speel Club-Man en maak kans op geldprijzen tot wel €10.000,-! ' te lezen. Ook staat er de tekst ' Hoe behendig ga jij door het veld?. ' Ook staat op de webpagina de tekst ' door spellen te starten maak je kans op mooie prijzen! Als je een credit inzet en het spel speelt, maak je kans op geldprijzen tot wel € 25.000,'. Bovenaan de webpagina staat een groene button met de tekst ' speel Club-Man' .
56. Als men via de knop 'spellen' klikt op 'Bingo Crush' wordt men naar de webpagina van het spel Bingo Crush geleid. Op deze pagina is de tekst ' Speel Bingo Crush en maakkans op geldprijzen tot wel €25.000,-! ' te lezen. Ook staat er de tekst ' Combineer de Bingoballen! Scoor zoveel mogelijk punten'. ' Ook staat op de webpagina de tekst ' Door spellen te starten maak je kans op mooie prijzen! Als je een credit inzet en het spel speelt, maak je kans op geldprijzen tot wel €25.000,-.. ' Bovenaan de webpagina staat een groene button met de tekst 'speel Bingo Crush'.
## Beoordeling kansspel
57. De website van de Spellen Loterij is zo ingericht dat de consument wordt geleid naar het spelen van de spellen. Op de website staan groene buttons met de teksten 'Naar de spellen of speel een spel'. De consument wordt uitgenodigd de spellen te spelen. Op de website is bijvoorbeeld de volgende tekst opgenomen: 'Als deelnemer van de VriendenLoterij krijg je per lot élke dag VIJF CREDITS om bij de VriendenLoterij Spellen jouw favoriete spel te spelen. Hiermee maak je kans op alle mooie wekelijkse geldprijzen..'. Ook staat er 'Door een spel te starten maakt u automatisch kans op geldprijzen tot wel €25.000,-!. Tijdens het
34  Op de website wordt wisselend gesproken over de te winnen geldprijzen (tot wel € 10.000,- of tot wel €
25.000,-).
15 mei 2023
01.291.294
- spelen van de spellen is er geen mogelijkheid opgenomen in beeld om het spelen van het spel te stoppen. Enkel door het op de 'terugknop' van de webbrowser te klikken kan het spel gestopt worden.
58. Het deelnemersreglement voor de Spellen Loterij ziet op de voorwaarden en het concept van zowel de (online) spellen als de daaraan gekoppelde trekking. Verder is op de webpagina's met het aanbod van de spellen geen mogelijkheid opgenomen om direct loten voor de Spellen Loterij te kopen. De online spellen maken hiermee integraal onderdeel uit van de Spellen Loterij, evenals de daaraan gekoppelde trekking.
59. Uit het deelnemersreglement, noch uit de teksten op de website, kan worden afgeleid dat de (online) spellen en de trekking als afzonderlijke spellen moeten worden gezien. In tegendeel. Zoals uit hetgeen hiervoor is weergegeven blijkt duidelijk dat de spelelementen tezamen met de loterij-elementen van de Spellen Loterij één integraal geheel vormen en als een geheel beoordeeld moeten worden om vast te stellen of de gelegenheid een kansspel is in de zin van de Wok.
60. Met de Spellen Loterij kunnen deelnemers van de Postcode Loterij dagelijks, door een (online) spel te starten, meedingen met prijzen en premies. De aanwijzing van de winnaar geschiedt door enige kansbepaling, namelijk de wekelijkse trekking, waarbij de deelnemers geen overwegende invloed kunnen uitoefenen. De gelegenheid als de Spellen Loterij voldoet daarmee aan de definitie van een kansspel zoals opgenomen in artikel 1, eerste lid, aanhef en onder a, van de Wok.
61. Het door VL aangeboden kansspel met daarbij de spelvarianten wordt, via de website van VL, op afstand aangeboden. Het spelen van de spellen VriendenLoterij Miljonairs, Club-man en Bingo Crush van begin tot eind van de spellen, het bekijken van de uitslag van de spellen en de loterij speelt zich volledig online af, waarbij geen fysiek contact tot stand komt of mogelijk is tussen speler en aanbieder.
62. Hiermee voldoet het kansspel de Spellen Loterij aan de definitie van kansspelen op afstand, zoals opgenomen in artikel 31, eerste lid, van de Wok.
63. In aanvulling op bovenstaande stelt de Kansspelautoriteit vast dat, ongeacht of het door VL aangeboden kansspel een loterij is, het aangeboden kansspel niet
OPENBAAR
15 mei 2023
01.291.294
onder de uitzondering van artikel 31, tweede lid, van de Wok valt. Deze uitzondering heeft betrekking op het online aanbieden van deelnamebewijzen, zonder daartoe te beschikken over een vergunning voor kansspelen op afstand. VL biedt met het kansspel op afstand online meer aan dan enkel deelnamebewijzen.
## Overtreding
64. Op grond van voorgaande bevindingen stelt de Kansspelautoriteit vast dat VL een kansspel op afstand aanbiedt, terwijl zij niet over de daarvoor vereiste vergunning beschikt. VL overtreedt hiermee artikel 1, aanhef en onder a, van de Wok. VL heeft geen vergunning voor het organiseren van kansspelen op afstand zoals bedoeld in artikel 31a van de Wok.
## Zienswijze VL
41. Samenvattend heeft VL als zienswijze naar voren gebracht dat haar (online) spellen VriendenLoterij Miljonairs, Club-man en Bingo Crush geen kansspelen zijn zoals bedoeld in artikel 1, eerste lid, onder a, van de Wok, zodat voor het aanbieden ervan geen vergunning vereist is. Ook is het VL onduidelijk welke specifieke elementen in de opzetten van deze spellen strijdig zouden zijn met toepasselijke wet- en regelgeving. VL stelt dat het voorgenomen besluit ongegrond is en verzoekt de Ksa haar standpunt ter zake te heroverwegen. Hieronder wordt nader ingegaan op de onderdelen van de zienswijze.
</t>
  </si>
  <si>
    <t>[...] termijn wordt aangetroffen op een website die zich richt op minderjarigen tot een maximum van € 100.000,-. ## Besluit 30. De raad van bestuur van de Kansspelautoriteit legt aan de BankGiro Loterij N.V. de volgende last onder dwangsom op: 1. De BankGiro Loterij N.V. dient uiterlijk 27 oktober 2017 overtreding van artikel 4a, vijfde lid van de Wok jo. artikel 2, derde lid, van het Besluit bestaande uit het online richten van wervings- en reclameactiv [...]</t>
  </si>
  <si>
    <t>KSA__https___kansspelautoriteit.nl_sites_default_files_last_onder_dwangsom_cafe_restaurant_de_kruik.txt::Besluitvormend Orgaan</t>
  </si>
  <si>
    <t>De raad van bestuur van de Kansspelautoriteit [10010:10055]</t>
  </si>
  <si>
    <t>## 1. Samenvatting
1. De raad van bestuur van de Kansspelautoriteit (hierna: de raad van bestuur) heeft vastgesteld dat Play North Limited (hierna: Play North) niet voldoet aan artikel 3, tweede lid, onder d, artikel 3, achtste lid en artikel 16, eerste lid van de  Wet ter voorkoming van witwassen en financieren van terrorisme (hierna: Wwft). De raad van bestuur geeft Play North een aanwijzing om binnen een termijn van drie maanden de gegeven gedragslijnen op te volgen en daarmee de  overtredingen te beëindigen en beëindigd te houden.
2. Na afloop van de begunstigingstermijn zal de Kansspelautoriteit controleren op het opvolgen van de hierboven gegeven aanwijzing en het nakomen van de gedragslijnen. Indien de Kansspelautoriteit constateert dat Play North geen gevolg heeft gegeven dan wel niet tijdig of onvolledig gevolg heeft gegeven aan de aanwijzing dan kan de raad van bestuur hiervoor een last onder dwangsom (artikel 29, onder g, van de Wwft) of een bestuurlijke boete (artikel 30, onder g, van de Wwft) opleggen.
## 2. Procedure
3. Op 3 mei 2022 heeft de Kansspelautoriteit per brief (kenmerk 01.264.951) een Wwft-onderzoek bij Play North aangekondigd. In deze brief zijn 15 cliëntenonderzoeken opgevraagd. In de brief heeft de Kansspelautoriteit voorts aangekondigd de voorlopige bevindingen in juli 2022 met Play North te delen en een gesprek in te plannen om de reactie van Play North hierop te bespreken. De definitieve terugkoppeling ten aanzien van de cliëntenonderzoeken volgt in augustus 2022.
&lt;!-- image --&gt;
Kansspelautoriteit
Aanwijzing als bedoeld in artikel 28 van de Wet ter voorkoming van witwassen en financieren van terrorisme.
Datum: 10 november 2022
Kenmerk: 01.277.558
Openbaarmaking onder kenmerk: 01.292.391
## Aanwijzing
10 november 2022
Ons kenmerk
01.292.391
4. Op 24 mei 2022 heeft Play North - conform de in de brief gestelde termijn - de gevraagde cliëntenonderzoeken aangeleverd. Op 30 mei 2022 heeft de Kansspelautoriteit verzocht om een digitaal overleg om de wijze van cliëntenonderzoek te bespreken. Op 2 juni 2022 vond dit gesprek digitaal plaats.
5. De Kansspelautoriteit heeft daarin aangegeven doordat de datum van bepaalde handelingen of triggers niet zijn vermeld, het voor de Kansspelautoriteit onduidelijk is hoe de risicoanalyse en conclusies in de dossiers tot stand zijn gekomen. De inhoudelijke risicoanalyse van de speler lijkt te zijn opgesteld nadat de Kansspelautoriteit cliëntenonderzoeken opvroeg. De Kansspelautoriteit heeft aangegeven voor het cliëntenonderzoek graag de originele data te ontvangen.
6. De Kansspelautoriteit heeft vervolgens de aangeleverde cliëntenonderzoeken door Play North vernietigd, nu deze niet voldoen aan de gestelde eisen. In afstemming met de Kansspelautoriteit heeft Play North - in afwijking van de in de brief gestelde termijn - op 28 juni 2022 opnieuw cliëntenonderzoeken aangeleverd.
7. Op 4 augustus 2022 hebben twee toezichthouders van de Kansspelautoriteit een gesprek met Play North gevoerd over de voorlopige bevindingen en de reactie van Play North hierop. Play North is de gelegenheid geboden informatie die tot een ander oordeel kan leiden aan te leveren. Op 12 en 26 augustus 2022 heeft Play North deze informatie aangeleverd.
8. In bijlage 2 van het onderzoeksrapport met kenmerk 01.271.345 is een overzicht opgenomen van alle aangeleverde documentatie per cliëntenonderzoek. Omdat de 15 cliëntenonderzoeken aan de hand van transacties zijn opgevraagd, zien twee transacties op hetzelfde cliëntenonderzoek. Het totaal aantal beoordeelde cliëntenonderzoeken van individuele personen is daarmee 14.
9. Bij brief van 5 oktober 2022 (kenmerk: 01.275.312) heeft de raad van bestuur aangegeven voornemens te zijn Play North een aanwijzing te geven op grond van de Wwft. Play North is daarbij in de gelegenheid gesteld om een zienswijze op dit voornemen in te dienen.
10. Bij e-mail van 20 oktober 2022 heeft Play North een schriftelijke zienswijze ingediend. Op de inhoud van de zienswijze wordt in paragraaf 5 en 6 van dit besluit ingegaan.
## 3. Juridisch kader
## Ten aanzien van de bevoegdheid van de Kansspelautoriteit
11. In artikel 1a, vierde lid, van de Wwft is bepaald dat als natuurlijke personen, rechtspersonen of vennootschappen handelend in het kader van hun beroepsactiviteiten waarop deze wet van toepassing is worden aangewezen:
n. natuurlijke personen, rechtspersonen of vennootschappen die beroeps- of bedrijfsmatig gelegenheid geven als bedoeld in artikel 1, eerste lid, onderdeel a, van de Wet op de kansspelen of die activiteiten verrichten als bedoeld in artikel 7a, 30b, 30h of 30z van die wet.
12. Op grond van artikel 1d, eerste lid, onder f, van de Wwft is de Kansspelautoriteit met de uitvoering en handhaving van de Wwft belast voor zover het betreft instellingen als bedoeld artikel 1a, vierde lid, onderdeel n.
13. Op grond van artikel 28 van de Wwft kan de toezichthoudende autoriteit een ieder die niet voldoet aan een ingevolge deze wet op hem rustende verplichting een aanwijzing geven om binnen een door de toezichthoudende autoriteit gestelde redelijke termijn ten aanzien van in de aanwijzingsbeschikking aan te geven punten een bepaalde gedragslijn te volgen.
## Ten aanzien van de overtredingen
- 14.
- Artikel 3, tweede lid, onder d, van de Wwft bepaalt: de kennis die de instelling heeft van de cliënt en diens risicoprofiel, met zo nodig
Het cliëntenonderzoek stelt de instelling in staat om een voortdurende controle op de zakelijke relatie en de tijdens de duur van deze relatie verrichte transacties uit te oefenen, teneinde te verzekeren dat deze overeenkomen met een onderzoek naar de bron van de middelen die bij de zakelijke relatie of de transactie gebruikt worden.
Een instelling stemt het cliëntenonderzoek aantoonbaar af op de risicogevoeligheid voor witwassen of financiering van terrorisme van het type
- Artikel 3, achtste lid, van de Wwft bepaalt: cliënt, zakelijke relatie, product of transactie.
## Artikel 16, eerste lid, van de Wwft bepaalt:
Een instelling meldt een verrichte of voorgenomen ongebruikelijke transactie onverwijld nadat het ongebruikelijke karakter van de transactie bekend is geworden, aan de Financiële inlichtingen eenheid.
Datum
10 november 2022
Ons kenmerk
01.292.391
## 4. Bevindingen
Ten aanzien van de cliëntenonderzoeken
15. De toezichthouders van de Kansspelautoriteit hebben geconstateerd dat 11 van  de 14 cliëntenonderzoeken onvoldoende zijn. Play North is niet in staat een  voortdurende controle op de spelers en diens transacties uit te oefenen en  daardoor niet verzekerd dat deze overeenkomen met de kennis die Play North  heeft van de speler en diens risicoprofiel, met zo nodig een onderzoek naar de  bron van de middelen. Het cliëntenonderzoek is daarmee niet aantoonbaar afgestemd op de risicogevoeligheid voor witwassen van het type cliënt. Dit is in  strijd met artikel 3, tweede lid, onderdeel d van de Wwft juncto artikel 3, achtste  lid van de Wwft.
1. Daarbij gaat het om spelers waar ondanks hoge netto verliezen (stortingen min de uitbetalingen) géén of te laat onderzoek naar de bron van de middelen wordt gestart. Bijvoorbeeld:
3. -Een [speler] verliest [in twee maanden][meer dan € 135.000][blijkend uit cliëntenonderzoek]
Een [speler] verliest [in twee maanden][zo'n € 20.000] Daarbij stort de  speler binnen één uur [zo'n € 25.000] zonder dat er onderzoek wordt gedaan of een alert afgaat [blijkend uit cliëntenonderzoek]
- -Een [speler] verliest in [anderhalve week][meer dan € 12.000]. Pas daarna wordt een  onderzoek gestart [blijkend uit cliëntenonderzoek]
- -Een [speler] verliest in 2 weken [meer dan € 25.000] [blijkend uit cliëntenonderzoek]
- -Een [speler] verliest in 1 dag [zo'n € 20.000][blijkend uit cliëntenonderzoek]
- -Een [speler] verliest in [anderhalve week][zo'n € 15.000]. Pas daarna wordt een onderzoek  gestart [blijkend uit cliëntenonderzoek]
2. Ondanks dat er diverse alerts af gaan (bijvoorbeeld: 'binge gambling', 'increased spending', 'chasing losses', 'deposit frequency', 'SoF check', 'increased playing duration') kunnen spelers door blijven storten en spelen. Het afgaan van alerts is blijkbaar geen reden om in te grijpen voor Play North [blijkend uit cliëntenonderzoek.]
3. Voor de 11 cliëntenonderzoeken die als onvoldoende zijn beoordeeld is geen risicoanalyse aanwezig of deze is inhoudelijk onvoldoende, waardoor niet navolgbaar is hoe tot de risicoclassificatie is gekomen.
De Kansspelautoriteit verwijst naar de detailbevindingen in bijlage 1 van het onderzoeksrapport.
Ten aanzien van de meldingen ongebruikelijke transacties
16. De toezichthouders van de Kansspelautoriteit hebben geconstateerd dat in 9
Datum
10 november 2022
Ons kenmerk
01.292.391
Datum
10 november 2022
Ons kenmerk
01.292.391
cliëntenonderzoeken transacties niet onverwijld zijn gemeld bij de Financiële Inlichtingen Eenheid (hierna: FIU). Dit is in strijd met artikel 16, eerste lid, van de Wwft.
De Kansspelautoriteit verwijst naar de detailbevindingen in bijlage 1 van het onderzoeksrapport.
## 5. Zienswijze
17. Door Play North is als zienswijze op het voornemen tot het geven van een  aanwijzing op grond van artikel 28 van de Wwft het volgende naar voren gebracht:
1. Het eerste standpunt dat door Play North wordt aangevoerd is dat de klantrisicoanalyses daadwerkelijk zijn uitgevoerd, maar voorheen niet navolgbaar waren. De risicoanalyses zijn per september 2022 navolgbaar gemaakt. Om de risicoanalyses aan de Kansspelautoriteit voor te leggen, moest Play North de in verschillende platformen gevonden gegevens combineren en  vertalen. Volgens Play North leidde dit begrijpelijkerwijs tot de schijn dat de  gepresenteerde klantrisicoanalyses speciaal gemaakt waren om aan het verzoek van de Kansspelautoriteit te voldoen en vervolgens tot de vernietiging van deze documenten. Met ingang van september 2022 heeft Play North dit probleem reeds verholpen door middel van het Jira Task Management systeem waarmee  volgens Play North het niveau van navolgbaarheid dat het bestuur van  Kansspelautoriteit verwacht is bereikt. Play North begrijpt het belang van een goede administratie om aan de Kansspelautoriteit aan te tonen dat de klantrisicoanalyses tijdig zijn uitgevoerd en heeft, nog vóór de uitvaardiging van  deze voorgenomen aanwijzing, de in de aanwijzing vereiste verbeteringen  aangebracht die de klantrisicoanalyses navolgbaar moeten maken.
2. Het tweede standpunt dat door Play North wordt aangevoerd is dat het inherente zakelijke witwas- en terrorismefinancieringsrisico dat Play North loopt, aanzienlijk is verminderd door de strenge acceptatiecriteria voor klanten en het type spellen en de betaalmethode die aan haar klanten worden aangeboden. Volgens Play North ligt het witwas- en terrorismefinancieringsrisico bij haar door bepaalde beleidsbeslissingen - zoals het niet onboarden van PEPs, het vereiste dat alle geregistreerde personen een BSN-nummer moeten hebben en in Nederland moeten wonen, alleen vanuit Nederland kunnen inloggen (IP Block) en een Nederlandse bankrekening moeten gebruiken - aanzienlijk lager dan bij
Datum
10 november 2022
Ons kenmerk
01.292.391
andere aanbieders. Play North leidt uit de toelichting in bijlage 1 van het onderzoeksrapport af dat de Kansspelautoriteit juist de periode dat een klant zich pas heeft aangemeld, beschouwt als een stadium waarin een strengere controle nodig is, en dit is begrijpelijk omdat de kennis van de klant op dat moment beperkt is. Play North beperkt dit risico echter op de hierboven genoemde wijze. Play North verduidelijkt dat de drempelwaardes waarbij nader onderzoek naar de klant moet worden verricht, daardoor aan de hoge kant kunnen zijn in vergelijking met aanbieders die een inherent hoger bedrijfsrisico op witwassen en de financiering van terrorisme hebben. Paragraaf 3.5.2 van de Leidraad vermeldt inderdaad dat, "hoewel het vaak voor kan komen", het uitgeven van grote bedragen slechts mogelijk is voor een klein deel van de maatschappij en Play North kijkt naar andere parameters om te bepalen of de klant in kwestie al dan niet deel uitmaakt van dit kleine deel van de maatschappij door andere (transactie)gedrag te beoordelen, zoals aanbevolen in paragraaf 3.5.2 van de Leidraad. De Wwft en de Leidraad definiëren niet wat "een groot geldbedrag uitgeven" inhoudt. Het risico moet worden bepaald op basis van verschillende aspecten van het gedrag van de klant, waaronder het door de klant verloren bedrag, maar ook het geografische risico, het transactiegedrag (zoals het patroon van stortingen en opnames) en het gespeelde spel. Volgens Play North is het niet ongewoon dat spelers met een vergelijkbaar bedrag aan stortingen een verschillend risiconiveau hebben als gevolg van andere factoren dan het gestorte of verloren bedrag.
3. Het derde standpunt dat door Play North wordt aangevoerd is dat de voorlopige aanwijzing binnen het kader valt van de Wwft en de waarschuwingen ('alerts') met betrekking tot verslavingspreventie hadden niet in het onderzoek betrokken moeten worden. Verslavingspreventie-alerts zijn de verantwoordelijkheid van het Verantwoord Spelen-team, dat een ander interventiemodel hanteert dat kan bestaan uit (geautomatiseerde) berichten, waarschuwingen, gesprekken met de klanten en gedwongen limieten- en uitsluiting. Aangezien dat buiten dit Wwft-onderzoek valt, is daarover geen nadere informatie verstrekt. Hoewel er een overlapping kan zijn tussen RG (responsible gaming) en AML (anti-money laundering) , en een speler met hoge uitgaven en duidelijke verslavingsproblemen ook vanuit AML-oogpunt moet worden gecontroleerd, hoeft een afzonderlijke RG-waarschuwing volgens Play North op zich niet te wijzen op een mogelijk geval van witwassen.
4. Het vierde standpunt dat door Play North wordt aangevoerd is dat door miscommunicatie, tussen Play North en de Kansspelautoriteit, de Kansspelautoriteit eerder niet heeft kunnen vaststellen welke meldingen aan de FIU zijn gedaan. Play North verwijst naar sectie IV voor een lijst van alle
Ons kenmerk
01.292.391 objectieve en subjectieve meldingen die door Play North zijn ingediend voor de klanten die deel uitmaken van dit onderzoek.
5. Het vijfde standpunt dat door Play North wordt aangevoerd is dat zij ondertussen een veelheid aan andere verbeteringen hebben doorgevoerd, al voordat de voorgenomen aanwijzing is ontvangen.
## 6. Beoordeling zienswijze
18. Ten aanzien van het eerste standpunt overweegt de raad van bestuur het volgende. Play North geeft aan dat begrijpelijkerwijs de schijn is gewekt dat de gepresenteerde klantrisicoanalyses speciaal gemaakt waren om aan het verzoek van de Kansspelautoriteit te voldoen. De Kansspelautoriteit heeft meerdere keren verzocht om de originele data te verkrijgen. Op 2 juni 2022 heeft de Kansspelautoriteit per e-mail medegedeeld dat: 'de inhoudelijke risicoanalyse  van de speler lijkt te zijn opgesteld nadat wij cliëntenonderzoeken opvroegen.  Voor ons is daarmee niet vast te stellen of deze gegevens zich al in uw interne  systeem bevonden of dat u deze gegevens speciaal voor ons heeft opgesteld.  Voor het cliëntenonderzoek ontvangen wij graag de originele data (printscreen of  uitdraai van uw systeem bijvoorbeeld)'. Op 7 juni 2022 geeft de  Kansspelautoriteit per e-mail aan: 'Wat wij niet zien is de risicoanalyse die leidt  tot de beoordeling van het risicoprofiel. De beoordeling moet aansluiten op het  onderzoek (de bevindingen uit het onderzoek uit de video's hierboven worden meegewogen in de risicoanalyse). Uit de beoordeling blijkt hoe tot een conclusie omtrent het risicoprofiel is gekomen. Het risicoprofiel van de speler is ons trouwens überhaupt niet duidelijk (laag, middel, hoog, onacceptabel) of wanneer  het risicoprofiel gewijzigd wordt. Overigens heeft u wel een inhoudelijke  risicoanalyse van de speler aangeleverd (onder 'd' in het 'EXAMPLE' document)  maar deze lijkt niet afkomstig te zijn van uw interne systeem. Dit document lijkt  specifiek te zijn opgesteld voor de Kansspelautoriteit' . En op 9 juni stuurt de  Kansspelautoriteit per e-mail: ' We hebben nog geen reactie op onderstaande e-  mail (red. e-mail 7 juni 2022) ontvangen. Wij gaan ervan uit dat de aangeleverde  documentatie alles bevat dat beschikbaar is over deze speler'. De Kansspelautoriteit kan dan ook niet vaststellen of Play North de klantrisicoanalyses voorheen heeft uitgevoerd, zoals Play North beweert.
De stelling van Play North dat klantrisicoanalyses per september 2022 navolgbaar zijn gemaakt door middel van het Jira Task Management systeem, betekent niet dat de Kansspelautoriteit van het opleggen van een aanwijzing hoeft af te zien. Zo geeft Play North geen enkel bewijs van deze per september 2022 uitgevoerde navolgbare risicoanalyses. Kortom, niet is aangetoond dat de overtredingen zijn beëindigd en evenmin is aangetoond dat het navolgbaar Datum
10 november 2022
Ons kenmerk
01.292.391
maken van alle risicoanalyses in september 2022 ertoe leidt dat deze op zeer korte termijn tot beëindiging van de overtreding leiden.
19. Ten aanzien van het tweede standpunt overweegt de raad van bestuur het volgende.
Play North meent dat de drempelwaardes waarbij nader onderzoek naar de klant moet worden verricht aan de hoge kant kunnen zijn in vergelijking met aanbieders die een inherent hoger bedrijfsrisico op witwassen hebben als gevolg van bepaalde beleidsbeslissingen van Play North. Artikel 3, tweede lid, aanhef en onder d, van de Wwft bevat een open norm. Play North is zelf verantwoordelijk om deze norm nader in te vullen en maatregelen te treffen om de risico's in haar bedrijfsvoering ingevolge de Wwft te beheersen. Het is vervolgens aan de toezichthouder, de Kansspelautoriteit in dit geval, om te beoordelen of de invulling van de norm en de uitvoering daarvan toereikend zijn. De Kansspelautoriteit is van mening dat de getroffen beleidsbeslissingen niet automatisch betekenen dat hoge (netto)stortingen van spelers geen risico's opleveren. Een gemiddeld netto maandsalaris ligt rond de 2.500,- euro en het is slechts voor weinigen weggelegd dergelijke bedragen aan kansspelen te kunnen uitgeven. De raad van bestuur verwijst tevens naar de overweging hieromtrent in randummer 26. De Kansspelautoriteit is het eens met Play North dat spelers met een vergelijkbaar bedrag aan stortingen een verschillend risiconiveau hebben als gevolg van andere factoren dan het gestortte of verloren bedrag. De Kansspelautoriteit meent echter dat daarvoor onderzoek naar de bron van middelen essentieel is en heeft nu juist vastgesteld dat Play North ook bij stortingen die ver boven de 2.500,- euro liggen (namelijk tussen de 12.000 en 135.000 euro) niet acteert (zie randnummer 15). De Kansspelautoriteit is dan ook van mening dat Play North bij spelers met hoge (netto) stortingen andere maatregelen had kunnen treffen om haar risico's te mitigeren, zoals bijvoorbeeld een maximum aan de (netto) storting kunnen koppelen waarbij spelers eerst de bron van de middelen moeten aantonen voordat zij deze enorme bedragen kunnen verliezen. Play North had spelers ook kunnen weigeren als zij niet konden instaan voor een deugdelijke controle op transacties.
20. Ten aanzien van het derde standpunt van Play North overweegt de raad van bestuur het volgende. De Kansspelautoriteit is het eens met Play North dat er een overlapping kan zijn tussen verslaving en witwassen en dat een afzonderlijke verslavingswaarschuwing op zich niet hoeft te wijzen op witwassen.
Datum
10 november 2022
Ons kenmerk
01.292.391 Juist door deze mogelijke overlapping is informatie over verslaving relevant voor het risico op witwassen. In de brief d.d. 3 mei 2022 (kenmerk: 01.264.951)
heeft de Kansspelautoriteit dan ook specifiek aangegeven: ' Voor de duidelijkheid geven wij hierbij aan dat ook informatie over bijvoorbeeld speelfrequentie en  - duur, signalen over (mogelijke) kansspelverslaving en interventiemaatregelen  behoren in het cliëntenonderzoek omdat dit van belang is voor het risicoprofiel  van de speler ' . Het is dan ook ongebrijpelijk dat Play North aangeeft dat  informatie omtrent verslaving buiten het Wwft-onderzoek valt en dat daarom  geen nadere informatie is verstrekt.
21. Ten aanzien van het vierde standpunt van Play North overweegt de raad van bestuur het volgende. Er is wat betreft de Kansspelautoriteit geen sprake van miscommunicatie. De Kansspelautoriteit heeft per brief d.d. 3 mei 2022 (kenmerk: 01.264.951) aangeven bij het opvragen van cliëntenonderzoeken: ' Daarnaast controleren wij (eventuele) meldingen aan de FIU-Nederland (als  bedoeld in artikel 16, eerste lid van de Wwft) in het cliëntenonderzoek. Dat  betekent dat u de inhoud van de melding (artikel 16, tweede lid van de Wwft) op  dit moment niet aan ons hoeft te overleggen, alleen of u gemeld heeft '. De  Kansspelautoriteit heeft per email d.d. 4 augustus 2022 aangegeven dat, op  basis van de aangeleverde cliëntenonderzoeken, niet inzichtelijk is welke transactie(s) zijn gemeld bij de Financiële Inlichtingen Eenheid (FIU-Nederland).  Play North is in de gelegenheid gesteld dit te herstellen zodat de Kansspelautoriteit kan vaststellen welke transactie(s) op welke datum onder welk  transactienummer zijn gemeld. Play North heeft op 26 augustus 2022 document  'FIU 15K Reporting - KSA WWFT Request' (hierna: FIU 15K) aangeleverd. Dit document bevat transacties die zijn gemeld onder de objectieve         indicator 11 (een girale transactie voor een bedrag van 15.000 euro of meer).   Op basis van het document FIU 15K is niet vast te stellen welke transacties van  spelers op welke datum en onder welk transactienummer zijn gemeld. Zie bijlage  1 van het onderzoeksrapport (kenmerk: 01.271.345) onder 'Overtredingen ten  aanzien van artikel 16, eerste
lid van de Wwft (de meldplicht)'.
In de zienswijze van Play North is opnieuw informatie over FIU-transacties aangeleverd. Ook uit deze informatie blijkt niet welke transactie(s) op welke datum onder welk transactienummer zijn gemeld per speler. Play North heeft informatie in tabelvorm aangeleverd. Bij de overgrote meerderheid van de transacties staat er bij zowel 'transactiedatum' als 'indiendatum' géén datum aangegeven. Bij 'FIU report ID' staat nu juist wel een datum aangegeven, terwijl daar een transactienummer had moeten staan.
Het is voor de Kansspelautoriteit daardoor wederom niet mogelijk om op basis Datum
10 november 2022
Ons kenmerk
01.292.391 van de aangeleverde informatie vast te stellen of Play North aan de meldplicht heeft voldaan.
Kansspelautoriteit Datum 10 november 2022 Ons kenmerk 01.292.391
22. Ten aanzien van het vijfde standpunt van Play North overweegt de raad van bestuur het volgende. Play North levert geen enkele onderbouwing voor de bewering dat zij een veelvoud van andere verbeteringen heeft doorgevoerd al voordat de voorgenomen aanwijzing is ontvangen. De raad van bestuur ziet dan ook niet in waarom zij zou moeten afzien van het opleggen van de aanwijzing.
## 7. Overwegingen tot het geven van een aanwijzing
23. Met betrekking tot het geven van een aanwijzing, overweegt de raad van bestuur het volgende.
24. Gelet op het algemeen belang dat gediend is met handhaving, zal in geval van overtreding van een wettelijk voorschrift het bestuursorgaan dat bevoegd is om handhavend op te treden, in de regel van deze bevoegdheid gebruik moeten maken. Van het uitgangspunt dat bij overtredingen in beginsel handhavend wordt opgetreden, kan slechts onder bijzondere omstandigheden worden afgeweken.
25. Naleving van de regelgeving - en dus ook van de Wwft - is belangrijk. De Wwft heeft als doelstelling het voorkomen van het gebruik van het financiële stelsel voor witwassen en terrorismefinanciering. Dit is van groot maatschappelijk belang voor een effectieve bestrijding van ernstige vormen van criminaliteit. Het versluieren of verhullen van de herkomst van crimineel verdiend vermogen stelt criminelen in staat om uit de handen van onder meer overheidsinstanties te blijven en ongestoord te profiteren van het crimineel verdiende vermogen. Ook kansspelverslaafden kunnen criminele activiteiten ontplooien om hun deelname aan kansspelen te financieren. Hierdoor is witwassen een ernstige bedreiging voor de maatschappij, de economie en tast het ook de integriteit van de financiële sector aan.
26. De raad van bestuur is van oordeel dat de overtredingen van Play North ten  aanzien van de cliëntenonderzoeken ernstig zijn. Gelet hierop is er voldoende  aanleiding en grond om hiervoor een aanwijzing te geven. De raad van bestuur  overweegt dat Play North al was gewezen op het risico van hoge stortingen, ook  wanneer deze afkomstig zijn van de bankrekening van de speler. In dit verband  is van belang dat in de
Leidraad Wwft van de Kansspelautoriteit  (publicatiedatum: 8 februari 2021) reeds het volgende al is aangegeven: 'De Kansspelautoriteit benadrukt dat werknemers van een kansspelaanbieder zich  moeten blijven realiseren dat hoewel het vaak voor kan komen dat gespeeld  wordt met grote bedragen, het uitgeven van grote bedragen aan kansspelen in  de maatschappij maar voor een kleine groep mensen is weggelegd.' (paragraaf 3.5.2, pagina 19) en 'De Kansspelautoriteit verduidelijkt hierbij dat het feit dat  geld afkomstig is van een gereguleerde instelling niet automatisch betekent dat  de kansspelaanbieder geen zelfstandig onderzoek hoeft uit te voeren.' (paragraaf 3.6, pagina 19). Dat Play North desondanks niet of te laat ingreep bij  11 cliëntenonderzoeken acht de raad van bestuur, gelet op het voorgenoemde,  kwalijk. De raad van bestuur is derhalve van oordeel dat het geven van een  aanwijzing voor deze overtredingen op zijn plaats is.
## 6. Besluit aanwijzing
27. De raad van bestuur van de Kansspelautoriteit geeft een aanwijzing aan Play  North inhoudende dat binnen drie maanden na dagtekening van dit besluit de  overtredingen van onderstaande artikelen dienen te worden beëindigd en beëindigd te houden:
2. -artikel 3, tweede lid, onder d, van de Wwft juncto artikel 3, achtste lid van de  Wwft (overtreding ten aanzien van cliëntenonderzoeken); -artikel 16, eerste lid, van de Wwft (overtredingen ten aanzien van meldingen aan de FIU);
28. De raad van bestuur draagt Play North op de volgende gedragslijnen op te  volgen:
29. Ten aanzien van artikel 3, tweede lid, onder d, van de Wwft juncto artikel 3  achtste lid van de Wwft dient Play North de risicoanalyse in de cliëntenonderzoeken navolgbaar te maken. Hiervoor moet de monitoring van  transacties worden aangescherpt zodat bij spelers met hoge netto verliezen  eerder een onderzoek naar de bron van de middelen wordt gestart. Vervolgens  moeten de bevindingen uit het onderzoek worden meegewogen in de risicoanalyse. De beoordeling moet aansluiten op het onderzoek. Dat betekent  dat navolgbaar is hoe tot een conclusie omtrent het risicoprofiel is gekomen.
Kansspelautoriteit
Datum
10 november 2022
Ons kenmerk
01.292.391
30. Ten aanzien van artikel 16, eerste lid van de Wwft dient Play North transacties  onverwijld te melden bij de FIU. Dat betekent dat er in de praktijk binnen veertien dagen moet worden gemeld, en zoveel eerder als mogelijk. Dit moet op  inzichtelijke wijze worden aangetoond aan de Kansspelautoriteit.
Consequentie niet opvolgen aanwijzing
31. Na afloop van de begunstigingstermijn zal de Kansspelautoriteit controleren op  het opvolgen van de hierboven gegeven aanwijzing en het nakomen van de  gedragslijnen. Indien de Kansspelautoriteit constateert dat Play North geen  gevolg heeft gegeven dan wel niet tijdig of onvolledig gevolg heeft gegeven aan  de aanwijzing dan kan de raad van bestuur hiervoor een last onder dwangsom
(artikel 29, onder g, van de Wwft) of een bestuurlijke boete (artikel 30, onder g,  van de Wwft) opleggen.
's-Gravenhage, 10 november 2022
De raad van bestuur van de Kansspelautoriteit, namens deze,
w.g.
mr. Renske E. Heijungs Hoofd afdeling Toezicht Datum 10 november 2022 Ons kenmerk 01.292.391
## Bezwaar maken
U kunt tegen deze beslissing bezwaar maken door een gemotiveerd bezwaarschrift in te dienen binnen zes weken na bekendmaking van deze beslissing. U kunt uw bezwaarschrift sturen naar het volgende adres:
Kansspelautoriteit Afdeling Juridische Zaken en Vergunningen Postbus 298 2501 CG Den Haag
'U kunt uw bezwaarschrift ook digitaal indienen, door het in PDF-formaat te e-mailen naar griffie@kansspelautoriteit.nl.'
U kunt uw bezwaarschrift ook door uw gemachtigde laten indienen. Als de gemachtigde geen advocaat is, moet u een machtiging bijvoegen bij uw bezwaarschrift.
Zorg ervoor dat uw bezwaarschrift in elk geval het volgende bevat:
-  uw naam en adres;
-  de datum waarop u het bezwaarschrift schrijft;
-  een kopie van de beslissing;
-  de gronden van uw bezwaar;
-  uw handtekening of de handtekening van uw gemachtigde.
## Kansspelautoriteit
Datum 10 november 2022 Ons kenmerk 01.292.391</t>
  </si>
  <si>
    <t>## OPENBAAR &lt;!-- image --&gt; Besluit van de Raad van Bestuur van de Kansspelautoriteit als bedoeld in artikel 35 van de Wet op de kansspelen. Kenmerk:01.035.726 ## Samenvatting 1. De Kansspelautoriteit heeft vastgesteld dat (persoon 1) (hierna: betrokkene) speelautomaten heeft geëxploiteerd en casinospelen heeft aangeboden terwijl voor dat aanbod geen geldige vergunning is afgegeven op grond van de Wet op de a e ( lk Kansspelautoriteit draagt betrokkene op de exploitatie van speelautomaten en het aanbieden van casinospelen waarvoor geen vergunning ingevolge de Wok is verleend, te staken en gestaakt te houden, door middel van het opleggen van een last onder dwangsom. ## Handhaving van de Wet op de kansspelen 2. Op grond van artikel 34 en verder van de Wok is de Kansspelautoriteit belast met het toezicht op en de handhaving van het bepaalde bij of krachtens de Wok. 3. Artikel 35 van de Wok bepaalt dat de raad van bestuur van de Kansspelautoriteit (hierna: de raad van bestuur) een last onder bestuursdwang kan opleggen wegens overtreding van de voorschriften vastgesteld bij of krachtens de Wok, met uitzondering van titel VA., paragraaf 2 van de Wok. 4. Artikel 5:32, eerste lid van de Algemene wet bestuursrecht (hierna: Awb) bepaalt dat een bestuursorgaan dat bevoegd is een last onder bestuursdwang op te leggen, in plaats daarvan aan de overtreder een last onder dwangsom kan opleggen. ## Besluit ## Juridisch kader 5. Op grond van artikel 1, eerste lid, aanhef en onder a, van de Wok is het behoudens het in Titel Va van deze wet bepaalde verboden gelegenheid te geven om mede te dingen naar prijzen of premies, indien de aanwijzing der winnaars geschiedt door enige kansbepaling waarop de deelnemers in het algemeen geen overwegende invloed kunnen uitoefenen, tenzij daarvoor ingevolge deze wet vergunning is verleend. 6. Op grond van artikel 30h, eerste lid van de Wok is het verboden om zonder vergunning van de raad van bestuur van de Ksa één of meerdere speelautomaten te exploiteren. De Wok verstaat onder exploiteren: het bedrijfsmatig en als eigenaar gebruiken of aan een ander in gebruik geven van één of meer speelautomaten. 7. Op grond van artikel 30t, eerste lid, onder b, van de Wok is het verboden om één of meer speelautomaten, die niet overeenstemmen met het door de raad van bestuur van de Ksa toegelaten model daarvan en die niet ten bewijze daarvan zijn voorzien van het ingevolge artikel 30r, eerste lid, met betrekking tot die toelating vastgestelde merkteken, te exploiteren. ## Bevindingen 8. Twee toezichthouders van de Kansspelautoriteit hebben op 28 september 2017 in de onderneming van betrokkene, café restaurant De Kruik, Kaaistraat 7 te 4401 CH Yer a an an an nt zijn. Hiervoor is aan betrokkene geen geldige vergunning afgegeven. Deze spen s o ar n r en z an de Kansspelautoriteit. 9. Op 9 oktober 2017 is uit nader onderzoek aan deze speelautomaten, dat is uitgevoerd oe et e e en: 3. Beide speelautomaten zijn te kwalificeren als kansspelautomaten, zoals bedoeld in artikel 30, onder c, van de Wok; 4. Beide kansspelautomaten stemmen niet overeen met een door de raad van bestuur van de Kansspelautoriteit toegelaten model daarvan; &lt;!-- image --&gt; Kansspelautoriteit 2 juli 2018 01.035.726 &lt;!-- image --&gt; - Beide kansspelautomaten zijn niet voorzien van een, ingevolge artikel 30r, eerste lid, van de Wok, vastgesteld merkteken. 10. Op 1 maart 2018 heeft betrokkene vrijwillig afstand gedaan van de twee speelautomaten (zie afstandsverklaring met kenmerk 01.025.957). - Itt t t it tt tt t att ontvangen van de Landelijk coördinator onderzoeken kansspelbelasting van de Belastingdienst. De informatie betrof de waarneming van een medewerker van de Belastingdienst op zaterdagavond 24 februari 2018, dat in café restaurant De Kruik te Yerseke onder andere de casinospelen roulette, blackjack en barbut werden aangeboden. 12. De toezichthouder van de Kansspelautoriteit heeft op 30 mei 2018 op de Facebooksite va a a n ainn a n dike 'casinoavond' ook op 17 november 2017 zou hebben plaatsgevonden. ## Overtreding van de Wet op de kansspelen 13. Op grond van de voorgaande staat naar het oordeel van de Kansspelautoriteit vast dat betrokkene speelautomaten exploiteerde zonder dat hij hiervoor beschikte over een ve n v vn ven n vdgn Kansspelautoriteit. 14. Voorts staat volgens de Kansspelautoriteit vast dat is geëxploiteerd met speelautomaten die niet overeenstemmen met een door de raad van bestuur van de Kansspelautoriteit toegelaten model daarvan en die niet ten bewijze daarvan zijn voorzien van het ingevolge artikel 30r, eerste lid, van de Wok met betrekking tot die toelating vastgestelde merkteken. 15. Op grond van het voorgaande stelt de Kansspelautoriteit vast dat betrokkene artikel 30h, eerste lid, van de Wok en artikel 30t, eerste lid, onder b, van de Wok heeft overtreden. 4. dot t t t st t ot o tiet casinospelen zonder vergunning zijn aangeboden. 17. Hiermee overtreedt betrokkene artikel 1, eerste lid, aanhef en onder a, van de Wok. ## Zienswijze - tf o o het opleggen van een last onder dwangsom.¹ Daarbij is betrokkene in de gelegenheid gesteld om binnen twee weken na dagtekening van die brief zijn zienswijze in te brengen over dat voornemen. - I it t t c t i cht 20. Samengevat luidt de zienswijze als volgt: - De twee in café de Kruik gegeven casino avonden zijn door een derde partij georganiseerd. Aan betrokkene is meegedeeld dat dat mocht plaatsvinden, omdat er met plastic fiches werd gespeeld. De brief van 6 juni 2018 komt voor betrokkene als een grote verrassing. - Betrokkene geeft aan dat dergelijke avonden niet meer in het café worden toegelaten. ## Beoordeling van de zienswijze 21. Artikel 1, eerste lid, aanhef en onder a, van de Wok spreekt over gelegenheid geven. Met het laten organiseren van casino avonden door een derde partij heeft betrokkene gelegenheid gegeven in de zin van artikel 1, eerste lid, aanhef en onder a, van de Wok. 22. De casino avonden zijn zonder vergunning aangeboden. De omstandigheid dat met plastic fiches werd gespeeld brengt niet met zich mee dat voor deze casino avonden geen vergunning nodig was. 3. a en a aein e ae deit de illegale exploitatie met speelautomaten hadden vastgesteld. Betrokkene wist of had moeten weten dat het aanbieden van kansspelen zonder vergunning niet is toegestaan. Daardoor wordt er vanuit gegaan dat betrokkene zonder extra stimulans, door middel van een last onder dwangsom, niet zal stoppen met het aanbieden van kansspelen zonder vergunning. Gelet hierop geeft de toezegging van betrokkene, dat 1 Kenmerk 01.031.561 &lt;!-- image --&gt; &lt;!-- image --&gt; er geen casino avonden meer worden toegelaten, geen aanleiding om af te zien van het opleggen van een last onder dwangsom. - v z de Kkann a n an d n n n n ander dwangsom. ## Overwegingen tot oplegging last 25. Naleving van regelgeving – en dus ook van de Wok – is belangrijk. Kansspelen kunnen een negatief effect hebben op de samenleving. Juist daarom is het belangrijk dat voor kan d n t an et n t st an speelautomaten en het aanbieden van casinospelen. 26. De doelstellingen van het kansspelbeleid worden – door het zonder vergunning aanbieden van kansspelen – omzeild. De kansspelsector is bovendien geen gewone economische sector maar extra gevoelig voor fraude, bedrog en verslaving waarvan de consument de dupe kan worden. Deelnemers aan illegale kansspelen lopen daarbij risico's omdat er geen garantie is dat het spel betrouwbaar is, het betalingsverkeer veilig verloopt en gewonnen prijzen daadwerkelijk worden uitgekeerd. 27. Gelet op het algemeen belang dat gediend is met handhaving, zal in geval van overtreding van een wettelijk voorschrift het bestuursorgaan dat bevoegd is om handhavend op te treden, in de regel van deze bevoegdheid gebruik moeten maken. Het handhavend optreden van de Kansspelautoriteit is in dit geval gericht op het staken van de overtredingen en/of het voorkomen van herhaling van de overtredingen. Gelet op het belang om betrokkene ertoe te brengen de exploitatie van speelautomaten en het aanbieden van casinospelen waarvoor geen vergunning is vert et t t h t gen van een last onder dwangsom noodzakelijk. 28. Van het uitgangspunt dat bij overtredingen in beginsel handhavend wordt opgetreden, kan slechts onder bijzondere omstandigheden worden afgeweken. Van bijzondere omstandigheden die nopen tot het afzien van handhaving is in dit geval niet gebleken. &lt;!-- image --&gt; ## Hoogte van de dwangsom 29. Ten aanzien van de hoogte van de dwangsom, bepaalt artikel 5:32b, derde lid, van de Awb, dat de hoogte ervan in redelijke verhouding dient te staan tot de zwaarte van het geschonden belang en tot de beoogde werking van de dwangsom. Daarnaast moet van de hoogte van de dwangsom voldoende (financiële) prikkel uitgaan voor de overtreder om de overtreding te beëindigen en beëindigd te houden. 30. Handhaving van de regels in de kansspelsector en voorkomen van illegale exploitatie van speelautomaten is noodzakelijk, gelet op de belangen. De kansspelsector is extra gevoelig voor fraude, bedrog en verslaving waarvan de consument de dupe kan o e oen e dn - o z et dn Kansspelautoriteit heeft meegewogen bij de vaststelling van de hoogte van de dwangsom. 3. t tt ai t t tet "boeterichtsnoer exploitatie van speelautomaten zonder vergunning" vastgesteld. Dit richtsnoer geeft bepalingen die in acht worden genomen bij het bepalen van de hoogte van de bestuurlijke boete. Dit richtsnoer is in acht genomen bij de bepaling van de hoogte van de op te leggen dwangsommen. 32. De Kansspelautoriteit stelt de hoogte van de dwangsom vast op op € 3.000, - per geconstateerde overtreding met een maximum van € 9.000, -. Dit maximumbedrag is gebaseerd op het aantal van drie constateringen dat zonder vergunning enige vorm van kansspelen door u wordt aangeboden. ## Besluit 33. De raad van bestuur van de Kansspelautoriteit legt aan betrokkene de volgende lasten onder dwangsom op: 1. Betrokkene dient binnen twee weken na dagtekening van dit besluit de overtreding van artikel 30h, eerste lid, van de Wok te beëindigen en beëindigd te houden [...]</t>
  </si>
  <si>
    <t>KSA__https___kansspelautoriteit.nl_sites_default_files_last_onder_dwangsom_cafe_restaurant_de_kruik.txt::Rechtshandeling</t>
  </si>
  <si>
    <t>legt [10056:10061]</t>
  </si>
  <si>
    <t>legt [10056:10060]</t>
  </si>
  <si>
    <t>[...] 9.000, -. Dit maximumbedrag is gebaseerd op het aantal van drie constateringen dat zonder vergunning enige vorm van kansspelen door u wordt aangeboden. ## Besluit 33. De raad van bestuur van de Kansspelautoriteit legt aan betrokkene de volgende lasten onder dwangsom op: 1. Betrokkene dient binnen twee weken na dagtekening van dit besluit de overtreding van artikel 30h, eerste lid, van de Wok te beëindigen en beëindigd te houden. Dit [...]</t>
  </si>
  <si>
    <t>KSA__https___kansspelautoriteit.nl_sites_default_files_last_onder_dwangsom_cafe_restaurant_de_kruik.txt::Rechtsobject</t>
  </si>
  <si>
    <t>lasten onder dwangsom</t>
  </si>
  <si>
    <t>lasten onder dwangsom [10088:10109]</t>
  </si>
  <si>
    <t>[...] gebaseerd op het aantal van drie constateringen dat zonder vergunning enige vorm van kansspelen door u wordt aangeboden. ## Besluit 33. De raad van bestuur van de Kansspelautoriteit legt aan betrokkene de volgende lasten onder dwangsom op: 1. Betrokkene dient binnen twee weken na dagtekening van dit besluit de overtreding van artikel 30h, eerste lid, van de Wok te beëindigen en beëindigd te houden. Dit ka en hn hen h h n o t n het houden zolang hij [...]</t>
  </si>
  <si>
    <t>KSA__https___kansspelautoriteit.nl_sites_default_files_leftlanepapi_18474_lod_20250618.txt::Ontvanger</t>
  </si>
  <si>
    <t>KSA__https___kansspelautoriteit.nl_sites_default_files_leftlanepapi_18474_lod_20250618.txt</t>
  </si>
  <si>
    <t>overtreder [15969:15980]</t>
  </si>
  <si>
    <t>overtreder [15969:15979]</t>
  </si>
  <si>
    <t>[...] odig. Daarnaast is het niet noodzakelijk om herstelmaatregelen op te nemen in deze beschikking. Immers, de huidige rechtmatige situatie dient in stand te worden gelaten. ## 8 Besluit 36. De Kansspelautoriteit legt overtreder de volgende last onder dwangsom op: - a. Overtreder dient de verspreiding, promotie en het streamen of spelen van illegale kansspelen via YouTube en/of andere (sociale media) platforms per direct gestaakt te houden. [...]</t>
  </si>
  <si>
    <t>KSA__https___kansspelautoriteit.nl_sites_default_files_leftlanepapi_18474_lod_20250618.txt::Besluitvormend Orgaan</t>
  </si>
  <si>
    <t>De raad van bestuur van de Kansspelautoriteit [16531:16576]</t>
  </si>
  <si>
    <t>de raad van bestuur van de Kansspelautoriteit [43:88]</t>
  </si>
  <si>
    <t>OPENBAAR
Kansspelautoriteit
&lt;!-- image --&gt;
Besluit van de raad van bestuur van de Kansspelautoriteit als bedoeld in artikel 34n van de Wet op de kansspelen.
Kenmerk: 01.292.353
Openbaar onder kenmerk: 01.293.519
## Besluit
## Samenvatting
1. De raad van bestuur van de Kansspelautoriteit (hierna: Kansspelautoriteit) heeft vastgesteld dat de controledatabank van Holland Casino N.V. (hierna: Holland Casino) niet voldoet aan de technische en operationele voorschriften die bij of krachtens de wet- en regelgeving hieraan worden gesteld en dat Holland Casino bij het onderhouden van haar controledatabank niet de nodige organisatorische en technische maatregelen treft om de kwaliteit, de volledigheid, de actualiteit en de onweerlegbaarheid van de daarin opgenomen gegevens te waarborgen. Daarmee handelt Holland Casino in strijd met artikel 31h, eerste lid, van de Wet op de kansspelen en artikel 5.3, eerste en vijfde lid, van het Besluit kansspelen op afstand jo. artikel 4.21, aanhef en onder sub b, van de Regeling Kansspelen op afstand. De Kansspelautoriteit legt aan Holland Casino een bindende aanwijzing op die ertoe strekt dat Holland Casino uiterlijk 6 weken na dagtekening van dit besluit de bij Holland Casino vastgestelde overtreding(en) beëindigt en beëindigd houdt.
2. Het besluit is als volgt opgebouwd. In paragraaf 1 beschrijft de Kansspelautoriteit de achtergrond van het besluit. Paragraaf 2 bevat het juridisch kader. In paragraaf 3 beschrijft de Kansspelautoriteit het procesverloop. In hoofdstuk 4 staan de bevindingen en stelt de Kansspelautoriteit aan de hand van deze bevindingen de overtreding vast. Vervolgens beschrijft de Kansspelautoriteit in hoofdstuk 5 factoren en belangen die de Kansspelautoriteit heeft betrokken bij haar besluit om een aanwijzing te geven en de aanwijzing zelf. In hoofdstuk 6 behandelt de Kansspelautoriteit de door Holland Casino ingebrachte zienswijze, zoals geuit tegen het voorgenomen besluit. Het besluit zelf en de gedragslijnen zijn opgenomen in hoofdstuk 7.
## Inleiding
3. De Kansspelautoriteit is belast met het toezicht op de naleving van de Wet op de Kansspelen (hierna: Wok). Het aanbieden van kansspelen in Nederland is door middel van een vergunningenstelsel gereguleerd en slechts op grond van en in overeenstemming met een verleende vergunning en wet- en regelgeving toegestaan. Doelstelling van die regulering is het voorkomen van kansspelverslaving, het beschermen van de consument en het tegengaan van mogelijke fraude en criminaliteit. 1  De Kansspelautoriteit houdt toezicht op de naleving van de toepasselijke wet- en regelgeving en de vergunningvoorschriften en treedt zo nodig handhavend op.
4. Holland Casino heeft een vergunning voor het aanbieden van kansspelen op afstand vanaf 1 oktober 2021.
5. In de Wok is onder andere bepaald dat de houder van een vergunning tot het organiseren van kansspelen op afstand zijn bedrijfsvoering zodanig inricht dat een verantwoorde, betrouwbare en controleerbare organisatie van de kansspelen op afstand, alsmede het toezicht op de naleving van de bij of krachtens de Wok bepaalde regels, zijn gewaarborgd. 2
6. De Kansspelautoriteit moet in staat zijn om toezicht uit te oefenen op de naleving door een vergunninghouder van de Nederlandse wet- en regelgeving en vergunningvoorschriften. Om dit mogelijk te maken voorziet de wet er onder andere in dat een vergunninghouder een controledatabank moet inrichten. Dit betreft een datakluis waarin gegevens worden opgeslagen die cruciaal zijn voor effectief toezicht. Deze gegevens hebben onder andere betrekking op betalingstransacties, mutaties in de speelrekening, overschrijdingen van het spelersprofiel en de toegepaste interventiemaatregelen. 3
7. Met de verplichting om een controledatabank aan te houden en daarin de vereiste gegevens op te nemen, wordt beoogd de toezichthouder in staat te stellen uitvoering te geven aan haar taak om effectief toezicht te houden op de naleving van de bij of krachtens de Wok gestelde regels. Deze gegevens zijn alleen van waarde voor het toezicht indien zij betrouwbaar kunnen worden geacht, zij op betrouwbare wijze in de controledatabank worden opgenomen en de
1  Toelichting op het Besluit kansspelen op afstand (Stb. 2021, 37), p. 41.
2  Artikel 31h van de Wet op de kansspelen.
3  Toelichting op het Besluit kansspelen op afstand (Stb. 2021, 37), p. 50.
13 juni 2023
01.293.519
- toezichthouder toegang heeft tot deze gegevens. In dit kader dient de vergunninghouder te voldoen aan de technische en operationele voorschriften die bij of krachtens wet- of regelgeving worden gesteld aan de controledatabank. 4
8. Onderdeel van de toezichthoudende taak van de Kansspelautoriteit is dat handhavend wordt opgetreden tegen overtredingen van normen waarop de Kansspelautoriteit toezicht houdt. Dat geldt in het bijzonder wanneer de overtreden norm strekt ter waarborging van de verantwoorde, betrouwbare en controleerbare organisatie van kansspelen op afstand. Holland Casino onderhoudt niet op de daarvoor voorgeschreven wijze een controledatabank. Daarom legt de Kansspelautoriteit deze bindende aanwijzing op aan Holland Casino. De bindende aanwijzing is gericht op bevordering van de naleving van de regels door Holland Casino, zodat Holland Casino beschikt over een controledatabank die voldoet aan de geldende technische en operationele voorschriften.
## Juridisch kader
Ten aanzien van de bevoegdheid van de Kansspelautoriteit
9. Op grond van artikel 33b van de Wok heeft de Kansspelautoriteit onder meer tot taak het toezicht op de naleving van de toepasselijke wet- en regelgeving en de vergunningen, alsmede de handhaving daarvan.
10. Artikel 34n, eerste lid, van de Wok bepaalt dat de Kansspelautoriteit een bindende aanwijzing kan geven met betrekking tot de naleving van de bij of krachtens de Wok gestelde voorschriften.
## Ten aanzien van de controledatabank
11. Op grond van artikel 31h Wok richt de houder van een (online kansspel)vergunning zijn bedrijfsvoering zodanig in dat een verantwoorde, betrouwbare en controleerbare organisatie van de kansspelen op afstand, alsmede het toezicht op naleving van de bij of krachtens de Wok, zijn gewaarborgd.
12. Artikel 5.3, eerste lid, van het Besluit kansspelen op afstand (hierna: Besluit) bepaalt dat vergunninghouders een controledatabank onderhouden. Het tweede lid van dit artikel bepaalt dat de controledatabank de volgende gegevens bevat:
4  Toelichting op de Regeling kansspelen op afstand (Stb. 2021, 4507), p. 86
- a. een niet direct tot de identiteit van de speler herleidbare, unieke aanduiding van iedere speler;
- b. de datum, het tijdstip en de aard van iedere aanpassing en overschrijving van het spelersprofiel;
- c. de aanleiding voor en de datum, het tijdstip en de aard van iedere interventie als bedoeld in artikel 18 van het Besluit werving reclame en verslavingspreventie kansspelen;
- d. de datum, het tijdstip, het bedrag en de aard van iedere creditering en iedere debitering van iedere speelrekening, alsmede, waar van toepassing, de aard van het daarbij gebruikte betaalinstrument en, waar van toepassing, een niet direct tot de identiteit van de speler herleidbare, unieke aanduiding van de daarbij gedebiteerde onderscheidenlijke gecrediteerde betaalrekening; en
- e. de totale inzet en speelwinst per spelsoort en, voor zover het betreft een kansspel waarbij de vergunninghouder anders dan als inzet een vergoeding ontvangt voor het geven van gelegenheid tot deelneming aan dat kansspel, het totale bedrag van die vergoeding.
13. Op grond van artikel 5.3, vijfde lid, van het Besluit treft de vergunninghouder passende technische en organisatorische maatregelen om onder andere de kwaliteit, de volledigheid, de actualiteit, de consistentie, de authenticiteit en de onweerlegbaarheid van de in de controledatabank opgenomen gegevens te waarborgen.
14. Artikel 5.3, zesde lid, van het Besluit bepaalt dat bij regeling van Onze Minister nadere technische en operationele vereisten gesteld worden met betrekking tot de controledatabank. Deze hebben in ieder geval betrekking op:
- a. de inrichting en plaatsing van de controledatabank;
- b. de beveiliging van de in de controledatabank opgenomen gegevens;
- c. de kwaliteit, volledigheid actualiteit, consistentie, authenticiteit en onweerlegbaarheid van de in de controledatabank opgenomen gegevens;
- d. de vernietiging van de in de controledatabank opgenomen gegevens
- e. de toegang tot de controledatabank en de daarin opgenomen gegevens, bedoeld in het derde lid van artikel 5.3 van het Besluit koa; en
Kansspelautoriteit
13 juni 2023
01.293.519
- f. het afscheiden van de controledatabank van de andere elektronische middelen.
15. Artikel 4.21 Regeling kansspelen op afstand (hierna: Regeling) bepaalt dat de vergunninghouder er zorg voor draagt dat de controledatabank voldoet aan de technische en operationele voorschriften die de Kansspelautoriteit na overleg met de directeur-generaal van de Belastingdienst stelt. Die voorschriften hebben in ieder geval betrekking op de wijze waarop:
- a. de controledatabank wordt ingericht en beveiligd;
- b. gegevens worden opgeslagen in de controledatabank;
- c. elektronische toegang wordt geboden tot de controledatabank;
- d. de procedures bij storingen van de controledatabank;
- e. reservebestanden of kopieën worden aangehouden van gegevens in de controledatabank;
- f. de controledatabank wordt afgescheiden van de overige elektronische middelen van het spelsysteem.
16. Op grond van artikel 4.21 Regeling heeft de Kansspelautoriteit voorschriften vastgesteld met betrekking tot de controledatabank die vergunninghouders dienen te onderhouden. De betreffende voorschriften zijn in de volgende documenten vastgelegd:
a. Ksa CDB Specifications version 1.0 b. Ksa CDB Datamodel version 1.0 c. Ksa XSD version 1.0  5
- Deze documenten zijn gepubliceerd op de website van de Kansspelautoriteit.
17. De Kansspelautoriteit heeft op 19 april 2022 het Ksa CDB datamodel en de Ksa XSD geüpdatet naar version 1.1 . Deze geüpdatete bestanden zijn gepubliceerd op de website van de Kansspelautoriteit, waarbij versions 1.0 van beide documenten zijn vervangen op de website. 6
[5  https://kansspelautoriteit.nl/voor-zakelijke-aanbieders/online-kansspel/inrichten-beheren-controledatabank/](https://kansspelautoriteit.nl/voor-zakelijke-aanbieders/online-kansspel/inrichten-beheren-controledatabank/)
[6  https://kansspelautoriteit.nl/voor-zakelijke-aanbieders/online-kansspel/inrichten-beheren-controledatabank/](https://kansspelautoriteit.nl/voor-zakelijke-aanbieders/online-kansspel/inrichten-beheren-controledatabank/)
## Procedure
18. Per 1 april 2021 is de Wet kansspelen op afstand in werking getreden. Op grond van deze wet mogen aanbieders na het verkrijgen van een vergunning van de Kansspelautoriteit hun online spelaanbod aan consumenten aanbieden.
19. Op 29 september 2021 heeft de Kansspelautoriteit aan Holland Casino een vergunning verleend voor het aanbieden van kansspelen op afstand voor de periode van 1 oktober 2021 tot en met 30 september 2026, zoals bedoeld in artikel 31a van de Wok. 7
20. Per brief van 30 september 2021 heeft de Kansspelautoriteit Holland Casino geïnformeerd over de geplande ingebruikname van de controledatabank door Holland Casino op vrijdag 1 oktober 2021. Vanaf dat moment heeft Holland Casino gebruik kunnen (en, conform alle relevante voorschriften, moeten) maken van de controledatabank. 8
21. Sinds 1 oktober 2021 biedt Holland Casino kansspelen op afstand aan op basis van de aan haar verleende vergunning voor het aanbieden van kansspelen op afstand.
22. Holland Casino leverde gegevens onjuist aan in de controledatabank. Daarover heeft op 7 december 2021 een digitaal overleg plaatsgevonden tussen de Kansspelautoriteit, Holland Casino en de onderaannemer van Holland Casino, [onderaannemer 1]. In dit overleg is onder andere gesproken over de onjuist aangeleverde gegevens in de controledatabank, waaronder met betrekking tot speellimieten. 9  Op 8 december 2021 heeft de Kansspelautoriteit per e-mail, met referentie aan voornoemd overleg, nadere informatie verstrekt aan Holland Casino over deze onjuiste gegevens, met het verzoek dit conform het datamodel aan te passen. Daarnaast wees de Kansspelautoriteit in deze e-mail Holland Casino erop dat zij bij het aanleveren van gewijzigde spelersgegevens ongevraagd de gehele historie van spelersgegevens toestuurde, hetgeen geen waarde toevoegde en onnodige verwerkingstijd van de Kansspelautoriteit vergde. De Kansspelautoriteit verzocht Holland Casino in het vervolg enkel de laatst gewijzigde spelersgegevens op te sturen. 10
7  Met kenmerk 1610/01.247.084.
8  Brief d.d. 30 september 2021, met kenmerk 01.248.237.
9  De grenzen die spelers op grond van artikel 31k, tweede lid, sub c, van de Wok aangeven.
10  Mail d.d. 8 december 2021 met onderwerp followup on Evaluation meeting .
13 juni 2023
01.293.519
23. Holland Casino heeft voornoemde e-mail van de Kansspelautoriteit op dezelfde dag doorgestuurd naar haar onderaannemer [onderaannemer 1]. 11  In vervolg hierop heeft op 8, 13 en 14 december 2021 een mailwisseling plaatsgevonden tussen [onderaannemer 1] en de Kansspelautoriteit over de onjuist aangeleverde spelersgegevens. 12  Op 15 december 2021 liet [onderaannemer 1] aan de Kansspelautoriteit weten dat zij deze gegevens niet kon detecteren, omdat zij geen zicht had op de door Holland Casino in de controledatabank opgenomen gegevens.
24. De Kansspelautoriteit heeft vervolgens op 16 december 2021 Holland Casino per e-mail geattendeerd op de nog openstaande punten betreffende haar controledatabank, waaronder de hierboven beschreven bevindingen (tekortkomingen) over speellimieten en de volledige historie van aangeleverde gegevens (in plaats van enkel de meest recente data). 13  Voorts werd door de Kansspelautoriteit gewezen op een nieuw probleem dat was ontstaan met betrekking tot onjuiste of onbekende toegestuurde vlaggen. 14
25. Holland Casino heeft per e-mail van 11 januari 2022 een inhoudelijke reactie gegeven op de e-mail van 16 december 2021. Hierbij liet Holland Casino weten dat de problemen met betrekking tot het toesturen van de gehele historie opgelost zouden moeten zijn en dat zij graag ten aanzien van de onjuiste of onbekende toegestuurde vlaggen voorbeelden wilde ontvangen, om zo het onderzoek te kunnen versnellen. 15
26. Naar aanleiding van de door Holland Casino gevraagde voorbeelden heeft de Kansspelautoriteit op 12 januari 2022 per e-mail Holland Casino laten weten dat Holland Casino eventuele tekortkomingen in spelersgegevens zelf moet kunnen detecteren en oplossen. De Kansspelautoriteit verwees hierbij naar het datamodel, waarin reeds instructies staan ten aanzien van de aan te leveren gegevens en de wijze waarop ze moeten worden aangeleverd. 16
11  Mail d.d. 8 december 2021 met onderwerp RE: followup on Evaluation meeting.
12  Mails d.d. 8, 13 en 14 december 2021 met onderwerp RE: followup on Evaluation meeting.
13  Mail d.d. 16 december 2022, met het onderwerp Open punten.
14  Vlaggen gekoppeld aan gebeurtenissen of risicoclassificaties van spelers, zoals bij jongvolwassenen of spelers waaraan door de aanbieder een non-riskclassificatie is toegekend.
15  Mail d.d. 11 januari 2022, met het onderwerp RE: Open punten.
16  Mail d.d. 12 januari 2022, met het onderwerp RE: Open punten.
27. Op 23 februari 2022 heeft een overleg plaatsgevonden van de Kansspelautoriteit met Holland Casino. Aanleiding voor dit overleg waren de nieuwe problemen die waren ontstaan door het aanleveren van onjuiste spelersgegevens met betrekking tot spelsessies en transacties. In vervolg op het overleg heeft de Kansspelautoriteit op diezelfde dag per e-mail, met een referentie aan het overleg dat die ochtend had plaatsgevonden met Holland Casino, een document aan Holland Casino gestuurd met best practices . In de e-mail verzocht de Kansspelautoriteit Holland Casino een tijdslijn te verstrekken waarbinnen zij de in het overleg besproken problemen zou hebben opgelost. 17
28. Door het uitblijven van een reactie op bovenstaande e-mail van 23 februari 2022, heeft de Kansspelautoriteit op 14 maart 2022 per e-mail bij Holland Casino naar de voortgang gevraagd. 18  Op dezelfde dag heeft Holland Casino per e-mail vragen aan de Kansspelautoriteit gesteld met betrekking tot de eerder besproken onjuist aangeleverde spelsessies en transacties. 19
29. Op 25 maart 2022 heeft de Kansspelautoriteit per e-mail de vragen van Holland Casino beantwoord, inclusief een uiteenzetting van de drie scenario's die zagen op de wijze waarop spelsessies en transacties aangeleverd moesten worden. Gezien de inmiddels structurele problemen met het aanleveren van spelsessies en transacties in de controledatabank, stelde de Kansspelautoriteit Holland Casino alvast op de hoogte van de aanstaande update van het datamodel en de daarbij verplicht af te leggen test. 20
30. Op 30 maart 2022 heeft Holland Casino per e-mail de Kansspelautoriteit bedankt voor de beantwoording en liet zij weten deze antwoorden te verstrekken aan 'haar partner'. Hierbij heeft Holland Casino de verwachting uitgesproken dat zij voor een eventuele verwerking van een update van het datamodel drie tot vier maanden nodig zou hebben. 21
31. Op 31 maart 2022 heeft de Kansspelautoriteit per e-mail gereageerd op bovenstaande e-mail en meldde zij aan Holland Casino dat alle aanbieders
17  Mail d.d. 23 februari 2022, met onderwerp aanlevering game sessions en transactions in CDB.
18  Mail d.d. 14 maart 2022, met onderwerp
RE: aanlevering game sessions en transactions CDB.
19  Mail d.d. 14 maart 2022, met onderwerp RE:
aanlevering game sessions en transactions CDB.
20  Mail d.d. 25 maart 2022, met onderwerp
RE: aanlevering game sessions en transactions in CDB.
21  Mail d.d. 30 maart 2022, met onderwerp
RE: aanlevering game sessions en transactions in CDB.
- dezelfde implementatietijd krijgen van drie maanden vanaf het moment van vaststelling van het geüpdatete datamodel. 22
32. Op 7 april 2022 heeft Holland Casino per e-mail vragen die zij had gekregen van haar onderaannemer [onderaannemer 1] doorgestuurd naar de Kansspelautoriteit. Deze vragen gingen weer over de aanlevering van spelsessies en transacties. Hierbij sprak [onderaannemer 1] de behoefte uit aan een nieuw overleg met de Kansspelautoriteit. 23  Op 11 april 2022 heeft de Kansspelautoriteit per e-mail aan Holland Casino de doorgestuurde vragen van [onderaannemer 1] beantwoord. 24
33. Holland Casino heeft op 29 april 2022 per e-mail weer vragen die zij van haar onderaannemer [onderaannemer 1] ontving, doorgezet naar de Kansspelautoriteit. De Kansspelautoriteit heeft deze vragen op 4 mei 2022 per email aan Holland Casino beantwoord. 25
34. Per brief van 4 mei 2022 heeft de Kansspelautoriteit Holland Casino geïnformeerd over de per 19 april 2022 doorgevoerde aanpassing van het datamodel en bijbehorende XSD. Daarbij heeft de Kansspelautoriteit aangegeven dat deze update van het datamodel versie 1.0 naar datamodel versie 1.1 geen fundamentele wijzigingen bevat. De update beperkte zich tot verduidelijking en vereenvoudiging van onderdelen. Verder vermeldde de Kansspelautoriteit in de brief van 4 mei 2022 dat Holland Casino het verwerken van de update in de controledatabank vóór 19 juli 2022 gerealiseerd moest hebben. Hierbij attendeerde de Kansspelautoriteit Holland Casino erop dat, om het nieuwe datamodel in gebruik te kunnen nemen voor de controledatabank, toestemming van de Kansspelautoriteit vereist was. Deze toestemming zou de Kansspelautoriteit verlenen nadat de vergunninghouder een test succesvol binnen de daarvoor gestelde termijn heeft afgerond. Dit betrof een gefaseerde test. Het doel van deze integratietest was om vast te stellen of het koppelvlak, de dataoverdrachtprocessen en de systemen werken zoals bedoeld in datamodel versie 1.1. Ter voorbereiding op het testen diende elke vergunninghouder, en dus ook Holland Casino, haar bijgewerkte datamapping en andere relevante documenten op te sturen naar de Kansspelautoriteit. Tot slot vermeldde de Kansspelautoriteit dat het niet of niet tijdig verwerken van wijzigingen aan de controledatabank, ertoe kon leiden dat Holland Casino niet langer zou voldoen aan
22  Mail d.d. 31 maart 2022, met onderwerp RE: aanlevering game sessions en transactions in CDB.
23  Mail d.d. 7 april 2022 met onderwerp RE: Vragen FW: Delevery game sessions en transactions in CDB.
24  Mail d.d. 11 april 2022 met onderwerp RE: Vragen FW: Delevery game sessions en transactions in CDB.
25  Mail d.d. 29 april 2022 met onderwerp RE: Vragen FW: Delevery game sessions en transactions in CDB.
- artikel 4.21 van de Regeling en dat dit aanleiding zou kunnen zijn voor handhavend optreden door de Kansspelautoriteit. 26
35. Op 10 mei 2022 heeft Holland Casino per e-mail aan de Kansspelautoriteit - onder verwijzing naar een overleg van de dag daarvoor tussen Holland Casino, de Kansspelautoriteit en de onderaannemer van Holland Casino, [onderaannemer 1] - haar zorgen geuit over de tijdsplanning waarbinnen Holland Casino het verwerken van de update naar datamodel versie 1.1 zou moeten realiseren. Hierbij meldde Holland Casino voor de realisatie afhankelijk te zijn van twee onderaannemers die zij had ingehuurd, namelijk [onderaannemer 1] en [onderaannemer 2]. Gezien de aard van de wijzigingen stelde Holland Casino dat het haar meer tijd zou gaan kosten om de wijzigingen te kunnen realiseren. In de e-mail werd eveneens uitleg gevraagd ten aanzien van specifieke wijzigingen in datamodel versie 1.1. 27  Deze uitleg heeft de Kansspelautoriteit op dezelfde dag
- per e-mail aan Holland Casino verstrekt en op 25 mei 2022 per e-mail aan Holland Casino aangevuld. 28
36. Op 9 juni 2022 heeft een gesprek plaatsgevonden tussen de Kansspelautoriteit en Holland Casino over de update van het datamodel. In dat gesprek heeft Holland Casino aangegeven dat zij de gestelde termijn, genoemd in de brief van 4 mei 2022, niet zou gaan halen. De voor de test noodzakelijke, aangepaste documentatie kon Holland Casino niet binnen de gestelde termijn aanleveren. Holland Casino heeft aangegeven op 9 september 2022 gereed te zijn om het nieuwe datamodel te testen.
37. Middels de brief van 23 juni 2022 heeft de Kansspelautoriteit, onder verwijzing naar het gesprek van 9 juni 2022, Holland Casino meer tijd gegund om de noodzakelijke wijzigingen te kunnen doorvoeren om te voldoen aan de vereisten van datamodel versie 1.1. De Kansspelautoriteit heeft de testdatum verschoven naar 19 september 2022. De Kansspelautoriteit heeft Holland Casino erop gewezen dat het niet kunnen halen van de gestelde termijn een ernstige tekortkoming is. Hierbij vermeldde de Kansspelautoriteit dat van vergunninghouders wordt verwacht dat zij de benodigde wijzigingen in hun systemen binnen een redelijke termijn kunnen doorvoeren. De Kansspelautoriteit
26  Brief d.d. 4 mei 2022, met kenmerk 01.265.092
27  Mail d.d. 10 mei 2022, met onderwerp
1] /Holland Casino.
28  Mails d.d. 10 en 25 mei 2022, met onderwerp RE: Summary of productive meeting KSA/ [onderaannemer 1] /Holland Casino.
RE:
Summary of productive meeting KSA/
[onderaannemer vermeldde ook dat met het niet tijdig doorvoeren van wijzigingen in haar systemen Holland Casino zich onttrekt aan het toezicht van de Kansspelautoriteit. De Kansspelautoriteit merkte hierbij op dat verreweg de meeste vergunninghouders bij de verwerking van de update geen noemenswaardige problemen ondervonden of uitstel nodig hadden. Daarbij gaf de Kansspelautoriteit aan dat het haar zorgen baarde dat Holland Casino niet in staat was om een relatief eenvoudige update binnen de gestelde termijn te verwerken. 29
38. De test met Holland Casino voor het verkrijgen van toestemming voor ingebruikname van de gewijzigde controledatabank (zie randnummer 33), de zogenoemde integratietest, heeft van maandag 19 september 2022 (9:00 uur CET) tot en met vrijdag 23 september 2022 (17:00 uur CET) plaatsgevonden. Per e-mail van 19 september 2022 heeft de Kansspelautoriteit Holland Casino geïnformeerd dat zij, ondanks het niet aanleveren van de noodzakelijke documentatie door Holland Casino, toch overgaat tot het testen met Holland Casino. De Kansspelautoriteit besloot hiertoe om de overgang naar datamodel versie 1.1 niet te hinderen en de planning en de gereserveerde capaciteit aan de zijde van de Kansspelautoriteit niet onbenut te laten. De Kansspelautoriteit verzocht Holland Casino zo spoedig mogelijk de ontbrekende documentatie alsnog aan te leveren. 30
39. De Kansspelautoriteit heeft de voorwaarden waaronder de test werd uitgevoerd vooraf gedeeld met Holland Casino. In het kort kwam het er op neer dat Holland Casino 16 testcases moest uitvoeren, verdeeld over 5 testruns . Om de test met een positief resultaat af te ronden, moesten alle testcases binnen de daarvoor gestelde tijd met succes afgerond zijn. Hierbij zou Holland Casino de mogelijkheid krijgen om onjuist aangeleverde gegevens te herstellen om zo alsnog een testcase succesvol te kunnen sluiten.
40. Holland Casino heeft de integratietest niet met succes afgerond binnen de daarvoor gestelde termijn. Van de 16 testcases heeft Holland Casino er binnen de gegeven tijd slechts 7 uitgevoerd. Gedurende het testen heeft de Kansspelautoriteit in totaal over de 7 uitgevoerde testcases 10 bevindingen (tekortkomingen) teruggekoppeld aan Holland Casino, waarvan 9 vervolgens door Holland Casino met succes zijn gesloten na het aanleveren van nieuwe
29  Brief d.d. 23 juni 2022, met kenmerk 01.268.402.
30 Mail d.d. 19 september 2022, met onderwerp RE\_Gewenste documenten t.b.v. aanstaande CDB test.
- spelersgegevens. Aan het einde van de test stond één bevinding nog open. De uitslag van deze test, inclusief de aan Holland Casino teruggekoppelde bevindingen per testcase, zijn vervat in een CDB-vrijgaveadvies. 31
41. Op 26 september 2022 is Holland Casino door de Kansspelautoriteit per e-mail geïnformeerd over de uitkomst van de test. De Kansspelautoriteit heeft daarbij gemeld dat vervolgstappen kort daarna met Holland Casino zouden worden gecommuniceerd. 32
42. Naar aanleiding van de negatieve uitslag van de integratietest heeft de Kansspelautoriteit op 14 oktober 2022 een voornemen tot het schorsen van de vergunning voor het organiseren van kansspelen op afstand, aan Holland Casino gestuurd. Met het uitblijven van de omschakeling naar datamodel versie 1.1 voldeed Holland Casino geruime tijd niet aan de technische en operationele voorschriften die de Kansspelautoriteit stelt aan de controledatabank. In dat voornemen heeft de Kansspelautoriteit Holland Casino eveneens gewezen op het structureel aanleveren van onjuiste en onvolledige spelersgegevens door Holland Casino.
43. Op 18 oktober 2022 heeft Holland Casino de Kansspelautoriteit per e-mail om een hertest verzocht. Hierbij heeft Holland Casino te kennen gegeven dat zij klaar was voor een nieuwe test en graag wilde laten zien compliant te zijn. Ook heeft Holland Casino gemeld dat zij de gevraagde en noodzakelijke documentatie op 12 oktober 2022 had aangeleverd. 33
44. Op 20 oktober 2022 heeft de Kansspelautoriteit aan Holland Casino per e-mail laten weten dat zij de documentatie heeft ontvangen, maar niet het verplichte CDB-vragenformulier. Hiermee heeft Holland Casino de documenten niet conform instructies ingediend. Desondanks heeft de Kansspelautoriteit besloten de documenten in behandeling te nemen en te beoordelen, om zo een overgang naar datamodel versie 1.1 niet te hinderen.
31 Vrijgaveadvies d.d. 26 september 2022 CDB integratietest Holland Casino.
32  Mail d.d. 26 september 2022, met onderwerp Mail RE: {Holland Casino} CDB testrun results
33  Mail d.d. 18 oktober 2022, met onderwerp Verzoek tot hertest
13 juni 2023
01.293.519
45. In dezelfde e-mail meldde de Kansspelautoriteit dat zij het verzoek tot een hertest voorlopig niet zou inwilligen. De Kansspelautoriteit kondigde hierbij aan dat zij na de geplande hoorzitting op 3 november 2022 zou gaan beoordelen óf Holland Casino in aanmerking zou komen voor een hertest en wanneer deze eventueel kon plaatsvinden. Bij deze beoordeling zou de Kansspelautoriteit hetgeen tijdens de hoorzitting naar voren was gekomen en de uitkomst van de beoordeling van de ingediende documenten betrekken. 34
46. Op 25 oktober 2022 heeft Holland Casino gemeld dat zij het ontbrekende CDBvragenformulier - dat als leeswijzer fungeert bij de op 12 oktober 2022 ingediende documenten - had ingevuld en aan de Kansspelautoriteit verstrekt. 35
47. Op 3 november 2022 heeft een hoorzitting plaatsgevonden naar aanleiding van het voorgenomen schorsingsbesluit van de Kansspelautoriteit. Holland Casino heeft in haar zienswijze aangegeven de nodige organisatorische en technische maatregelen te hebben getroffen en meende compliant te zijn. Dit wilde zij door middel van het uitvoeren van een nieuwe test bewijzen. Ook heeft Holland Casino tijdens de hoorzitting gesteld dat het schorsingsvoornemen zich niet goed verhoudt met de evenredigheidsjurisprudentie. Het verslag van de hoorzitting is met Holland Casino gedeeld op 18 november 2022. 36
48. Per brief van 15 november 2022 heeft de Kansspelautoriteit Holland Casino bericht dat de aangeleverde documenten geen aanleiding vormden om niet over te gaan tot het uitvoeren van een hertest met Holland Casino van haar CDBomgeving. De Kansspelautoriteit heeft het verzoek tot het mogen uitvoeren van een nieuwe test derhalve ingewilligd. Als bijlage bij de brief heeft de Kansspelautoriteit wederom de randvoorwaarden van dit testtraject opgenomen. Het testtraject zou uit twee onderdelen bestaan:
- a) het uitvoeren van een controledatabank-integratietest op basis van testcases met datamodel versie 1.1 (hierna: integratietest) en
- b) een verificatieperiode van twee weken in productie na live-gang (hierna: verificatieperiode).
34  Mail d.d. 20 oktober 2022, met onderwerp
CDB.
35  Mail d.d. 25 oktober 2022, met onderwerp
CDB.
36  Verslag d.d. 3 november 2022, met kenmerk 01.278.358
Mail FW: Verzoek hertest, ma reactie documentatie en toegang
Mail FW: verzoek hertest, ma reactie documentatie en toegang Hierbij is vermeld dat het traject succesvol is als Holland Casino beide onderdelen succesvol heeft afgerond. In deze brief heeft de Kansspelautoriteit Holland Casino geïnformeerd dat de besluitvorming ten aanzien van het al dan niet schorsen van de vergunning, werd opgeschort tot uiterlijk de eerste week van januari 2023. 37
49. De tweede integratietest met Holland Casino heeft plaatsgevonden van maandag 28 november 2022 (9:00 uur CET) tot en met vrijdag 2 december 2022 (12:00 uur CET). Holland Casino moest 17 testcases uitvoeren, verdeeld over 5 testruns .
50. Op 5 december 2022 heeft de Kansspelautoriteit per e-mail aan Holland Casino gemeld dat zij deze tweede integratietest niet succesvol heeft afgerond, omdat Holland Casino niet alle aan haar teruggekoppelde bevindingen had weten op te lossen. De uitslag van deze test, inclusief de aan Holland Casino teruggekoppelde bevindingen per testcase, zijn vervat in een testverslag en bijbehorend verslag van ambtshandelingen. 38  In dezelfde e-mail is vermeld dat de Kansspelautoriteit zich zou beraden over de gevolgen van de testuitslag voor het vervolg van het testtraject (verificatieperiode). 39
51. Op 6 december 2022 heeft de Kansspelautoriteit Holland Casino per mail laten weten dat het vervolg van het testtraject 'on hold' werd gezet. Holland Casino zou zo spoedig mogelijk geïnformeerd worden over de verdere gang van zaken. 40
52. Op 8 december 2022 heeft er een telefonisch overleg plaatsgevonden tussen de Kansspelautoriteit en Holland Casino. Hierin heeft de Kansspelautoriteit aan Holland Casino gemeld dat ondanks de negatieve testuitslag van de integratietest Holland Casino door mocht naar de verificatieperiode. Hierbij heeft de Kansspelautoriteit benadrukt dat de integratietest niet vlekkeloos was verlopen. Holland Casino bevestigde dit en heeft in het telefoongesprek aangegeven alles op alles te zetten in de volgende fase. 41
37  Brief d.d. 15 november 2022, met kenmerk 01.278.427.
38  Testverslag d.d. 6 december 2022 en Verslag van Ambtshandelingen d.d. 5 december 2022 met kenmerk 1610/01.280.378.
39 Mail d.d. 5 december 2022, met onderwerp RE Holland Casino CDB test - 5.3.
40  Mail d.d. 6 december 2022, met onderwerp RE: Holland Casino CDB test - 5.3.
41  Verslag d.d. 8 december 2022, met kenmerk 01.280.721.
53.</t>
  </si>
  <si>
    <t>OPENBAAR Kansspelautoriteit Besluit van de raad van bestuur van de Kansspelautoriteit als bedoeld in artikel 35 van de Wet op de kansspelen. Kenmerk: 18474/01.344.071 Openbaar onder kenmerk: 18474/01.345.548 ## Besluit ## Samenvatting De raad van bestuur van de Kansspelautoriteit heeft vastgesteld dat [overtreder] (hierna: [overtreder]) door middel van het YouTube kanaal 'LeftlanePapi' kansspelen bevordert door reclame te maken voor kansspelen waarvoor geen vergunning op grond van de Wet op de kansspelen is verleend. Daarmee handelt [overtreder] in strijd met artikel 1, eerste lid, aanhef en onder b, van de Wet op de kansspelen. [overtreder] doet dit door deel te nemen aan kansspelen waarvoor geen vergunning is verleend. Hiermee handelt [overtreder] in strijd met artikel 1, eerste lid, aanhef en onder c, van de Wet op de kansspelen. De raad van bestuur van de Kansspelautoriteit draagt [overtreder] op het bevorderen van kansspelen waarvoor geen vergunning ingevolge de Wet op de kansspelen is verleend, te staken en gestaakt te houden door middel van het opleggen van een last onder dwangsom. ## 1 Inleiding 1. De raad van bestuur van de Kansspelautoriteit (hierna: de Kansspelautoriteit) is belast met het toezicht op de naleving van het bepaalde in de Wet op de kansspelen (hierna: Wok). In de Wok is onder andere bepaald dat het in Nederland verboden is gelegenheid te geven tot deelname aan kansspelen, tenzij daarvoor ingevolge de Wok vergunning is verleend (artikel 1, eerste lid, onder a, Wok). Daarnaast is het ingevolge artikel 1, eerste lid, onder b, van de Wok eveneens verboden de deelneming aan een kansspel, waarvoor geen vergunning is verleend, te bevorderen. Tevens staat in artikel 1, eerste lid, 18 juni 2025 Kenmerk 18474/01.344.071 - onder c, van de Wok dat het verboden is deel te nemen aan kansspelen waarvoor geen vergunning is verleend. 2. Op grond van artikel 33b van de Wok heeft de raad van bestuur onder meer tot taak het verlenen van vergunningen voor diverse vormen van kansspelen, waaronder kansspelen op afstand (hierna: online kansspelen). Met het verlenen van vergunningen voor online kansspelen ontstaat er een verantwoord, betrouwbaar en controleerbaar aanbod. De Kansspelautoriteit acht het aanbieden van online kansspelen zonder daartoe strekkende vergunning zeer ernstig en treedt hiertegen op. 1 De doelstellingen van het kansspelbeleid, wetende het voorkomen van kansspelverslaving, het beschermen van de consument en het tegengaan van mogelijke fraude en criminaliteit, worden door het zonder vergunning aanbieden van kansspelen online omzeild. De kansspelsector is bovendien geen gewone economische sector maar extra gevoelig voor fraude, bedrog en verslaving waarvan de consument de dupe kan worden. Deelnemers aan dergelijke kansspelen lopen daarbij risico's omdat er geen garantie is dat het spel betrouwbaar is, het betalingsverkeer veilig verloopt en gewonnen prijzen daadwerkelijk worden uitgekeerd. 3. Naast aanbieders van kansspelen online hebben tussenpersonen, bevorderaars, ook een belangrijke rol bij de deelname van consumenten aan kansspelaanbod. Bevorderaars mogen hun diensten aanbieden aan kansspelaanbieders die een geldige vergunning hebben van de Kansspelautoriteit. 2 Het bevorderen van onvergund kansspelaanbod is verboden. Zonder diensten als reclame, betalingsen internetverkeer of het leveren van software wordt het voor de kansspelaanbieders immers moeilijker om hun illegale aanbod aan de consument aan te bieden en voor de consument om daaraan deel te nemen. De Kansspelautoriteit neemt daarom ook andere maatregelen om het kansspelaanbod online zonder vergunning te frustreren, bijvoorbeeld door het opwerpen van barrières bij tussenpersonen in de reclamebranche, het betalingsen internetverkeer en bij software leveranciers. Doel hiervan is dat deze tussenpersonen hun diensten niet meer ter beschikking stellen aan aanbieders van kansspelen online zonder vergunning. Dit zorgt ervoor dat het voor deze aanbieders onaantrekkelijk en wellicht onmogelijk wordt om kansspelen aan te bieden en voor consumenten om bij deze aanbieders te spelen. 1 Voor sanctiebesluiten genomen door de raad van bestuur van de Kansspelautoriteit zie www.kansspelautoriteit.nl. 2 Een overzicht van vergunninghouders is beschikbaar op www.kansspelautoriteit.nl. VERTROUWELIJK Kansspelautoriteit 18 juni 2025 Kenmerk 18474/01.344.071 4. Het bestrijden van kansspelen online zonder vergunning vergt ook dat de Kansspelautoriteit bestuurlijk handhavend optreedt tegen het bevorderen van kansspelaanbod waarvoor geen vergunning is verleend. Artikel 1, eerste lid, onder b, van de Wok biedt daarvoor een grondslag. 5. Als onderdeel van haar toezichthoudende taak heeft de Kansspelautoriteit onderzoek gedaan naar partijen die illegale online kansspelen bevorderen in de vorm van het (doen) plaatsen van reclame-uitingen voor kansspelaanbod online waarvoor geen vergunning is verleend. ## 2 Juridisch kader 6. Op grond van artikel 1, eerste lid, onder a, van de Wok is het verboden om gelegenheid te geven tot deelname aan een kansspel waarvoor geen vergunning ingevolge de Wok is verleend. 7. Op grond van artikel 1, eerste lid, onder b, van de Wok, is het verboden om de deelneming aan een kansspel waarvoor geen vergunning is verleend, te bevorderen. 8. Op grond van artikel 1, eerste lid, onder c, van de Wok, is het verboden om deel te nemen aan een kansspel wetende dat daarvoor geen vergunning is verleend. 9. Naar het oordeel van de Kansspelautoriteit staat vast dat het (doen) plaatsen van reclame-uitingen en in wervende bewoordingen promoten 3 valt onder 'bevorderen' als bedoeld in artikel 1, eerste lid, onder b, van de Wok. Naar algemeen taalgebruik wordt onder bevorderen verstaan: vooruithelpen. In relatie tot het gelegenheid geven van deelname aan een kansspel zonder vergunning wordt onder bevorderen verstaan: het ontplooien van activiteiten die het organiseren van kansspelen zonder vergunning helpen, ondersteunen, vergemakkelijken of beter laten verlopen, daartoe bijdragen of daartoe voorzieningen aanbieden of beschikbaar stellen. Het (doen) plaatsen van reclame-uitingen en in wervende bewoordingen promoten vormt een wezenlijke activiteit voor het succesvol en winstgevend aanbieden en verkopen van (online) producten of diensten. Immers, door reclame worden (potentiële) afnemers geattendeerd op dat aanbod en gestimuleerd daaraan deel te nemen. 3 ABRvS 20 januari 2020, ECLI:NL:RVS:2020:169. 10. Op grond van artikel 33b van de Wok heeft de Kansspelautoriteit onder meer tot taak het toezicht op de naleving van de toepasselijke wet- en regelgeving en de vergunningen, alsmede de handhaving daarvan. 11. De Kansspelautoriteit is op grond van artikel 35 van de Wok bevoegd tot het opleggen van een last onder bestuursdwang wegens overtreding van de voorschriften van de Wok. Artikel 5:32, eerste lid, van de Algemene wet bestuursrecht (hierna: Awb) bepaalt dat een bestuursorgaan dat bevoegd is een last onder bestuursdwang op te leggen, in plaats daarvan aan de overtreder een last onder dwangsom kan opleggen. ## 3 Bevindingen ## 3.1 Bevorderen kansspelen zonder vergunning 12. Op 24 april 2025 heeft een toezichthouder van de Kansspelautoriteit vastgesteld dat in de YouTube video '€5000,- CASINO STREAM X BODYGUARD | BEGINNEN BIJ DE 750 LIKES (24+)' van het YouTube kanaal 'LeftlanePapi' reclameuitingen aanwezig waren met betrekking tot onvergund kansspelaanbod. 4 13. In de video is te zien dat [overtreder] op de website skyhills.com deelneemt aan diverse kansspelen. In het fragment is de homepagina van de website skyhills.com in beeld, zonder het daar bij behorende logo. Dit is wel zichtbaar wanneer de pagina aan het laden is. 5 In de video worden diverse slots genoemd, bijvoorbeeld 'Pond of Plinko dan maar. Pond of Plinko is ook zo'n vieze slot geworden' en 'Brick house nog even spinnen'. 6 14. Rechts naast de video is een chat venster. In dit venster is de volgende tekst te zien: 'Wil jij spelen waar Babayan ook speelt? Speel hier met Nederlandse support in onze discord!'. Deze tekst wordt gevolgd door een link naar de website skyhills.com. 7 4 Bijlage 18474/01.341.316/01 5 Bijlage 18474/01.341.316/02 6 Bijlage 18474/01.341.316/02 7 Bijlage 18474/01.341.316/02 18 juni 2025 Kenmerk 15. [overtreder] zegt in zijn video: 'Ik doe de stream altijd gewoon even twaalf uur live laten staan. Daarna verwijder ik hem per direct man. Je weet hoe YouTube en Ksa is met mij, ik heb geen zin in hoofdpijn.' 8 16. Bij skyhills.com, de kansspelwebsite die in de video wordt getoond, worden diverse kansspelen aangeboden zoals slots, sportweddenschappen en live casinospelen. 9 17. Uit onderzoek naar skyhills.com is gebleken dat het mogelijk is om vanuit Nederland 10 een spelersaccount aan te maken 11 , een storting te verrichten 12 en deel te nemen aan kansspelen 13 . Er zijn geen technische maatregelen genomen om deelnemers vanuit Nederland de toegang tot de kansspelen te beletten. 18. De aanbieder van deze kansspelwebsite is niet in het bezit van een vergunning voor het aanbieden van online kansspelen in Nederland. 19. Naast de eerder genoemde video heeft de toezichthouder vastgesteld dat ook via andere media reclame-uitingen met betrekking tot onvergund kansspelaanbod worden aangeboden door [overtreder]. Hier heeft [overtreder] eerder waarschuwingsbrieven voor ontvangen. 14 15 20. De tijdens het onderzoek vastgelegde uitingen kwalificeren zich naar het oordeel van de raad van bestuur als bevorderen. In de video wordt doelbewust gespeeld op een kansspelwebsite zonder vergunning van de Kansspelautoriteit. Door deze site expliciet in beeld te brengen, het spelaanbod te tonen en de indruk te wekken dat deelname aantrekkelijk of zonder risico is, wordt de illegale aanbieder onder de aandacht gebracht van het publiek. Daarmee is sprake van het aanprijzen van een illegaal kansspelaanbod, wat zich kwalificeert als bevorderen. Dit is een overtreding van artikel 1, eerste lid, onder b, van de Wok. Het betreffende YouTube account heeft meer dan 53.000 abonnees. 8 Bijlage 18474/01.341.316/01 9 Bijlage 18474/01.341.316/04 10 Bijlage 18474/01.341.316/03 11 Bijlage 18474/01.341.316/05 12 Bijlage 18474/01.341.316/06 13 Bijlage 18474/01.341.316/07 14 Bijlage 18474/01.330.079 15 Bijlage 18474/01.324.050 Kansspelautoriteit 18 juni 2025 Kenmerk 18474/01.344.071 21. Tevens kwalificeert het handelen van [overtreder] zich als spelen op een illegale kansspelwebsite wetende dat deze geen vergunning heeft, hetgeen een overtreding is van artikel 1, eerste lid, onder c, van de Wok. De Kansspelautoriteit baseert dit op de feiten zoals beschreven onder punten 13, 14 en 15 in dit besluit. Bovendien is [overtreder] in eerdere waarschuwingsbrieven zeer nadrukkelijk gewezen op dergelijke onvergunde kansspelen en de mogelijke consequenties als hij zich niet daaraan zou onttrekken. ## 3.2 Overtreder 22. Voor de hiervoor beschreven reclame-uitingen op het YouTube kanaal 'LeftlanePapi' wordt [overtreder] (hierna: overtreder) verantwoordelijk gehouden. Op de Instagram pagina van 'LeftlanePapi' staat een bericht waarin wordt benoemd dat [overtreder] de eigenaar is van 'LeftlanePapi'. Op grond hiervan wordt [overtreder] als overtreder aangemerkt. 16 23. Overtreder is volgens GBA gevestigd [adres]. 17 ## 4 Overtreding van de Wet op de kansspelen 24. Op grond van het voorgaande staat naar het oordeel van de Kansspelautoriteit vast dat overtreder doormiddel van het YouTube kanaal 'LeftlanePapi' reclameuitingen heeft gedaan voor websites die gelegenheid geven tot deelname aan kansspelaanbod waarvoor geen vergunning is verleend. Tevens neemt overtreder deel aan kansspelen op een website waarvoor geen vergunning is verleend. De Kansspelautoriteit heeft vastgesteld dat de dienstverlening van [overtreder] doormiddel van het YouTube kanaal 'LeftlanePapi' betrekking heeft op (het bevorderen van) deelneming aan illegale kansspelen. 25. Op grond van het voorgaande stelt de Kansspelautoriteit vast dat overtreder artikel 1, eerste lid, onder b, van de Wok heeft overtreden. Tevens heeft overtreder artikel 1, eerste lid, onder c, van de Wok overtreden. 16 Bijlage 18474/01.341.316/08 17 Bijlage 18474/01.341.316/09 ## 5 Zienswijze 26. In de brief van 20 mei 2025 heeft de Kansspelautoriteit het voornemen tot het opleggen van een last onder dwangsom kenbaar gemaakt aan overtreder. Hiermee is de gelegenheid geboden om binnen twee weken na dagtekening van de brief een zienswijze, mondeling of schriftelijk, te geven op het voornemen. 27. Van deze gelegenheid is geen gebruik gemaakt. ## 6 Overwegingen tot oplegging last 28. Handhavend optreden tegen aanbieders van kansspelen waarvoor geen vergunning is verleend is noodzakelijk om de zwaarwegende belangen van de Wok, zoals hiervoor vermeld, te beschermen. De Kansspelautoriteit acht het gelet op deze belangen eveneens noodzakelijk dat partijen die het onvergunde kansspelaanbod bevorderen hun dienstverlening aan dergelijk kansspelaanbod staken en gestaakt houden, door hen een last onder dwangsom op te leggen. Gelet op het belang om betrokkene ertoe te brengen het bevorderen van kansspelen, waarvoor geen vergunning is verleend na te laten, acht de Kansspelautoriteit het opleggen van een last onder dwangsom ter voorkoming van herhaling noodzakelijk. 29. Blijkens jurisprudentie volstaat voor het opleggen van een last tot voorkoming van herhaling in beginsel het bestaan van een eerdere overtreding die herhaald of hervat kan worden. Verder moet er een 'voldoende mate van continuïteit' zijn (die wijst op een herhalingsrisico). 30. Uit de feiten genoemd in paragraaf 3.1 leiden wij voldoende mate van continuïteit af, om te kunnen stellen dat er gevaar bestaat dat u de overtreding zult herhalen. 31. Met het oog op het evenredigheidsbeginsel van artikel 3:4, tweede lid, van de Awb is de Kansspelautoriteit van oordeel dat de belangen van de betrokkenen in dit geval het belang van [overtreder] - derhalve niet onevenredig worden geschaad door dit besluit en het daarmee gediende belang. Kansspelautoriteit 18 juni 2025 Kenmerk 18474/01.344.071 ## 7 Hoogte van de dwangsom en begunstigingstermijn 32. Handhaving van de regels in de kansspelsector en voorkomen van illegaal kansspelaanbod is noodzakelijk, gelet op de belangen van een betrouwbaar spelaanbod en veilig betalingsverkeer. De kansspelsector is extra gevoelig voor fraude, bedrog en verslaving waarvan de consument de dupe kan worden. Het zijn deze te beschermen - en in beginsel geschonden - belangen die de Kansspelautoriteit heeft meegewogen bij de vaststelling van de hoogte van de dwangsom en de begunstigingstermijn. ## 7.1 Hoogte dwangsom 33. Ten aanzien van de hoogte van de dwangsom, bepaalt artikel 5:32b, derde lid van de Awb dat de hoogte ervan in redelijke verhouding dient te staan tot de zwaarte van het geschonden belang en tot de beoogde werking van de dwangsom. Daarnaast moet van de hoogte van de dwangsom voldoende (financiële) prikkel uitgaan voor de overtreder om de overtreding te beëindigen. 34. Bij de vaststelling van de hoogte van de dwangsom heeft de Kansspelautoriteit acht geslagen op het feit dat de verdiensten bij het maken van reclame voor illegale kansspelaanbieders hoog kunnen zijn en dat de reclame-uitingen in meerdere video's zijn aangetroffen. ## 7.2 Begunstigingstermijn 35. Omdat deze last ter voorkoming van herhaling een last tot nalaten inhoudt, is een begunstigingstermijn waarbinnen aan de last kan worden voldaan niet nodig. Daarnaast is het niet noodzakelijk om herstelmaatregelen op te nemen in deze beschikking. Immers, de huidige rechtmatige situatie dient in stand te worden gelaten. ## 8 Besluit 36. De Kansspelautoriteit legt overtreder de volgende last onder dwangsom op: - a. Overtreder dient de verspreiding, promotie en het streamen of spelen van illegale kansspelen via YouTube en/of andere (sociale media) platforms per direct gestaakt te houden. VERTROUWELIJK Kansspelautoriteit 18 juni 2025 Kenmerk 18474/01.344.071 - b. Overtreder dient op straffe van verbeurte van een dwangsom van € 25.000,het overtreden van artikel 1, eerste lid, aanhef en onder b, en c van de Wok na te laten, tot een maximum van € 75.000,-. 's-Gravenhage, 18 juni 2025 Hoogachtend, De raad van bestuur van de Kansspelautoriteit, namens deze, w.g. mr. P.J.H. Benner hoofd afdeling Handhaving 9 ## VERTROUWELIJK ## Bezwaar. Dit is een besluit. Tegen dit besluit kunt u bezwaar maken. Dat doet u door een gemotiveerd bezwaarschrift in te [...]</t>
  </si>
  <si>
    <t>KSA__https___kansspelautoriteit.nl_sites_default_files_leftlanepapi_18474_lod_20250618.txt::Rechtshandeling</t>
  </si>
  <si>
    <t>legt [15964:15969]</t>
  </si>
  <si>
    <t>legt [15964:15968]</t>
  </si>
  <si>
    <t>[...] iet nodig. Daarnaast is het niet noodzakelijk om herstelmaatregelen op te nemen in deze beschikking. Immers, de huidige rechtmatige situatie dient in stand te worden gelaten. ## 8 Besluit 36. De Kansspelautoriteit legt overtreder de volgende last onder dwangsom op: - a. Overtreder dient de verspreiding, promotie en het streamen of spelen van illegale kansspelen via YouTube en/of andere (sociale media) platforms per direct gestaakt t [...]</t>
  </si>
  <si>
    <t>KSA__https___kansspelautoriteit.nl_sites_default_files_leftlanepapi_18474_lod_20250618.txt::Rechtsobject</t>
  </si>
  <si>
    <t>last onder dwangsom [15992:16011]</t>
  </si>
  <si>
    <t>[...] niet noodzakelijk om herstelmaatregelen op te nemen in deze beschikking. Immers, de huidige rechtmatige situatie dient in stand te worden gelaten. ## 8 Besluit 36. De Kansspelautoriteit legt overtreder de volgende last onder dwangsom op: - a. Overtreder dient de verspreiding, promotie en het streamen of spelen van illegale kansspelen via YouTube en/of andere (sociale media) platforms per direct gestaakt te houden. VERTROUWELIJK Kansspelauto [...]</t>
  </si>
  <si>
    <t>KSA__https___kansspelautoriteit.nl_sites_default_files_openbaar_-_last_onder_dwangsom_ill.txt::Ontvanger</t>
  </si>
  <si>
    <t>KSA__https___kansspelautoriteit.nl_sites_default_files_openbaar_-_last_onder_dwangsom_ill.txt</t>
  </si>
  <si>
    <t>Innovation Labs Limited</t>
  </si>
  <si>
    <t>innovation labs limited</t>
  </si>
  <si>
    <t>Innovation Labs Limited [21925:21948]</t>
  </si>
  <si>
    <t>[...] emaakt voor een kansspelaanbieder aan wie eerder een sanctie is opgelegd en waarover de Kansspelautoriteit op zijn website heeft gecommuniceerd. ## Besluit 36. Namens de raad van bestuur legt de Kansspelautoriteit Innovation Labs Limited de volgende last onder dwangsom op: 2. -Innovation Labs Limited dient uiterlijk binnen twee weken na dagtekening van deze last de overtreding van artikel 1, eerste lid, onder b, van de Wok te staken. 3. -Dit kan Innov [...]</t>
  </si>
  <si>
    <t>KSA__https___kansspelautoriteit.nl_sites_default_files_openbaar_-_last_onder_dwangsom_ill.txt::Besluitvormend Orgaan</t>
  </si>
  <si>
    <t>De raad van bestuur van de Kansspelautoriteit [22849:22894]</t>
  </si>
  <si>
    <t xml:space="preserve">## OPENBAAR
&lt;!-- image --&gt;
Besluit van de Raad van Bestuur van de Kansspelautoriteit op de bezwaarschriften van Imperial E-Club Limited tegen het besluit van 11 februari 2014, kenmerk 8035 / 00.020.997, tot het opleggen van een bestuurlijke boete van EUR 200.000,- en het besluit van 11 februari 2014, kenmerk 8035 / 00.020.999, tot openbaarmaking van het besluit tot oplegging van de bestuurlijke boete.
Zaak:
OA/2012/007
Kenmerk:
8035 / 00.030.006 en 8246 / 00.030.007
Openbaarmaking onder kenmerk: 8035 / 00.033.248 en 8246 / 00.033.249
## Besluit op bezwaar
## 1 Inleiding
- 1i t t        ftentten ngss  n ein  en  n    tei (hierna: de Raad) van 11 februari 2014 tot het opleggen van een bestuurlijke boete en tot openbaarmaking van de bestuurlijke boete.
- 2Den bn   n  bn     etteet de Kansspelautoriteit (hierna: Ksa) de ontvangst van de bezwaarschriften bevestigd en tot 24 maart 2014 uitstel verleend voor het indienen van de bezwaargronden. Op 17 maart 2014 heeft de gemachtigde van Imperial verzocht om aanhouding van de bezwaarprocedures. Bij brief van 19 maart 2014² heeft de Ksa voor het indienen van de gronden van het bezwaar uitstel verleend tot en met 6 mei 2014. Bij brief van 6 mei 2014 de gronden van het bezwaar aangevuld.³
## 2Ontvankelijkheid
3. De bezwaarschriften zijn ingediend binnen zes weken na bekendmaking van de bes bn b b i b b  b b bn in aangevuld. De bezwaarschriften voldoen ook aan de overige door de Algemene wet bestuursrecht gestelde eisen zodat de bezwaarschriften ontvankelijk zijn.
1 Stuk 8035/00.022.492 en 8246/00.022.493.
³ Stuk 8035/00.026.156 en 8246/00.026.157.
² Stuk 8035/00.023.065 en 8246/00.023.066.
## 3Hoorzitting
4. Imperial is in de gelegenheid gesteld om tijdens een hoorzitting op 20 mei 2014 de bezwaarschriften toe te lichten. Bij brief van 19 mei 2014 heeft de gemachtigde van Imperial laten weten hiervan geen gebruik te maken.
## Advies 4
5. Naar aanleiding van de bezwaarschriften heeft de Adviescommissie bezwaarschriften van de Kansspelautoriteit (hierna: commissie) een advies uitgebracht aan de Raad. Dit advies dat bij deze beslissing op bezwaar is gevoegd, maakt hiervan integraal onderdeel uit. De commissie heeft geadviseerd om de bezwaren ongegrond te verklaren en het besluit, onder aanvulling van de motivering zoals weergegeven in randnummer 60 van het advies, in stand te laten.
6. Voor de motivering van deze beslissing op bezwaar wordt met betrekking tot:
3. het overtreden van de Wet op de kansspelen (hierna: Wok) en de pdrin n n n   n    n n an het advies;
4. den    d    n   n n dt van het advies;
5. de evenredigheid van het boetebesluit verwezen naar de randnummers 41 tot en met 46;
6. het beleidskader voor toekomstige vergunningverlening naar randnummer 47 van het advies;
7. de openbaarmaking verwezen naar de randnummers 49 tot en met 59 van het advies.
4 Stuk 8035/00.026.611 en 8246/00.026.612.
&lt;!-- image --&gt;
Kansspelautoriteit Datum 3 juli 2014 Ons kenmerk 8035 / 00.033.248 en 8246 / 00.033.249
## 5 Besluit
De Raad van Bestuur van de Kansspelautoriteit:
- a. stelt vast dat de commissie heeft geadviseerd om de bezwaren ongegrond te verklaren;
- b. stelt vast dat het advies inhoudelijk concludent is en zorgvuldig tot stand is gekomen;
- c. ziet geen reden om af te wijken van het advies;
- d. verklaart de bezwaren ongegrond en handhaaft de besluiten, onder aanvulling van de motivering zoals weergegeven in het advies van de commissie;
- e. verwijst overeenkomstig artikel 3:49 van de Algemene wet bestuursrecht voor de motivering van het besluit naar het uitgebrachte advies.
's-Gravenhage, 3 juli 2014 De Raad van Bestuur van de Kansspelautoriteit, w.g.
J.J.H. Suyver Voorzitter
## Beroep
Tegen dit besluit kan een belanghebbende beroep instellen bij de sector bestuursrecht van de rechtbank Den Haag, Postbus 20302, 2500 EH Den Haag.
Het beroepschrift moet binnen zes weken na de dag van bekendmaking door de rechtbank zijn ontvangen. Het beroepschrift moet op grond van artikel 6:5 van de Algemene wet bestuursrecht zijn ondertekend en moet ten minste bevatten de naam en adres van de indiener, de dagtekening, de omschrijving van het besluit waartegen het beroep is gericht, zo mogelijk een afschrift van dit besluit, en de gronden waarop het beroepschrift rust.
&lt;!-- image --&gt;
Kansspelautoriteit Datum 3 juli 2014 Ons kenmerk 8035 / 00.033.248 en 8246 / 00.033.249
OPENBAAR
&lt;!-- image --&gt;
Kansspelautoriteit Datum 3 juli 2014 Ons kenmerk 8035 / 00.033.248 en
8246 / 00.033.249
Van de indiener van het beroepschrift wordt griffierecht geheven door de griffier van de rechtbank. Nadere informatie over de hoogte van het griffierecht en de wijze van betalen wordt door de griffie van de rechtbank verstrekt.
Er kan ook digitaal beroep worden ingesteld bij genoemde rechtbank via http://loket.rechtspraak.nl/bestuursrecht. Daarvoor moet de indiener beschikken over een elektronische handtekening (DigiD). Kijk op de genoemde site voor de precieze voorwaarden.
## Adviescommissie bezwaarschriften van de Kansspelautoriteit
Advies inzake de bezwaarschriften van Imperial E-Club Limited tegen het besluit van 11 februari 2014, kenmerk 8035/00.020.997, tot het opleggen van een bestuurlijke boete van EUR 200.000,- en het besluit van 11 februari 2014, kenmerk 8035/00.020.999, tot openbaarmaking van het besluit tot oplegging van de bestuurlijke boete.
## 1. Procedureverloop
1. Uit de stukken is de Adviescommissie bezwaarschriften van de Kansspelautoriteit (hierna: de commissie) – samengevat – het volgende gebleken.
2. Vanaf 6 juni 2012 tot en met 17 oktober 2013 hebben toezichthouders van de Kansspelautoriteit (hierna: Ksa) de volgende websites onderzocht: www.europacasino.com, www.Vegasred.com, www.titanpoker.com, www.casinotropez.com, www.titancasino.com, www.titanbet.com en wwn n  n  n  nn  in het rapport (zie de paragrafen 4.1, 4.6, 4.7, 4.19 tot en met 4.25 en 4.27 tot en met 4.32) en het besluit (zie hoofdstuk 5).
3. Aanbieder van voornoemde websites is Imperial E-Club Limited (hierna: Imperial)¹. Dat blijkt uit de informatie op de verschillende websites.² Bovendien blijkt dit uit de vergunningen voor "interactive gaming" en "interactive wagering" afgegeven door de overheid van Antigua en Barbuda voor de website www.casinotropez.com.³ Tot slot volgt het uit de vergunning die is afgegeven door de Kahnawake Gaming Commission.⁴
4. Imperial is gevestigd aan Temple Street 6, St John's te Antigua en Barbuda. Dgarniiid  o art a  t  s nen
5. Op 30 september 2011 en 25 november 2011 zijn de aanbieders van online kansspelen, waaronder Imperial, er door het toenmalige Projectbureau kansspelen van het Ministerie van Veiligheid en Justitie op gewezen dat zij de Wet op de kansspelen (hierna: Wok) overtreden. Met de aangetekende brieven van 8 juni 2012 en 25 juli 2012 heeft de Ksa Imperial er nogmaals op gewezen dat zij in strijd met de Wok handelt door gelegenheid te geven tot deelname aan kansspelen. Deze brieven zijn zowel naar het adres op Antigua en Barbuda als op de Filipijnen gezonden. Omdat geen reactie is ontvangen van Imperial zijn de brieven op 14 augustus 2012 per e-mail verzonden naar het e-mailadres support@europacasino.com. Ook hierop is geen reactie ontvangen.⁶
6. Op 4 november 2013 is een rapport opgesteld als bedoeld in artikel 5:48 van de Algemene wet bestuursrecht (hierna: Awb). In het rapport zijn de bevindingen van het onderzoek weergegeven en wordt geconcludeerd dat Imperial in strijd heeft gehandeld met artikel 1, eerste lid, aanhef en onder a, van de Wok. Het rapport is
Zie paragraaf 6.1 van het rapport.
Zie randnummer 58 van het rapport.
² Zie randnummer 11 van het besluit.
Zie randnummer 10 van het besluit.
Zie randnummers 18 tot en met 22 van het besluit.
Zie randnummer 17 van het besluit.
toegezonden aan Imperial.7
7. In het rapport wordt ook de website www.deuropacasino.com vermeld. Deze website is in het besluit wel benoemd maar verder buiten beschouwing gelaten. Imperial had me n z   i  n   eze website en ook overigens waren er onvoldoende aanwijzingen dat Imperial wel de exploitant hiervan was.
8. Met de brief van 6 november 2013 heeft de Ksa Imperial uitgenodigd om een zienswijze naar voren te brengen over het voornemen tot het opleggen van een bestuurlijke boete.8 Na verleend uitstel heeft de gemachtigde van Imperial op 9 januari 2014 een schriftelijke zienswijze ingediend.
9. De Raad heeft bij besluit van 11 februari 2014 een boete opgelegd van EUR 200.000,- vanwege overtreding van artikel 1, eerste lid, aanhef, en onder a, van de Wok. Volgens dit boetebesluit heeft Imperial deze wettelijke bepaling overtreden door via de bij randnummer 2 genoemde websites gelegenheid te geven om mede te dingen naar prijzen of premies, waarbij de aanwijzing der winnaars geschiedt door enige kansbepaling waarop de deelnemers geen overwegende invloed kunnen uitoefenen zonder daartoe verleende vergunning. De overtreding is toegerekend aan Imperial.
4. 1o   t  t z tn      ten ingediend tegen de besluiten van de Raad van Bestuur van de Kansspelautoriteit (hierna: de Raad) van 11 februari 2014 tot het opleggen van een bestuurlijke boete en tot openbaarmaking van de bestuurlijke boete.
5. t t t  t t  t t t  ddt voorzieningenrechter van de Rechtbank Den Haag met het verzoek om een voorlopige voorziening te treffen. De behandeling van het verzoek werd door de rechtbank gepland op 13 maart 2014. Op verzoek van Imperial is de behandeling uitgesteld. De behandeling van het verzoek heeft plaatsgevonden op 15 april 2014.
6. Icn          d  akk gedaan.º De rechtbank heeft bepaald dat het besluit tot openbaarmaking van het boetebesluit is geschorst tot zes weken na bekendmaking van de beslissing op bezwaar. Met betrekking tot het boetbesluit zelf heeft de voorzieningenrechter geen vVo g n n   n nn ng
13. Met de brief van 6 mei 2014, kenmerk LT/2014/Imperial/KSA/GrondenBezwaar/ 140506, zijn namens Imperial de gronden van het bezwaar aangevuld.
14. Imperial is in de gelegenheid gesteld om tijdens een hoorzitting op Zo  bt     t      bt  de gem ten a n gn an n tn n  tto
7 Zie randnummer 25 van het besluit.
9Zaaknummer SGR 14/1404.
8 Artikel 5:53 van de Algemene wet bestuursrecht.
10 Stuk 8035/00.026.611 en 8246/00.026.612.
datum
6 juni 2014
## 2. Bezwaargronden van Imperial
15. In de bezwaarschriften is namens Imperial het volgende aangevoerd:
## A. Ten aanzien van het boetebesluit
- a. Voldoen aan de prioriteringscriteria levert nog geen overtreding op van de Wok.
- b. In het onderzoek is niet vastgesteld of vanuit Nederland kon worden den dn     s   dt ingezien waarom het tonen van de Nederlandse vlag en het aanbieden van iDEAL relevant is voor het onderbouwen van de stelling dat er sprake is van geln el n nn   n    enet ontbreken van een Nederlands telefoonnummer daar niet relevant voor is.
- C. Gebruik van de Nederlandse taal, het tonen van de Nederlandse vlag en het aanbieden van de betalingsmogelijkheid iDEAL op de websites betekent niet dat deze zich richten op spelers in Nederland.
4. To         o dor sommige aanbieders wel geldt en voor andere niet. Dit is onevenredig en leidt tot willekeur en rechtsongelijkheid.
- e. De prioriteringscriteria zijn door de Ksa niet juist toegepast. Toen op 6 november 2012 is geconstateerd dat www.europacasino.com niet langer voldeed aan de prioriteringscriteria, is het onderzoek naar deze website desondanks voortgezet. Hiermee heeft de Ksa in strijd gehandeld met haar eigen beleid en daarmee in strijd met het rechtszekerheidsbeginsel en het verbod van willekeur.
- g. Voor Imperial is niet duidelijk wat het beleidskader is met betrekking tot toekomstige vergunningverlening zodat ze niet kan inschatten wat de gevolgen zijn van de opgelegde boete en het al of niet betalen daarvan. Door het boetebesluit is Imperial in een zeer nadelige positie gebracht ten opzichte van andere kansspelaanbieders.
- f. Het boetebesluit is onevenredig omdat Imperial geen kansspelen wil aanbieden voer e  (r   n n   r   eve gerichtheid op spelers in Nederland. Aanpassingen op de website wo    l o n n  oust voor gekozen om voor de andere websites te blijven voldoen aan de prioriteringscriteria. Verder geeft bezwaarmaakster aan dat andere aanbieders die in tegenstelling tot Imperial niet aan de wet voldoen niet worden aangepakt. Von gekomen.
## B. Ten aanzien van de openbaarmaking
- h. Het openbaarmakingsbesluit benadeelt Imperial onevenredig. In de uitwerking heeft dit besluit een punitief karakter. Imperial wil niet worden weggezet als een louche, criminele partij. Met de openbaarmaking wordt zij in een kwaad daglicht gesteld hetgeen het gevolg is van het niet tijdig aanpassen van al haar websites aan het prioriteringsbeleid.
- i. Imperial heeft alle activiteiten die verband kunnen hebben met Nederland of de schijn daartoe kunnen wekken gestaakt en voldoet daarmee aan de wet.
- j. Derden die kennisnemen van het openbaar gemaakte boetebesluit kunnen dat gebruiken in toekomstige vergunningprocedures. Handelspartners kunnen vanwege de openbaarmaking Imperial uitsluiten van het doen van zaken.
- k. Openbaarmaking van de boete heeft grote invloed op de positie van Imperial en dat is niet uitsluitend het gevolg van de sanctie zelf. Zolang onduidelijk is wat de consequenties zijn van het boetebesluit dient openbaarmaking daarvan achterwege te blijven.
- I. Imperial wordt gediscrimineerd vergeleken met andere aanbieders die ook aan de prin  n n  n n n en
2. n mn m  n  md ddn consument. Imperial heeft alle activiteiten in Nederland gestaakt waardoor het niet nodig is om publiek in Nederland te waarschuwen.
- n. Niet valt in te zien waarom het van belang is de namen van Imperial en de websites te noemen.
## 3. Toepasselijke regelgeving
16. De Raad is op grond van artikel 33b van de Wok belast met de bestuurlijke handhaving van de Wok. Op grond van artikel 35a van de Wok is de Raad bevoegd tot het opleggen van een bestuurlijke boete wegens overtreding van – onder meer – artikel 1 van de Wok. De maximaal op te leggen boete bedroeg ten tijde van de overtreding EUR 780.000,- of – indien dit meer is – 10 % van de omzet in het boekjaar voorafgaand aan de beschikking.
17. Artikel 5:1 van de Awb luidt:
3. t       :        et het bepaalde bij of krachtens enig wettelijk voorschrift.
3. Overtredingen kunnen worden begaan door natuurlijke personen en rechtspersonen. Artikel 5:1, tweede en derde lid, van het Wetboek van Strafrecht is van overeenkomstige toepassing.
2. Onder overtreder wordt verstaan: degene die de overtreding pleegt of medepleegt.
18. Op grond van artikel 1, eerste lid, aanhef en onder a, van de Wok is het behoudens het in Titel Va van de Wok bepaalde, verboden gelegenheid te geven om mede te dingen naar prijzen of premies, indien de aanwijzing der winnaars geschiedt door enige kansbepaling waarop de deelnemers in het algemeen geen overwegende invloed kunnen uitoefenen, tenzij daarvoor ingevolge de Wok vergunning is verleend.
7. g n   n     n n n   en vergunning verleend. De Wok biedt voor een dergelijke vergunning geen voorziening. Dat betekent dat het gelegenheid geven om deel te nemen aan een kansspel online altijd in strijd is met artikel 1, eerste lid, aanhef en onder a, van de Wok.
20. Op grond van artikel 8 van de Wet openbaarheid van bestuur verschaft een bestuursorgaan dat het rechtstreeks aangaat, uit eigen beweging informatie over het beleid, de voorbereiding en de uitvoering daaronder begrepen, zodra dat in het belang is van een goede en democratische bestuursvoering.
21. In artikel 10 van de Wet openbaarheid van bestuur is een aantal uitzonderingen opgenomen. Persoonsgegevens worden bijvoorbeeld niet openbaar gemaakt. Daarnaast kan het verstrekken van informatie bijvoorbeeld achterwege blijven voor zover het belang van openbaarmaking niet opweegt tegen het voorkomen van onevenredige benadeling van bij de aangelegenheid betrokken rechtspersonen.
22. In de uitspraak van 10 november 2010, LJN BO3468, heeft de Afdeling Be     d      a   san de toezichthoudende taak boetebesluiten te publiceren, zodat bekendheid wordt gegeven aan de wijze van uitvoering van deze taak.
## 4. Overwegingen van de commissie
## Ten aanzien van de ontvankelijkheid van Imperial
23. De bezwaarschriften zijn tijdig ingediend en voldoen ook overigens aan alle vereisten voor ontvankelijkheid.
## Ten aanzien van de gronden van het bezwaar
Overtreding Wok en prioriteringscriteria (a t/m e)
24. De prioriteringscriteria zijn ontwikkeld om de volgorde in handhavend optreden te De          D  der de Wok overtreedt. Bezwaarmaakster betoogt dat voldoen aan de prioriteringscriteria niet betekent dat de Wok is overtreden. De commissie onderschrijft dit maar ziet in het bestreden besluit geen aanleiding om te veronderstellen dat de Raad dit standpunt wel huldigt. Wat bezwaarmaakster verder aanvoert met betrekking tot het prioriteringsbeleid heeft als strekking dat dat beleid onrechtmatig is of op onjuiste wijze is toegepast. Nu geen boete is opgelegd wegens overtreding van de prioriteringscriteria maar vanwege overtreding van de Wok, ziet de commissie geen aals z z s s      d  ge betekent dat immers nog niet dat ten onrechte een boete wegens overtreding van de Wok is opgelegd.
25. Volgens bezwaarmaakster vloeit uit het Ladbrokesarrest voort dat, om van een overtreding van artikel 1 van de Wok te kunnen spreken, er sprake moet zijn van toegang tot de aangeboden kansspelen. In dat kader moet worden vastgesteld of deelneming aan de spellen niet onmogelijk is gemaakt. De commissie merkt op dat het zogenoemde Ladbrokesarrest¹¹ is gewezen in een civielrechtelijk geschil binnen enb b n bn b  bn b n  bkbd b het bijzonder ging het in dat arrest om de vraag of het per definitie grensoverschrijdende karakter van internet met zich meebrengt, dat een aanbieder van kansspelen online reeds om die reden niet kan worden tegengeworpen dat ook in Ned    n     s  den kansspelen.
26. De Hoge Raad overwoog hieromtrent dat bij de beantwoording van de vraag of het via internet aanbieden van kansspelen kan worden beschouwd als het hier te lande door art. 1, aanhef en onder a, Wok verboden "gelegenheid geven", moet worden vooropgesteld dat doel en strekking van die bepaling tot een ruime uitleg van dat be t     se    ren  ren door onder strikte voorwaarden een beperkt legaal aanbod toe te staan en de opbrengsten van de kansspelen ten goede te laten komen aan de schatkist of aan het algemeen belang. Deze doelstellingen mogen niet belemmerd worden door vanuit het buitenland kansspelen online aan te bieden in Nederland.
27. Een van de mogelijkheden om overtreding van de Nederlandse kansspelregelgeving te voorkomen is een zgn. IP-country blokkade. De Hoge Raad overwoog hieromtrent: In dit verband is voldoende dat de website waarop de gelegenheid tot deelneming wordt geboden niet met gebruikmaking van de hiervóór bedoelde software de deelneming aan kansspelen onmogelijk maakt en blijkens haar inrichting mede is gericht op potentiële deelnemers in Nederland, hetgeen reeds het geval is indien
11Hoge Raad 18 februari 2005, LN AR4841, overweging 3.3.3.
12 LJN AR4841, overweging 3.3.2.
Nederland is vermeld in een op de website voorkomende lijst van landen van waaruit aan de aangeboden kansspelen kan worden deelgenomen. De rechter behoeft zich dan   e  on vn   en   n en aanwijzing vormen van het mede op Nederland gericht zijn van de website.
28. Dit arrest brengt volgens de commissie, anders dan bezwaarmaakster stelt, geen verplichting mee voor de Raad om, in het kader van zijn handhavende taak, ten bewijze van een overtreding van artikel 1 van de Wok vast te stellen dat deelneming aan de spellen in Nederland niet onmogelijk is gemaakt. Volgens de Hoge Raad is gebruikmaking van software die deelneming vanuit Nederland onmogelijk maakt namelijk een element dat van belang is bij de beoordeling of er sprake is van gelegenheid geven in de zin van artikel 1 van de Wok. Maar volgens de commissie is het t t  t       t te kunnen spreken.
29. Artikel 1, eerste lid, aanhef en onder a, van de Wok behelst bovendien alleen een verbod om gelegenheid te geven om mede te dingen naar (..). Het daadwerkelijk deelnemen aan die kansspelen vormt geen bestanddeel van de overtreding. Dat niet onderzocht is of vanuit Nederland is deelgenomen aan de kansspelen, is derhalve niet doorslaggevend voor de vraag of er sprake was van gelegenheid geven.
30. De commissie verwijst voorts naar de uitspraak van de voorzieningenrechter van de rechtbank Den Haag van 4 februari 201413, overweging 6, pagina 4, waar deze overweegt: Het niet onmogelijk gemaakt zijn van de deelneming vanuit Nederland is weliswaar door de Hoge Raad aangemerkt als een element van het "gelegenheid ge d n n  an zn n  n n   et Ladbrokes arrest – gewezen tussen twee civiele partijen – ook een regel van bestuursrechtelijk bewijsrecht heeft willen formuleren ingevolge welke een bes vn n n n  vn dn   ad zal moeten aannemen totdat zij het tegendeel door eigen onderzoek heeft vastgesteld.
31. Naar het oordeel van de commissie heeft Imperial via de bij randnummer 2 genoemde websites gelegenheid gegeven tot deelneming aan kansspelen in de hiervoor bedoelde zin.
32. In het besluit heeft de Raad aan de hand van een aantal elementen beoordeeld of het kansspelaanbod van Imperial mede was gericht tot Nederland. Als zodanig zijn onder andere van belang geacht het tonen van een Nederlandse vlag, de betaalmogelijkheid iDEAL, het gebruik van de Nederlandse taal en het noemen van Nederlandse winnaars. Naar het oordeel van de commissie wijzen de hiervoor genoemde elementen er op dat de gokactiviteiten van Imperial zo waren ingericht dat Nend dr e c n n r d en deelnemen. Hieruit volgt tevens dat het aanbod was gericht tot de Nederlandse Dmc n   t        tin het buitenland is niet gemotiveerd en acht de commissie niet aannemelijk. Evenmin valt in te zien dat de websites Nederlandstalige bezoekers zouden faciliteren met ir     d b il daadwerkelijke deelname niet mogelijk zou zijn. Er zijn geen indicaties die daarop i t ett t t  t    t et ontbreken van een Nederlands telefoonnummer op de websites minder betekenis is toegekend komt de commissie niet onredelijk voor.
13 Zaaknummer SGR 13/9213 WOB V05.
33. Een ander belangrijk aspect is dat Nederland niet is genoemd in de lijst van landen van waaruit deelname aan de kansspelen is uitgesloten.14 In dat licht bezien acht de commissie het uitgesloten dat er door Imperial een IP-country blokkade was ingesteld die deelname vanuit Nederland onmogelijk maakte. Imperial sloot deelname vanuit Nederland immers zelf niet uit. Dat in een aantal verslagen van toezichthouders is vastgelegd dat de software, om de spellen te kunnen bekijken en spelen, niet kon worden gedownload en geïnstalleerd op de computers bij de Ksa, wil niet zeggen dat het kansspelaanbod niet bereikbaar was voor spelers in Nederland. Op de computers bij de Ksa is uit oogpunt van beveiliging een beperking aangebracht waardoor downloaden van software niet mogelijk is. Voor de commissie staat het, mede in het licht van het feit dat bezwaarmaakster geen concrete feiten of omstandigheden heeft aangevoerd die nopen tot een tegenovergestelde conclusie, dan ook vast dat Imperial gelegenheid bood tot deelname aan kansspelen.
34. De commissie is, gelet op bovenstaande, van oordeel dat met de bij randnummer 2 genoemde websites gelegenheid werd gegeven aan potentiële deelnemers in Nederland om mede te dingen naar prijzen of premies. Uit het boeterapport blijkt immers dat door deelname aan het kansspelaanbod kon worden meegedongen naar drin n    n n n in  n den genoemd. In de algemene voorwaarden op de websites stond onder meer vermeld da n en  n dn  n  n dd deelnemer.
35. Verder merkt de commissie op dat in de algemene voorwaarden op de websites was vermeld dat de generatoren van willekeurige getallen de uitkomst van de spellen bepalen. Hieruit blijkt dat de spelers de uitkomsten niet overwegend konden beïnvloeden.
36. Dat blijkt overigens ook uit de aard van de aangeboden kansspelen op voornoemde websites. Van roulette, Black Jack en Keno is algemeen bekend dat dit kansspelen betreffen en dat de deelnemers aan deze kansspelen geen overwegende invloed hebben op de uitkomsten. Zoals bij randnummer 90 van het besluit is aangegeven zijn deze spelen in de Beschikking casinospelen 1996 als casinospelen benoemd.
37. Vast staat dat Imperial nooit over een vergunning heeft beschikt op grond van de Wok voor het geven van gelegenheid tot deelname aan kansspelen. Op grond van het huidige wettelijke kader wordt ook geen vergunning verleend voor het gelegenheid geven tot deelname aan kansspelen via internet.
38. Dat Imperial beschikt over vergunningen verleend door de autoriteit in Antigua and Barbuda en de Kahnawake Gaming Commission is niet relevant. Het gaat in casu om de activiteiten van dit bedrijf op de Nederlandse markt en daar is de Ksa bevoegd, niet de autoriteit van Antigua and Barbuda of de Kahnawake Gaming Commission. Teun     n   dn     den die de Wok en het Nederlandse kansspelbeleid beogen te dienen, bij de vergunningen verleend in Antigua and Barbuda en Kahnawake enige rol spelen.
39. De commissie verwijst voorts naar overweging 2.14 van de uitspraak van de Hoge Raad van 24 februari 2012, gepubliceerd op rechtspraak.nl onder nummer BT6689: Uit het antwoord van het HvJEU op de derde door de Hoge Raad gestelde prejudiciële vraag, meer in het bijzonder uit hetgeen het HvJEU in punt 54 van zijn arrest heeft ves   d z bi   i b it  l len
14Zie hoofdstuk 5 van het besluit.
6 juni 2014
dat het enkele feit dat een marktdeelnemer rechtmatig via internet kansspelen aanbiedt in een andere lidstaat, niet voldoende waarborgt dat de nationale consument wordt beschermd tegen het risico van fraude en criminaliteit.
## Tussenconclusie
40. Naar het oordeel van de commissie kan op basis van de hiervoor weergegeven feiten worden vastgesteld dat vanuit Nederland kon worden deelgenomen aan de op bij randnummer 2 genoemde websites aangeboden kansspelen. Daarmee staat voor de commissie vast dat artikel 1, eerste lid, aanhef en onder a, van de Wok is overtreden. De aan het boetebesluit ten grondslag gelegde onderzoeksbevindingen bieden volgens de commissie voor deze vaststelling voldoende basis. Daarmee staat volgens de commissie tevens vast dat de Raad bevoegd was voor deze overtreding een bestuurlijke boete op te leggen.
## Evenredigheid van het boetebesluit (f)
41. Dat Imperial thans via haar websites geen kansspelen meer aanbiedt op de Nederlandse markt doet niet af aan het feit dat zij in de onderzoeksperiode langdurig en stelselmatig artikel 1 van de Wok heeft overtreden. Het is de commissie gebleken da  d  d      dde overtredingen en dat Imperial persisteerde in het in strijd handelen met de Wok.
42. Imperial heeft inderdaad aanpassingen doorgevoerd op de website www.europacasino.com en viel vanaf dat moment niet meer onder de prioriteringscriteria. In de waarschuwingsbrieven die de Ksa heeft gezonden was echter vermeld dat het daarin gestelde ook gold voor eventuele andere door Imperial beheerde websites. Dat Imperial dat over het hoofd heeft gezien of zich dat onvoldoende heeft gerealiseerd komt naar het oordeel van de commissie voor haar rekening.
43. De aanpassingen op de andere websites zijn pas geruime tijd na de pleegperiode doorgevoerd. Het is de commissie gebleken dat deze websites pas ontoegankelijk zijn gemaakt nadat het voor Imperial duidelijk was dat de Ksa een boete zou kunnen gaan opleggen. In zo'n geval ligt het volgens de commissie niet voor de hand om geen of een lagere boete op te leggen.
44. Het is de commissie niet duidelijk hoe bezwaarmaakster erbij komt dat tegen andere aanbieders die zich voor handhavend optreden prioriteren niet wordt opgetreden. Bezwaarmaakster heeft immers geen inzage in de (lopende) onderzoeken en procedures van de Ksa.
45. Op basis van de prioriteringscriteria komen alle aanbieders die daaraan voldoen voor handhavend optreden in aanmerking. Omdat de handhavingscapaciteit van de Ksa ni  n         at wil echter niet zeggen dat, zoals bezwaarmaakster stelt, alleen tegen Imperial door de Ksa is opgetreden. De commissie wijst op de andere boetes die de Ksa heeft opgelegd aan online kansspelaanbieders die zijn gepubliceerd op haar website.
46. In het besluit is de hoogte van de boete gemotiveerd in hoofdstuk 8. Met name bij de randnummers 97 tot en met 100 en 106 tot en met 112 is de motivering opgenomen voor de hoogte van de boete. De commissie is van oordeel dat deze motivering toereikend is. Uit deze motivering volgt bijvoorbeeld ook waarom de boete in deze zaak hoger is uitgevallen dan bij eerdere zaken.
## Beleidskader toekomstige vergunningverlening (g)
47. Het boetebesluit staat los van de toekomstige wet en de toekomstige mogelijkheid en n  vn  n e  vn n  n n opg   d  n n gn n den pla a t    t   t dt toekomstige vergunningverlening in een ongunstiger positie staat dan haar concurrenten om de enkele reden dat zij een boete heeft gekregen en de andere bedrijven niet. Maar dat blijkt volgens de commissie niet uit de feiten, mededelingen van de Ksa of het wetsvoorstel Kansspelen op afstand. Verder merkt de commissie op dat de inhoud van toekomstige wetgeving en/of beleid niet relevant is bij beantwoording van de vraag of terecht een boete is opgelegd op basis van thans geldende wetgeving en beleid.
2. At   t t    n  t  dt gronden niet. De commissie zal daarom adviseren het bezwaar tegen dat besluit ongegrond te verklaren.
Openbaarmaking van het besluit (h tot en met n)
49. Het is de commissie gebleken dat de Ksa een beleid voert om actief voorlichting te geven over de taakuitvoering. Het openbaar maken van sanctiebesluiten maakt daar onderdeel van uit. Dit vanwege het maatschappelijk belang om de consument te informeren over dan wel te waarschuwen voor bepaalde handelspraktijken van aanbieders van kansspelen zonder vergunning en de risico's die consumenten daarbij lopen. Daarnaast beoogt de Ksa met de openbaarmaking van sanctiebesluiten transparantie te bieden met betrekking tot het functioneren van haar organisatie. Ten slotte acht de Ksa openbaarmaking van belang in verband met de preventieve werking die van sanctiebesluiten kan uitgaan naar andere ondernemingen en natuurlijke personen. Overeenkomstig deze beleidslijn heeft de Ksa ook in de onderhavige zaak besloten tot openbaarmaking van de bestuurlijke boete.
50. Openbaarmaking van het boetebesluit heeft nog niet plaatsgevonden omdat de voorzieningenrechter van de rechtbank Den Haag de voorgenomen openbaarmaking heeft geschorst tot zes weken na de beslissing op bezwaar.
51. Anders dan Imperiaal betoogt, is openbaarmaking van een boetebesluit volgens de commissie geen afzonderlijke sanctie en heeft openbaarmaking geen punitief karakter. De commissie verwijst naar de uitspraak van de Rechtbank Rotterdam van 4 mei 2011 (LJN: BQ3528). Het mogelijke door openbaarmaking van een besluit ontstane nadeel wordt niet gezien als bestraffing (leedtoevoeging).
52. De commissie verwijst tevens naar de uitspraak van de rechtbank Rotterdam (LJN: BY4734) waarin is overwogen dat openbaarmaking van een sanctiebesluit geen punitief karakter heeft. De commissie verwijst voorts naar de uitspraak van de Afdeling Bestuursrechtspraak van de Raad van State van 10 november 2010 (LJN: BO3468). De vraag bij publicatie betreft de vraag naar mogelijke onevenredige benadeling van betrokkenen. Er is, aldus de Afdeling, alleen dan sprake van onevenredige benadeling als een besluit in rechte geen stand zal kunnen houden en de betrokken rechtspersoon ten onrechte als overtreder kenbaar is gemaakt.
5. St  uv i  vr   t t dter Rotterdam (LJN BZ4032) waarin werd overwogen dat een besluit in essentie in rechte stand zal kunnen houden. Indien dat het geval is, zijn er geen beletselen voor openbaarmaking.
8035 / 00.033.248
8246 / 00.033.249
6 juni 2014
54. De commissie kan Imperial niet volgen in het betoog dat geanonimiseerde openbaarmaking de voorkeur verdient. Consumenten dienen naar behoren geïnformeerd en/of gewaarschuwd te kunnen worden. Hun belang is niet gediend bij geanonimiseerde openbaarmaking. Zij weten dan immers niet welke website en/of welke bedrijven achter de website het betreft. Imperial heeft weliswaar de door haar geëxploiteerde Nederlandstalige websites ontoegankelijk gemaakt voor deelname vann  d       ent opgeheven kunnen worden. Ook valt niet uit te sluiten dat consumenten gebruik oasn  vsn </t>
  </si>
  <si>
    <t>## OPENBAAR
Besluit van de raad van bestuur van de Kansspelautoriteit op het bezwaarschrift van de heer [xxx], eigenaar van Thee- en koffiehuis Kayseri te Dordrecht (hierna: bezwaarmaker), tegen het besluit van 9 april 2015, kenmerk 9281 / 00.049.932.
Zaak:
149
Kenmerk:
9281 / 00.055.578
Openbaar gemaakt onder kenmerk: 9281/ 00.073.689
## Besluit op bezwaar
## 1Inleiding
1. Bij brief van 21 mei 2015 is namens bezwaarmaker bezwaar gemaakt tegen het besluit van de raad van bestuur van de Kansspelautoriteit (hierna: de raad) van 9 april 2015, kenmerk 9281 / 00.049.932 tot het opleggen van een bestuurlijke boete van € 7.500,-.
## 2 Ontvankelijkheid
2. Het bezwaarschrift voldoet aan de op grond van de Algemene wet bestuursrecht gestelde eisen waarmee het bezwaarschrift ontvankelijk is.
## 3 Hoorzitting
- 3s os n    z  t o zn n bezwaarschrift toegelicht.
## 4Advies
4. Naar aanleiding van het bezwaarschrift en de hoorzitting van 7 juli 2015 heeft de adviescommissie bezwaarschriften van de Kansspelautoriteit (hierna: commissie) ad  do Dss         n gevoegd, maakt hiervan integraal onderdeel uit.
&lt;!-- image --&gt;
OPENBAAR OPENBAAR
&lt;!-- image --&gt;
Kansspelautoriteit
Datum 28 augustus 2015 Ons kenmerk 9281 / 00.073.689
5. De commissie adviseert, onder aanvulling van de motivering van de hoogte van de boete, de bezwaren ongegrond te verklaren en de beschikking in stand te laten.
6. Voor de motivering van deze beslissing op bezwaar wordt verwezen naar het advies van de commissie.
## 5 Besluit
De raad van bestuur van de Kansspelautoriteit:
- a. stelt vast dat de commissie heeft geadviseerd om de bezwaren ongegrond te verklaren en het verzoek tot verlaging van de boete tot nihil af te wijzen;
- b. stelt vast dat het advies inhoudelijk concludent is en zorgvuldig tot stand is gekomen;
- c. ziet geen reden om af te wijken van het advies;
- d. verwijst voor de hoogte van de opgelegde boete naar het boeterichtsnoer gokzuilzaken waarin de boete van € 5.000,- gemotiveerd wordt;
- e. verklaart de bezwaren overigens ongegrond en handhaaft het besluit;
- f. verwijst overeenkomstig artikel 3:49 van de Algemene wet bestuursrecht voor de motivering van het besluit naar het uitgebrachte advies.
's-Gravenhage, 28 augustus 2015
De raad van bestuur van de Kansspelautoriteit, namens deze,
w.g.
J.G. Pot
Lid raad van bestuur
## Beroep
Tegen dit besluit kan een belanghebbende beroep instellen bij de sector bestuursrecht van de rechtbank Rotterdam,Postbus 50951,3007 BM Rotterdam.
Het beroepschrift moet binnen zes weken na de dag van bekendmaking door de rechtbank zijn ontvangen. Het beroepschrift moet op grond van artikel 6:5 van de Algemene wet bestuursrecht
## OPENBAAR OPENBAAR
Kansspelautoriteit Datum 28 augustus 2015 Ons kenmerk 9281 / 00.073.689
&lt;!-- image --&gt;
zijn ondertekend en moet ten minste bevatten de naam en adres van de indiener, de dagtekening, de omschrijving van het besluit waartegen het beroep is gericht, zo mogelijk een afschrift van dit besluit, en de gronden waarop het beroepschrift rust.
Van de indiener van het beroepschrift wordt griffierecht geheven door de griffier van de rechtbank. Nadere informatie over de hoogte van het griffierecht en de wijze van betalen wordt door de griffie van de rechtbank verstrekt.
Er kan ook digitaal beroep worden ingesteld bij genoemde rechtbank via http://loket.rechtspraak.nl/bestuursrecht. Daarvoor moet de indiener beschikken over een elektronische handtekening (DigiD). Kijk op de genoemde site voor de precieze voorwaarden.
## Adviescommissie bezwaarschriften van de Kansspelautoriteit
Advies inzake het bezwaarschrift van de heer [xxx](Thee- en koffiehuis Kayseri) tegen het besluit van 9 april 2015, kenmerk 9281 / 00.049.932, tot het opleggen van een bestuurlijke boete van € 7.500,- (hierna: sanctiebesluit).
## 1. Procedureverloop
1. Uit de stukken en het behandelde ter hoorzitting is de Adviescommissie - eaa - (es  : aii he   a het volgende gebleken.
2. Het onderzoek naar thee- en koffiehuis Kayseri (hierna: Kayseri) is gestart naar aanleiding van een bespreking van de Kansspelautoriteit, de politie Zuid-Holland Zuid en de gemeente Dordrecht over het aanbod van illegale kansspelen in Dordrecht.
3. Op 2 oktober 2013 hebben toezichthouders van de Kansspelautoriteit samen met medewerkers van de politie en de gemeente een bedrijfsbezoek gebracht aan Kayseri. Daarbij is geconstateerd dat een in Kayseri aanwezige computer openstond op een internetpagina voor het afsluiten van sportweddenschappen.¹ konden worden afgesloten op voetbalwedstrijden. Aan de computer was randapparatuur verbonden zoals een muis, een toetsenbord en een ticketprinter.² Een dergelijke computer met randapparatuur wordt ook aangeduid als een voetbalzuil of gokzuil. Daarop is een nader onderzoek ingesteld. De bevindingen van deze onderzoeken zijn weergegeven in het rapport van 23 januari 2015 en het sanctiebesluit van 9 april 2015.
4. Kayseri is een eenmanszaak. Volgens de informatie van de Kamer van Koophandel is de heer[xxx](hierna: bezwaarmaker) eigenaar van Kayseri.³ Op 30 november 2012 heeft bezwaarmaker onder meer verklaard dat klanten op de computer konden gokken.4 Bezwaarmaker ontvangt een standaardbedrag van de
inzet, namelijk 10%.
5. Op 23 januari 2015 is een rapport opgesteld als bedoeld in artikel 5:48 van de Algemene wet bestuursrecht. In het rapport zijn de bevindingen van het onderzoek weergegeven en wordt geconcludeerd dat door de aanwezigheid van een gokzuil in de onderneming Kayseri is gehandeld in strijd met artikel 30t, eerste lid, aanhef, en onder c, van de Wet op de kansspelen (hierna: Wok). Het
rapport is toegezonden aan bezwaarmaker.
6. Bezwaarmaker is in de gelegenheid gesteld ter hoorzitting van 3 maart 2015 een zie  et e et e e o   ei gebruik gemaakt, daarbij vergezeld door zijn gemachtigde.
1Stuk 149/003.
²Stuk 149/004, onder 5.3.
³Stuk149/002/01.
At t  in t   o  e  s   t ll wordt via iDeal of een opwaardeerkaart.
7. De raad van bestuur van de Kansspelautoriteit (hierna: de raad) heeft met het Sai in -i     t i   in van          e     ben van   t  t t n at (zt d  as voorzien van een bijbehorend merkteken, op een voor het publiek toegankelijke plaats, te weten thee- en koffiehuis Kayseri. De overtreding is toegerekend aan de eigenaar van Kayseri, bezwaarmaker. De raad heeft eveneens besloten tot openbaarmaking van het sanctiebesluit.
8. Bij brief van 21 mei 2015 heeft bezwaarmaker bezwaar gemaakt tegen voornoemd san e     ga  s  gat besluit.
9. Voor het geven van een mondelinge toelichting is bezwaarmaker bij brief van 12 juli 2015 uitgenodigd ter hoorzitting van de commissie op 7 juli 2015.⁶
4. In  n  n  n d  n  dde
## 2. Standpunt bezwaarmaker
11. In het bezwaarschrift en tijdens de hoorzitting op 7 juli 2015 is het volgende aangevoerd:
- a. Bezwaarmaker erkent dat hij een op internet aangesloten computer ter beschikking stelde van de klanten van Kayseri, maar dat hij zich uit privacyoverwegingen niet bezig hield met wat de klanten op de computer deden.
- c. Soms werd gezamenlijk in de vorm van een pool gewed op de uitslag van sportweddenschappen en dat daarvoor een keus werd gemaakt uit de via de computer beschikbare wedstrijden om er zeker van te zijn dat niemand de uitslag van de wedstrijden al kende.
- b. Klanten gebruikten de computer in Kayseri om de voortgang van thuis afgesloten weddenschappen te volgen.
- d. Bezwaarmaker beheerde de pot van deze pool en kreeg daarvoor 10% van de inzet. De overige 90% was voor de winnaar van de pool.
- e. Op de computer keken winnaars van de pool wat ze gewonnen zouden hebben als ze op de betreffende website een weddenschap hadden geplaatst. Dit resulteerde vaak in de aangetroffen ongeldige wedtickets.
- g. Voor het papier met daarop de 'regels voor het spelen van de toto' is geen verklaring, maar dit papier betekent niet dat er weddenschappen werden afgesloten. Dit geldt ook voor de verbinding van de computer met de websitesite come-bet.com. Mogelijk waren er klanten in deze website geïnteresseerd, maar het betekent niet dat er gegokt werd.
- f. Bezwaarmaker ontkent dat via de door hem ter beschikking gestelde computer weddenschappen werden afgesloten. De computer is slechts een extra service voor de klanten. Niet iedereen heeft thuis een computer.
- h. Bezwaarmaker is van oordeel dat ook niet is aangetoond dat er weddenschappen zijn afgesloten.
5 Stuk 9281/00.051.809.
6 Stuk 9281/ 00.052.876.
- i. Het feit dat er wedtickets zijn aangetroffen is nauwelijks een indicatie voor gokpraktijken.
- j. De opgelegde boete is disproportioneel want deze is veel hoger dan de in het rapport berekende omzet.
## 3. Toepasselijke regelgeving
12. De raad is op grond van artikel 33b van de Wok belast met de bestuurlijke handhaving van de Wok. Op grond van artikel 35a van de Wok is de raad bevoegd tot h- e en - vn  en   n v  e artikel 30t van de Wok. De maximaal op te leggen boete bedraagt € 780.000,- of – indien dit meer is – 10 % van de omzet in het boekjaar voorafgaand aan de beschikking.7
13. Op grond van artikel 30t, eerste lid, aanhef, en onder c, van de Wok is het verboden speelautomaten aanwezig te hebben van een niet toegelaten model, zonder bijbehorend merkteken op een voor het publiek toegankelijke plaats.
14. Artikel 30r, eerste lid, van de Wok luidt: De raad van bestuur, bedoeld in artikel 33a, stelt met betrekking tot iedere toelating van een model de merktekens vast die ingevolge die toelating op speelautomaten mogen worden aangebracht. Hij geeft tevens regels omtrent de afgifte van
merktekens en afschriften van de verklaring, houdende toelating.
15. Artikel 30b, eerste lid, van de Wok luidde ten tijde van de overtreding: Het is verboden, behoudens het in deze Titel bepaalde, zonder vergunning van de
- op of aan de openbare weg;
burgemeester een of meer kansspelautomaten aanwezig te hebben
- op voor het publiek toegankelijke plaatsen;
- -r  t  e      t an de Drank- en Horecawet een vergunning voor de uitoefening van het horecabedrijf is vereist of waarvan de ondernemer inschrijfplichtig is bij het Bedrijfschap Horeca.8
## 4. Overwegingen van de commissie
Ten aanzien van de ontvankelijkheid van het bezwaar
16. Het bezwaarschrift is tijdig ingediend en voldoet ook overigens aan alle vereisten voor ontvankelijkheid.
Ten aanzien van de gronden van het bewaar
Het gebruik van de computer
- on n  n  de:
- Ti     s  r  o   en internetpagina waar sportweddenschappen konden worden afgesloten.
7 € 780.000,- was ten tijde van het onderzoek het bedrag van de zesde categorie van artikel 23 van het Wetboek van Strafrecht.
8 Deze bepaling is aangepast Stb 2014,571 waarbij de inschrijfplichtige inrichting is komen te vervallen.
- De computer stond in verbinding met het IP-adres van COM-BET-AT met de beschrijving'com-bet.com WettGmbH'.
- on en n n on    n v van o  et daaronder &amp;lt;Sportwetten&amp;gt;. Na het klikken op dit icoon verscheen het logo van Come-bet.com en een overzicht van sporten en competities.
- CBC (com-bet.com)º is een bedrijf dat sportweddenschappen aanbiedt. Combet  es sc e -nn n an s bi st t  d e   s at X-Live, het wedprogramma van CBC-X.10
- Uit de analyse van de digitale gegevens op de computer bleek dat in de periode 1  l    kr ekt     3kt. Da it   t ats   t   aik uitbetaald.
- Er waren 20 foutieve tickets. 366 tickets met daadwerkelijke inleg waren opgeslagen in de logbestanden. De gezamenlijke inleg was € 2.699,-.
- Boven de computer hing een tekst waarin enkele 'regels voor het spelen van de toto' werden gegeven. Vermeld werd onder meer dat betaling achteraf niet werd geaccepteerd en direct betaald moest worden.11
18. Gelet hierop acht de commissie het niet aannemelijk dat de computer niet werd gebruikt om weddenschappen af te sluiten.
- an n  n n  z dn  n n zn ln n  en e z  n n n - o n  on dat geen van de deelnemers de uitslag al kende, zoals bezwaarmaker aanvoert. Bezwaarmaker heeft dit verder ook niet onderbouwd. De commissie merkt voorts op da   -   r d dn   a strijd zijn met de verklaring die tijdens het bedrijfsbezoek op 2 oktober 2013 door bezwaarmaker zijn gedaan.
- ,o  en             o wijzen op het afsluiten van weddenschappen.
21. Of, zoals bezwaarmaker suggereert, de computer ook voor andere activiteiten werd of kon worden gebruikt, acht de commissie niet relevant aangezien op de computer in elk geval de software van come-bet.com stond, de computer zo was geprogrammeerd dat bij opstarten na het aanklikken van het logo met de voetbal via internet direct verbinding werd gemaakt met com-bet.com en volgens de digitale gegevens al geruime tijd weddenschappen op deze computer werden afgesloten.
22. Dat de computer uitsluitend door klanten van Kayseri zou zijn gebruikt voor het volgen van thuis of elders afgesloten weddenschappen, acht de commissie niet aan  D   i  d ai i g ide 'regels voor het spelen van de toto'.
9 Stuk 149/008.
10 Stuk 149/003/003.
11Stuk 149/007.
23. De commissie is van oordeel dat afdoende vast is komen te staan dat de in Kayseri aangetroffen computer werd gebruikt voor het afsluiten van sportweddenschappen.
De hoogte van de opgelegde boete
24. Bezwaarmaker voert aan dat de hoogte van de boete disproportioneel is. Het enige wat hem wellicht te verwijten valt is dat hij onvoldoende toezicht heeft gehouden op wat zijn klanten achter de computer deden.
25. Bij besluit van 9 april 2015 is een boete opgelegd van € 7.500,-.
26. De commissie merkt op dat deze boete in lijn is met het boeterichtsnoer gokzuilzaken van 27 mei 2014. Dit richtsnoer is door de Kansspelautoriteit bekend gemaakt via de website. De basisboete van € 7.500,- is gerelateerd aan overwegingen omtrent de ernst van de overtreding en de inbreuk die de overtreding maakt op de door de overtreden bepaling beschermde belangen. De met de overtreding behaalde omzet speelt bij de basisboete geen rol. Alleen als het met de overtreding behaalde voordeel wordt volgens het boeterichtsnoer kan als boeteverhogende omstandigheid worden aangemerkt.
4. z z  l   l -  l   is de commissie ook niet gebleken.
28. De commissie leest de aangevoerde bezwaargrond aldus dat bezwaarmaker bedoelt dat hem niets verweten kan worden behalve dat hij misschien niet goed heeft opgelet at   t  t t  s   st  n commissie verwijst nogmaals de naar 'regels voor het spelen van de toto' en in het bijzonder de regels voor de betaling van weddenschappen. De commissie verwijst voorts naar het aantal aangetroffen wedtickets. De commissie acht het hoogst onwaarschijnlijk dat dit alles de betrokkene niet is opgevallen.
29. De commissie merkt voorts op dat in het besluit van 9 april 2015 een verwijzing naar dit boeterichtsnoer ontbreekt. De commissie adviseert de motivering van de boete op dit onderdeelaan te passen.
30. De commissie is voorts opgevallen dat in het besluit van 9 april 2015 is verwezen naar het bedrag van de zesde categorie van artikel 23 van het Wetboek van Strafrecht, zoals geldend per 1 januari 2014. De onderhavige overtreding vond echter plaats in 2013 toen het bedrag van de zesde categorie € 780.000,- was.
31. Nu de hoogte van de opgelegde boete zeer ruim onder beide maxima van de zesde categorie ligt, zal de commissie hier verder geen gevolgen aan verbinden.
32. Aangezien bezwaarmaker heeft aangegeven dat hij onvoldoende draagkracht heeft om de opgelegde boete van € 7.500,- te betalen, heeft de commissie bezwaarmaker a      i n a i  ng van dit gebrek aan draagkracht aan te leveren.
24 augustus 2015
33. Bezwaarmaker heeft aanvullende stukken overgelegd waaruit blijkt dat de Belastingdienst op 16 maart 2015 een vordering op hem had van ruim € 16.000,-. Uit de stukken blijkt het voornemen van de Belastingdienst om beslag te leggen op het loon van bezwaarmaker. Uit de stukken blijkt voorts dat bezwaarmaker in loondienst werkt en een jaarsalaris heeft van € 30.426,-. Bezwaarmaker genereerde in het er  un -t in s   un  e r.
34. Op grond van de overgelegde stukken adviseert de commissie om de boete te matigen tot € 5.000,- wegens de geringe draagkracht van bezwaarmaker.
## 5. Conclusie
35. Op grond van het bovenstaande adviseert de commissie:
- b. de boete nader te motiveren conform de randnummers 29 en 30 van dit advies; de boete vast te stellen op € 5.000,-.
- a. de bezwaren ongegrond te verklaren;
Het advies is aldus vastgesteld te Den Haag op 24 augustus 2015, door de Adviescommissie bezwaarschriften van de Kansspelautoriteit, bestaande uit mevrouw mr. J.M. Feije (voorzitter), mevrouw mr. I.M. Zuurendonk en de heer mr. drs. R.G.J. Wildemors.
Namens de Adviescommissie bezwaarschriften van de Kansspelautoriteit, de voorzitter,
w.g.
J.M. Feije</t>
  </si>
  <si>
    <t>## OPENBAAR Besluit van de Raad van Bestuur van de Kansspelautoriteit als bedoeld in artikel 35 van de Wet op de kansspelen. Datum: 20 november 2017 Kenmerk: 10880/01.019.593 Openbaarmaking onder kenmerk: 10880/01.022.483 ## Besluit ## Samenvatting De Kansspelautoriteit (hierna: de raad van bestuur) heeft vastgesteld dat Gaming Innovation Group Limited en haar dochteronderneming Innovation Labs Limited reclame maakt voor kansspelaanbieders terwijl voor het spelaanbod geen vergunning is afgegeven op grond van de Wet op de Kansspelen (hierna: Wok). Daarmee handelen Gaming Innovation Group Limited en haar dochteronderneming Innovation Labs Limited zelf ook in strijd met de Wok. De raad van bestuur legt Gaming Innovation Group Limited en Innovation Labs Limited een last onder dwangsom op om het maken van reclame voor kansspelen waarvoor geen vergunning ingevolge de Wok is verleend, te beëindigen en beëindigd te houden. ## Handhaving van de Wet op de kansspelen 1. De Kansspelautoriteit is belast met het toezicht op de naleving van het bepaalde in de Wok. In de Wok is onder andere bepaald dat het in Nederland verboden is gelegenheid te geven tot deelname aan kansspelen, tenzij daarvoor ingevolge de Wok vergunning is verleend (artikel 1, eerste lid, onder a Wok). Daarnaast is het ingevolge artikel 1, eerste lid, onder b, van de Wok eveneens verboden de deelneming aan een kansspel, waarvoor geen vergunning is verleend, te bevorderen. ## Kansspelautoriteit ## OPENBAAR 2. De Wok voorziet niet in de mogelijkheid vergunningen te verlenen voor kansspelen online. Binnen het huidige wettelijke kader kan voor kansspelen online onvoldoende vorm worden gegeven aan de doelstellingen van het kansspelbeleid: het voorkomen van kansspelverslaving, het beschermen van de consument en het tegengaan van mogelijke fraude en criminaliteit. 3. De Kansspelautoriteit acht het aanbieden van kansspelen online zonder daartoe strekkende vergunning als zeer ernstig. 1 De doelstellingen van het kansspelbeleid worden -door het zonder vergunning aanbieden van kansspelen online- omzeild. De kansspelsector is bovendien geen gewone economische sector maar extra gevoelig voor fraude, bedrog en verslaving waarvan de consument de dupe kan worden. Deelnemers aan dergelijke kansspelen lopen daarbij risico's omdat er geen garantie is dat het spel betrouwbaar is, het betalingsverkeer veilig verloopt en gewonnen prijzen daadwerkelijk worden uitgekeerd. 4. Naast aanbieders van kansspelen online hebben tussenpersonen, bevorderaars, ook een belangrijke rol bij de deelname van consumenten aan -en het in stand houden van- dit soort kansspelaanbod. Zonder hun diensten wordt het voor de kansspelaanbieders immers ook moeilijker om hun aanbod aan de consument aan te bieden en voor de consument om daaraan deel te nemen. De Kansspelautoriteit neemt daarom ook andere (indirecte) maatregelen om het kansspelaanbod online zonder vergunning te frustreren, bijvoorbeeld door het opwerpen van barrières bij tussenpersonen in het betalingsverkeer, binnen de reclamebranche en het internetverkeer. Doel hiervan is dat deze tussenpersonen hun diensten niet meer ter beschikking stellen aan aanbieders van kansspelen online zonder vergunning. Dit zorgt ervoor dat het voor deze aanbieders onaantrekkelijk en wellicht onmogelijk wordt om kansspelen aan te bieden en voor consumenten om bij deze aanbieders te spelen. 5. Het bestrijden van kansspelen online zonder vergunning vergt ook dat de Kansspelautoriteit bestuurlijk handhavend optreedt tegen het bevorderen van kansspelaanbod waarvoor geen vergunning is verleend. Artikel 1, eerste lid, onder b, van de Wok biedt daarvoor een grondslag. 1 Sanctiebesluiten genomen door de raad van bestuur van de Kansspelautoriteit. (zie: [http://www.kansspelautoriteit.nl/besluiten/sanctiebesluiten)](http://www.kansspelautoriteit.nl/besluiten/sanctiebesluiten) ## OPENBAAR 6. Als onderdeel van haar toezichthoudende taak heeft de Kansspelautoriteit onderzoek gedaan naar partijen die illegale online kansspelen bevorderen in de vorm van het (doen) plaatsen van reclame-uitingen voor illegaal online kansspelaanbod. Genoemde partijen handelen daarmee in strijd met het in artikel 1, eerste lid, onder b, van de Wok bepaalde. De Kansspelautoriteit heeft zich daarbij in eerste instantie gericht op die bevorderaars die reclame maken voor kansspelaanbod online zonder vergunning waarvoor de Kansspelautoriteit reeds eerder een sanctie heeft opgelegd. ## Juridisch kader 7. Op grond van artikel 1, eerste lid, onder a, van de Wok is het verboden om gelegenheid te geven tot deelname aan een kansspel waarvoor geen vergunning ingevolge de Wok is verleend. 8. Eveneens is het verboden op grond van artikel 1, eerste lid, onder b, van de Wok, om de deelneming aan een kansspel waarvoor geen vergunning is verleend, te bevorderen. 9. Naar het oordeel van de Kansspelautoriteit staat buiten kijf dat het (doen) plaatsen van reclame-uitingen valt onder 'bevorderen' als bedoeld in artikel 1, eerste lid, onder b, van de Wok. Naar algemeen taalgebruik wordt onder bevorderen verstaan: vooruithelpen. In relatie tot het gelegenheid geven van deelname aan een kansspel zonder vergunning wordt onder bevorderen verstaan: het ontplooien van activiteiten die het organiseren van kansspelen zonder vergunning helpen, ondersteunen, vergemakkelijken of beter laten verlopen, daartoe bijdragen of daartoe voorzieningen aanbieden of beschikbaar stellen. Het (doen) plaatsen van reclame-uitingen vormt een wezenlijke activiteit voor het succesvol en winstgevend aanbieden en verkopen van (online) producten of diensten. Immers, door reclame worden (potentiële) afnemers geattendeerd op dat aanbod en gestimuleerd daaraan deel te nemen. 10. De Kansspelautoriteit ziet zich in haar oordeel gesterkt door de uitspraak van het Hof 's-Gravenhage van 19 november 1998, 2 waarin het Hof aangeeft dat onder 'bevorderen' als bedoeld in artikel 1, eerste lid, onder b, van de Wok ook wordt verstaan 'het voeren van reclame ( onderstreping Kansspelautoriteit ) en het 2 Hof 's-Gravenhage, 19 november 1998, NJ 1999, 679 (RO 4.2). vergemakkelijken van de deelname en de betaling van de inzet door deelnemers.' Ook uit de behandeling van het thans aanhangige wetsvoorstel Kansspelen op afstand blijkt dat duidelijk is dat in ieder geval wervings- en reclamediensten ten behoeve van kansspelen onder het begrip 'bevorderen' vallen. 3 11. Op grond van artikel 33a van de Wok heeft de Kansspelautoriteit onder meer tot taak het toezicht op de naleving van de toepasselijke wet- en regelgeving en de vergunningen, alsmede de handhaving daarvan. De raad van bestuur van de Kansspelautoriteit is op grond van artikel 35 van de Wok bevoegd tot het opleggen van een last onder bestuursdwang wegens overtreding van de voorschriften van de Wok. Artikel 5:32, eerste lid van de Algemene wet bestuursrecht (hierna: Awb) bepaalt dat een bestuursorgaan dat bevoegd is een last onder bestuursdwang op te leggen, in plaats daarvan aan de overtreder een last onder dwangsom kan opleggen. ## Bevindingen 12. In het kader van het toezichtonderzoek naar bevorderaars van kansspelen online, waarvoor geen vergunning is verleend, heeft de Kansspelautoriteit onder meer onderzoek gedaan naar websites waarop reclame werd gemaakt voor het kansspelaanbod online en de daarbij betrokken websites. 13. Op 14 juni 2017 heeft een toezichthouder van de Kansspelautoriteit (hierna: toezichthouder) geconstateerd dat na het opvoeren van de domeinnaam en .nl extensie (lees: topcasinobonus.nl) in de daarvoor bestemde adresbalk van de browser, direct werd doorgeleid naar dezelfde domeinnaam maar met een andere extensie, te weten .nu (lees: topcasinobonus.nu). 4 Op de website topcasinobonus.nu werd onder meer reclame gemaakt voor online kansspelaanbieders. 14. Verder heeft een toezichthouder op 14 juni 2017 een onderzoek in de openbare bronnen op internet ingesteld naar [bedrijf 1] 5 Uit dit onderzoek kwam naar 3 Kamerstukken II, 2013/14, 33996, nr. 3, p. 74. 4 Dossierstuk 10880/01.011.871/001 5 Dossierstuk 10880/01.011.872 voren dat de website topcasinobonus.nl van [bedrijf 1] is overgenomen door Gaming Innovation Group Inc. 15. Uit een persbericht van 16 maart 2016, afkomstig van de website [bedrijf 1], werd onder meer het navolgende vermeld: 6 [persoon 1], the Managing Director and owner of [bedrijf 1] responded as follows the takeover: 'It has been a great journey for us to work on several Dutch lead generation websites in the online casino branche. It is known that online casino has become increasingly popular, with over 1 million Dutch people gambling on the internet. The regulation of online gaming will take place soon, but The Netherlands still will be a very imporant and interesting marketspace. We have full belief that the Gaming Innovation Group can bring the asset TopCasinoBonus.nl ( vetgedrukt en onderstreping Kansspelautoriteit ) further, empowering it with the latest technology, SEO standards and marketing intelligence that GiG has inhouse. We also look very much forward to work side-by-side on the 4 new projects we launched last year; with GiG's help we are sure to rise these projects to the top even faster than we aimed for. I want to thank my current team of professionals and my old partner [persoon 2] for their contribution. We are very proud of what we have achieved but this is not the end for us. 16. Eveneens bericht het persbureau Reuters hierover. Op hun website werd het navolgende vermeld: 7 2. Gaming Innovation Group Inc: * Says has agreed to acquire the affiliate assets from the Dutch based affiliate network company [bedrijf 1] * The assets are expected to contribute with revenues of minimum 2 million euros ($2.19 million) to Innovation Labs the next 12 months * GIG will pay a consideration of 4.2 million euros for [bedrijf 1], whereof 30 pct will be settled with 4,336,314 new GIG shares affiliate accounts with partnering operators, and the affiliate assets has * Acquisition includes recurring revenues from the existing portfolio of generated a revenue of around 125,000 euros per month so far in 2016 6 Dossierstuk 10880/01.011.872/001 7 Dossierstuk 10880/01.011.872/002 17. Op basis van het onderzoek naar de bedrijfsstructuur van Gaming Innovation Group Inc constateert de Kansspelautoriteit het volgende: 8 - a) Gaming Innovation Group Inc is opgericht in de staat Delaware (US). Gaming Innovation Group Inc is een houdstermaatschappij waarbij alle commerciële activiteiten worden uitgevoerd door haar dochterondernemingen. - b) Alle online activiteiten zijn gecentraliseerd in Ta Xbiex, Malta, GB Building, Penthouse, Watar Street (Malta). - c) Gaming Innovation Group Limited is opgericht in Malta en een 100% dochteronderneming van de houdstermaatschappij (lees: Gaming Innovation Group Inc). - d) Innovation Labs Limited is opgericht in Malta en 100% dochteronderneming van Gaming Innovation Group Limited. De activiteiten die Innovation Labs Limited ontplooid zijn te relateren aan affiliate marketing. Innovation Labs Limited heeft meerdere werknemers in dienst. 18. Gaming Innovation Group Inc is aandeelhouder van een dochter, de naar Maltese recht opgerichte en aldaar gevestigde Gaming Innovation Group Limited. 9 Gaming Innovation Group Limited is op haar beurt aandeelhouder van de naar Maltese recht opgerichte en aldaar gevestigde Innovation Labs Limited. 10 19. Eerder had de Kansspelautoriteit zich met zijn voornemen tot het opleggen van een last onder dwangsom gericht tot Gaming Innovation Group Inc. In reactie daarop is bij brief van 10 augustus 2017 namens Gaming Innovation Group Inc naar voren gebracht dat de Kansspelautoriteit zich echter diende te richten tot Innovation Labs Limited. 11 Naar het oordeel van de Kansspelautoriteit vormt deze reactie een bevestiging van de betrokkenheid van Innovation Labs Ltd. De Kansspelautoriteit houdt beide ondernemingen (gezien hun 100% moederdochter verhouding) verantwoordelijk voor overtreding van het in artikel 1, eerste lid, onder b, van de Wok bepaalde. 8 Dossierstuk 10880/01.013.913 9 Dossierstuk 10880/01.014.670 10 Dossierstuk 10880/01.014.415 11 Dossierstuk 10880/01.019.418 ## OPENBAAR 20. Op 3 oktober 2017 heeft een toezichthouder hetzelfde geconstateerd zoals is beschreven onder randnummer 14. Bij het opvoeren van de domeinnaam en .nl extensie (lees: topcasinobonus.nl) in de daarvoor bestemde adresbalk van de browser werd er direct doorgeleid naar dezelfde domeinnaam maar met een andere extensie, te weten .nu (lees: topcasinobonus.nu). 12 Op de website topcasinobonus.nu werd onder meer reclame gemaakt voor online kansspelaanbieders. ## Overtreding van de Wet op de kansspelen 21. Op grond van het voorgaande staat naar het oordeel van de Kansspelautoriteit vast dat Gaming Innovation Group Limited en haar dochteronderneming Innovation Labs Limited reclame-uitingen heeft geplaatst voor kansspelaanbod online, voor welk aanbod geen vergunning op grond van de Wok is verleend. De Kansspelautoriteit heeft vastgesteld dat de dienstverlening van Gaming Innovation Group Limited en haar dochteronderneming Innovation Labs Limited betrekking heeft op (het bevorderen van) deelneming aan kansspelen waartoe online kansspelaanbieders gelegenheid geven. 22. Op grond van het voorgaande stelt de Kansspelautoriteit vast dat Gaming Innovation Group Limited en haar dochteronderneming Innovation Labs Limited artikel 1, eerste lid, onder b, van de Wok heeft overtreden. ## Weergave van de zienswijze ## Chronologisch 23. Chronologisch is tussen de Kansspelautoriteit en (namens) partijen de navolgende correspondentie gevoerd. - a) Bij brief van 10 juli 2017 13 heeft de Kansspelautoriteit een voornemen tot het opleggen van een last onder dwangsom 14 gestuurd naar Gaming Innovations Group Limited te Malta. De Kansspelautoriteit was voornemens de last op te leggen aan de onderneming Gaming Innovation Group Inc. 12 Dossierstuk 10880/01.017.209 13 Dossierstuk 10880/01.011.874 14 Dossierstuk 10880/01.011.875 - b) Op 24 juli 2017 is namens de gemachtigde van de onderneming Gaming Innovation Group Limited op de last gereageerd, met het verzoek 14 dagen extra reactietijd op de last te verlenen. 15 - c) Bij brief van 26 juli 2017 16 heeft de Kansspelautoriteit de gemachtigde extra reactietijd gegeven tot 10 augustus 2017 23:59 uur. - d) Bij brief van 10 augustus 2017 heeft deze gemachtigde gereageerd op de laatstgenoemde brief van 26 juli 2017. 17 De gemachtigde geeft aan dat de onderneming Gaming Innovations Group Limited niet bestaat. De gemachtigde geeft verder aan dat de last gericht zou moeten worden tot de onderneming Innovation Labs Limited. - e) Bij brief van 7 september 2017 18 heeft de Kansspelautoriteit een voornemen 19 tot het opleggen van een last onder dwangsom gestuurd naar de ondernemingen Gaming Innovation Group Limited en haar dochteronderneming Innovation Labs Limited. Immers, de Kansspelautoriteit heeft vastgesteld dat Gaming Innovation Group Limited 100% van de aandelen van de onderneming Innovation Labs Limited bezit. - f) Op 21 september 2017 heeft voornoemde gemachtigde een reactie gegeven op dit voornemen tot het opleggen van een last onder dwangsom van 7 september 2017. 20 Daarbij dringt gemachtigde -die daarbij kennelijk uitsluitend namens de onderneming Innovation Labs Limited optreedt- er op aan dat de (voorgenomen) last gericht zou moeten worden tot de juiste onderneming. Daarnaast geeft de gemachtigde aan dat er op dit moment geen onderneming genaamd Gaming Innovation Group Limited binnen de groepsstructuur 'van haar cliënt' bestaat. 24. Op grond van het voorgaande ontstond bij de Kansspelautoriteit onduidelijkheid welke onderneming(en) deze gemachtigde in onderhavige zaak vertegenwoordigt. De eerste reactie van deze gemachtigde volgde immers op een voornemen jegens Gaming Innovation Group Limited, op basis waarvan de Kansspelautoriteit mocht veronderstellen dat de gemachtigde namens die onderneming optrad. Uit de laatste reactie bleek deze onderneming echter 'niet 15 Dossierstuk 10880/01.013.771 16 Dossierstuk 10880/01.012.265 17 Dossierstuk 10880/01.019.418 18 Dossierstuk 10880/01.016.292 19 Dossierstuk 10880/01.016.293 20 Dossierstuk 10880/01.017.208 te bestaan in de groepsstructuur van haar cliënt'. Laatstgenoemde stelling kon deze gemachtigde alleen naar waarheid innemen indien deze gemachtigde een andere onderneming (in casu Gaming Innovation Ltd.) vertegenwoordigde. Derhalve verzocht de Kansspelautoriteit op 2 oktober 2017 aan de gemachtigde om uiterlijk voor 4 oktober september 2017, 23:59 uur om een schriftelijke machtiging aan de Kansspelautoriteit te overleggen waaruit bleek dat zij in onderhavige zaak bevoegd is tot het vertegenwoordigen van beide ondernemingen, te weten Gaming Innovation Group Limited en Innovation Labs Limited. 21 25. Bij e-mail van 3 oktober 2017 heeft de gemachtigde verzocht tot uitstel van het overleggen van de machtigingen tot en met 6 oktober 2017. 22 De Kansspelautoriteit heeft dit verzoek tot uitstel gehonoreerd. 23 26. Bij e-mail van 6 oktober 2017 heeft de gemachtigde een machtiging overlegd waaruit blijkt dat zij uitsluitend optreedt namens van Innovation Labs Limited. 24 Deze machtiging van Innovation Labs Limited was gedagtekend op 4 oktober 2017. 27. De gemachtigde heeft tijdens de gevoerde correspondentie geen zienswijze ingediend waarin wordt ingegaan op de feiten en bevindingen van de Kansspelautoriteit of op het voornemen tot het opleggen van de last. ## Beoordeling zienswijze 28. In randnummer 8 en verder heeft de Kansspelautoriteit reeds naar voren gebracht dat het (doen) plaatsen van reclame-uitingen ook onder het begrip 'bevorderen' in de zin van artikel 1, eerste lid, onder b van de Wok valt. 29. Gaming Innovation Group Limited en haar dochteronderneming Innovation Labs Limited hebben onvoldoende gedaan om de reclame voor onvergund kansspelaanbod volledig te verwijderen. Vastgesteld is immers dat op de website topcasinobonus.nu reclame wordt gemaakt voor illegaal kansspelaanbod. Deze website was tevens opgesteld in de Nederlandse taal. Gaming Innovation Group 21 Dossierstuk 10880/01.017.203 22 Dossierstuk 10880/01.017.206 23 Dossierstuk 10880/01.017.207 24 Dossierstuk 10880/01.017.527 Limited en haar dochteronderneming Innovation Labs Limited hebben dus nagelaten om in ieder geval één van de websites die zij in eigendom of in beheer hebben zodanig aan te passen dat zij daarmee niet meer onvergund kansspelaanbod online 'bevorderen' als bedoeld in artikel 1, eerste lid, onder b, van de Wok. 30. Mede doordat de website topcasinobonus.nu in de Nederlandse taal is opgesteld is er volgens de Kansspelautoriteit vast komen te staan dat er sprake is van gerichtheid op de Nederlandse markt. ## Overwegingen tot oplegging last 31. Handhavend optreden tegen aanbieders van kansspelen waarvoor geen vergunning is verleend, is noodzakelijk. Naast het opleggen van boetes aan dergelijke aanbieders, is het tevens noodzakelijk dat zij hun aanbod daadwerkelijk beëindigen. In combinatie met handhaving jegens de betreffende aanbieder acht de Kansspelautoriteit het noodzakelijk dat ook een partij die het kansspelaanbod zonder vergunning bevordert haar dienstverlening aan dergelijk kansspelaanbod beëindigd en beëindigd dient te houden. 32. Gelet op het belang om reclamemakers ertoe te brengen hun activiteiten tot bevordering van kansspelaanbod waarvoor geen vergunning is verleend daadwerkelijk te beëindigen, acht de Kansspelautoriteit het opleggen van een last onder dwangsom aan deze dienstverleners noodzakelijk. De Kansspelautoriteit biedt -in het geval van een overtreding en daaropvolgend handhaven door het opleggen van een last onder dwangsom- deze dienstverleners c.q. reclamemakers, zo ook Gaming Innovation Group Limited en haar dochteronderneming Innovation Labs Limited in dit geval, de mogelijkheid om binnen de begunstigingstermijn de overtreding te beëindigen en daarmee om het verbeuren van een dwangsom te voorkomen. Met het oog op het evenredigheidsbeginsel van artikel 3:4, tweede lid, van de Awb is de Kansspelautoriteit van oordeel dat de belangen van de betrokkenen -in dit geval het belang van Gaming Innovation Group Limited en haar dochteronderneming Innovation Labs Limited- derhalve niet onevenredig worden geschaad door dit besluit en het daarmee gediende belang. ## Hoogte van de dwangsom 33. Ten aanzien van de hoogte van de dwangsom, bepaalt artikel 5:32b, derde lid van de Awb dat de hoogte ervan in redelijke verhouding dient te staan tot de zwaarte van het geschonden belang en tot de beoogde werking van de dwangsom. Daarnaast moet van de hoogte van de dwangsom voldoende (financiële) prikkel uitgaan voor de overtreder om de overtreding te beëindigen. 34. Handhaving van de regels in de kansspelsector en voorkomen van illegaal kansspelaanbod is noodzakelijk, gelet op de belangen van een betrouwbaar spelaanbod en veilig betalingsverkeer. De kansspelsector is extra gevoelig voor fraude, bedrog en verslaving waarvan de consument de dupe kan worden. Het zijn deze te beschermen -en in beginsel geschonden- belangen die de Kansspelautoriteit heeft meegewogen bij de vaststelling van de hoogte van de dwangsom. 35. De raad van bestuur stelt de hoogte van de dwangsom vast op € 1500,- per dag met een maximum van € 21.000,-. Bij de vaststelling van dit bedrag heeft de raad van bestuur acht geslagen op het feit dat reclame is gemaakt voor een kansspelaanbieder aan wie eerder een sanctie is opgelegd en waarover de Kansspelautoriteit op zijn website heeft gecommuniceerd. ## Besluit 36. Namens de raad van bestuur legt de Kansspelautoriteit Innovation Labs Limited de volgende last onder dwangsom op: 2. -Innovation Labs Limited dient uiterlijk binnen twee weken na dagtekening van deze last de overtreding van artikel 1, eerste lid, onder b, van de Wok te staken. 3. -Dit kan Innovation Labs Limited doen door alle reclame- en wervingsuitingen voor kansspelen, waarvoor geen vergunning ingevolge de Wet op de kansspelen is verleend, te beëindigen en beëindigd te houden. Het gaat daarbij in ieder geval -maar niet uitsluitend- om de uitingen op de website www.topcasinobonus.nu. 4. -Voor iedere dag na ommekomst van de hiervoor genoemde begunstigingstermijn waarop Innovation Labs Limited haar dienstverlening ten behoeve van kansspelen, waarvoor geen vergunning ingevolge de Wet op de kansspelen is verleend, voortzet, verbeurt Innovation Labs Limited een dwangsom van € 1500,- per dag, tot een maximum van € 21.000,-. 's-Gravenhage, 20 november 2017 De raad van bestuur van de Kansspelautoriteit, namens deze, w.g. - J.J.H. Suyver ## Voorzitter raad van bestuur van de Kansspelautoriteit ## OPENBAAR ## Bezwaar maken U kunt tegen deze beslissing bezwaar maken door een gemotiveerd bezwaarschrift i [...]</t>
  </si>
  <si>
    <t>KSA__https___kansspelautoriteit.nl_sites_default_files_openbaar_-_last_onder_dwangsom_ill.txt::Rechtshandeling</t>
  </si>
  <si>
    <t>legt [21898:21903]</t>
  </si>
  <si>
    <t>legt [21898:21902]</t>
  </si>
  <si>
    <t>[...] p het feit dat reclame is gemaakt voor een kansspelaanbieder aan wie eerder een sanctie is opgelegd en waarover de Kansspelautoriteit op zijn website heeft gecommuniceerd. ## Besluit 36. Namens de raad van bestuur legt de Kansspelautoriteit Innovation Labs Limited de volgende last onder dwangsom op: 2. -Innovation Labs Limited dient uiterlijk binnen twee weken na dagtekening van deze last de overtreding van artikel 1, eerste lid, onde [...]</t>
  </si>
  <si>
    <t>KSA__https___kansspelautoriteit.nl_sites_default_files_openbaar_-_last_onder_dwangsom_ill.txt::Rechtsobject</t>
  </si>
  <si>
    <t>last onder dwangsom [21961:21980]</t>
  </si>
  <si>
    <t>[...] n wie eerder een sanctie is opgelegd en waarover de Kansspelautoriteit op zijn website heeft gecommuniceerd. ## Besluit 36. Namens de raad van bestuur legt de Kansspelautoriteit Innovation Labs Limited de volgende last onder dwangsom op: 2. -Innovation Labs Limited dient uiterlijk binnen twee weken na dagtekening van deze last de overtreding van artikel 1, eerste lid, onder b, van de Wok te staken. 3. -Dit kan Innovation Labs Limited doen door all [...]</t>
  </si>
  <si>
    <t>KSA__https___kansspelautoriteit.nl_sites_default_files_sanctiebesluit_villa_mountain_view.txt::Ontvanger</t>
  </si>
  <si>
    <t>KSA__https___kansspelautoriteit.nl_sites_default_files_sanctiebesluit_villa_mountain_view.txt</t>
  </si>
  <si>
    <t>betrokkene 1 en betrokkene 2</t>
  </si>
  <si>
    <t>betrokkene 1 en betrokkene 2 [61747:61777]</t>
  </si>
  <si>
    <t>&lt;!-- image --&gt;
## Kansspelautoriteit
Besluit van de Raad van Bestuur van de Kansspelautoriteit op het bezwaarschrift van [xxx], eigenaar van Call Internet City, tegen het besluit van 21 november 2013 tot het opleggen van een bestuurlijke boete (kenmerk 7970 / 00.017.935) vanwege het overtreden van artikel 30t, eerste lid, aanhef en onder c, van de Wet op de kansspelen
Zaak:
97
Kenmerk:
7970/00.024.469
Openbaarmaking onder kenmerk: 7970 / 00.025.096
## Besluit op bezwaar
## 1 Inleiding
1. Bij brief van 23 december 2013 heeft [xxx] (hierna: gemachtigde van bezwaarmaker), namens [yyy] (hierna: bezwaarmaker), een bezwaarschrift ingediend tegen het besluit van de Raad van Bestuur van de Kansspelautoriteit hi n n       n (  ik) boete (kenmerk 7970 / 00.017.935).
2. Op 20 maart 2014 heeft gemachtigde van bezwaarmaker aanvullende stukken n  d  D    n Den beschikkingen van de Belastingdienst.
## 2 Ontvankelijkheid
3. Het bezwaarschrift is ingediend binnen zes weken na bekendmaking van het besluit. Het bezwaarschrift voldoet ook aan de overige door de Algemene wet bestuursrecht gestelde eisen zodat het bezwaarschrift ontvankelijk is.
## 3Hoorzitting
- Be  r     z    ge een hoorzitting van de Adviescommissie bezwaarschriften van de Kansspelautoriteit op 7 maart 2014 het bezwaarschrift toe te lichten. Van de hoorzitting is een verslag opgesteld dat op 12 maart 2014 naar de gemachtigde van bezwaarmaker is toegezonden. Met zijn brief van 20 maart 2014 heeft de gemachtigde laten weten dat hij in het verslag geen feitelijke onjuistheden heeft aangetroffen.
## 4 Advies
5. Naar aanleiding van het bezwaarschrift heeft de Adviescommissie een advies uitgebracht aan de Raad. Dit advies dat bij dit besluit is gevoegd, maakt hiervan integraal onderdeel uit. De Adviescommissie heeft geadviseerd om de bezwaren ongegrond te verklaren met uitzondering van dat gedeelte van het bezwaar dat ziet op de hoogte van de boete.
6. De Adviescommissie bezwaarschriften van de Kansspelautoriteit adviseert voorts om de hoogte van de boete te heroverwegen dan wel nader te motiveren met inachtneming van de voorgenomen herziening van het boetebeleid bij gokzuilen. Voor het overige adviseert de commissie om het besluit van 21 november 2013 in stand te laten.
7. Voor de motivering van deze beslissing op bezwaar wordt met betrekking tot:
4. de bezwaren ten aanzien van de overtreding verwezen naar de randnummers 14 en 15 van het advies;
5. de hoogte van de boete verwezen naar de randnummers 16 tot en met 26 van het advies.
## 5 Hoogte van de boete
8. De Raad overweegt ten aanzien van de hoogte van de boete het volgende.
9. Voor overtredingen van artikel 30t, eerste lid, aanhef en onder c, van de Wet op de kansspelen, kan de Raad een maximale boete opleggen van € 780.000,-. Voor gevallen als Call Internet City is een dergelijk boetebedrag echter niet redelijk. Toen    e  n  n  o  d an D       De d  d d ernst van de inbreuk op het belang dat de overtreden bepaling beoogt te beschermen en de verwijtbaarheid.
10. Thans is de Raad van oordeel dat ook andere aspecten en belangen moeten worden betrokken bij het bepalen van de hoogte van de boete, zoals eventueel eerder gegeven waarschuwingen, recidive, duur van de overtreding, mogelijke deelname door minderjarigen en draagkracht van de overtreder. Voorts betrekt de Raad de Richtlijn handhaving Wet op de kansspelen van het College van Procureurs-Generaal uit 1997 bij haar besluitvorming. Deze richtlijn ging uit van een boete van f. 5.000,voor het aanwezig hebben van een speelautomaat van een niet toegelaten model en f. 1.000,- voor een speelautomaat zonder merkteken. Rekening houdende met de
Kansspelautoriteit Datum 10 april 2014 Ons kenmerk
7970 / 00.025.096
Kansspelautoriteit Datum 10 april 2014 Ons kenmerk
7970 / 00.025.096
bedragen die thans gelden als maximale boete voor de desbetreffende categorie en de maximale boete voor deze overtreding (thans de boete van de zesde categorie) zou op dit moment een boete van € 7.500,- per speelautomaat passend zijn. Aangezien de Raad echter ook rekening houdt met boeteverhogende omstandigheden, zoals de duur van de overtreding (in casu 2 maanden), dient in dit geval verhoging van dat bedrag plaats te vinden. Aan de andere kant dient de verminderde draagkracht te leiden tot verlaging van de boete.
11. Alles afwegende komt de Raad tot de conclusie dat een boete van € 6.000,- passend en geboden is. De eerder opgelegde boete van € 20.000,- komt derhalve voor matiging in aanmerking.
## Besluit 6
De Raad van Bestuur van de Kansspelautoriteit:
- a. stelt vast dat de Adviescommissie bezwaarschriften van de Kansspelautoriteit heeft geadviseerd om de bezwaren ongegrond te verklaren, met uitzondering van dat gedeelte van het bezwaar dat ziet op de hoogte van de boete, en de hoogte van de boete te heroverwegen dan wel nader te motiveren;
- b. stelt vast dat het advies inhoudelijk concludent is en zorgvuldig tot stand is gekomen;
- c. ziet geen reden om af te wijken van het advies;
- d. verklaart de bezwaren ongegrond met uitzondering van dat gedeelte van het bezwaar dat ziet op de hoogte van de boete;
- e. handhaaft het bestreden besluit, met uitzondering van dat gedeelte van het bezwaar dat ziet op de hoogte van de boete;
- f. verwijst overeenkomstig artikel 3:49 van de Algemene wet bestuursrecht voor de motivering van het besluit naar het uitgebrachte advies;
- g. ziet reden om de eerder opgelegde boete te matigen en de hoogte van de boete vast te stellen op € 6.000,-.
's-Gravenhage, 10 april 2014
De Raad van Bestuur van de Kansspelautoriteit, w.g.
J.J.H. Suyver Voorzitter
## Beroep
Tegen dit besluit kan een belanghebbende beroep instellen bij de sector bestuursrecht van de rechtbank Noord Nederland, postbus 150, 9700 AD Groningen.
Het beroepschrift moet binnen zes weken na de dag van bekendmaking door de rechtbank zijn ontvangen. Het beroepschrift moet op grond van artikel 6:5 van de Algemene wet bestuursrecht zijn ondertekend en moet ten minste bevatten de naam en adres van de indiener, de dagtekening, de omschrijving van het besluit waartegen het beroep is gericht, zo mogelijk een afschrift van dit besluit, en de gronden waarop het beroepschrift rust.
Van de indiener van het beroepschrift wordt griffierecht geheven door de griffier van de rechtbank. Nadere informatie over de hoogte van het griffierecht en de wijze van betalen wordt door de griffie van de rechtbank verstrekt.
Er kan ook digitaal beroep worden ingesteld bij genoemde rechtbank via http://loket.rechtspraak.nl/bestuursrecht. Daarvoor moet de indiener beschikken over een elektronische handtekening (DigiD). Kijk op de genoemde site voor de precieze voorwaarden.
## Betaling boete
Het bedrag van de boete kan worden overgemaakt op bankrekeningnummer IBAN NL07ABNA0501634479 ten name van Kansspelautoriteit, Den Haag, Nederland, onder vermelding van het kenmerk van dit besluit.
Kansspelautoriteit Datum 10 april 2014 Ons kenmerk 7970 / 00.025.096
## Adviescommissie bezwaarschriften van de Kansspelautoriteit
Advies inzake het bezwaarschrift van [xxx] (hierna: bezwaarmaker), eigenaar van Call Inrt       t i rk 7970 / 00.017.935, van de Raad van Bestuur van de Kansspelautoriteit (hierna: de Raad). Met dat besluit heeft de Raad aan bezwaarmaker een bestuurlijke boete opgelegd van EUR 20.000,-.
## 1. Procedureverloop
1. Uit de stukken en het behandelde ter hoorzitting is de Adviescommissie bezwaarschriften van de Kansspelautoriteit (hierna: de commissie) - samengevat het volgende gebleken.
2. iin h  n     n n da: Ksa) in belwinkel/internetcafé Call Internet City een gokzuil aangetroffen. Daarop is n d   n  n    n et rapport van 11 september 2013 en het besluit van 21 november 2013.
3. Call Internet City is een eenmanszaak. Op 25 januari 2013 heeft bezwaarmaker verklaard dat hij de eigenaar is van de onderneming Call Internet City en dat de gokzuil vanaf 15 oktober 2012 in zijn onderneming aanwezig was. Voor het plaatsen van de gokzuil ontving hij een vergoeding van € 150,- per maand.
4. Op 11 september 2013 is een rapport opgesteld als bedoeld in artikel 5:48 van de Algemene wet bestuursrecht (hierna: Awb). In het rapport zijn de bevindingen van het onderzoek weergegeven en wordt geconcludeerd dat door de aanwezigheid van een gokzuil in de onderneming Call Internet City is gehandeld in strijd met artikel 30t, eerste lid, aanhef, en onder c, van de Wet op de kansspelen (hierna: Wok). Het rapport is op 11 september 2013 gezonden aan bezwaarmaker.
5. Bezwaarmaker is in de gelegenheid gesteld ter hoorzitting van 29 oktober 2013 een zienswijze te geven op het rapport. Hiervan is geen gebruik gemaakt.
6. De Raad heeft bij besluit van 21 november 2013 (hierna: het sanctiebesluit) een boete opgelegd van EUR 20.000,- wegens overtreding van artikel 30t, eerste lid, aanhef, en onder c, van de Wok door het aanwezig hebben van een speelautomaat o   n n n  n    n (n) merkteken, op een voor het publiek toegankelijke plaats, te weten een internetcafé/belwinkel. De overtreding is toegerekend aan de eigenaar van Call Internet City, bezwaarmaker. Eveneens op 21 november 2013 heeft de Raad besloten tot openbaarmaking van het sanctiebesluit.
7. Bij brief van 23 december 2013 heeft [yyy] (hierna: gemachtigde van
8. bezwaarmaker), namens bezwaarmaker, een bezwaarschrift ingediend tegen voornoemd sanctiebesluit. Op 20 maart 2014 heeft gemachtigde van bezwaarmaker aanvullende stukken nan D n  D  n  n n beschikkingen van de Belastingdienst.
8. Er is geen bezwaar ingediend tegen de openbaarmaking van het sanctiebesluit.
9. Op 7 maart 2014 heeft de commissie een hoorzitting gehouden waarbij ben        n an de hoorzitting is een verslag opgesteld dat op 12 maart 2014 naar de gemachtigde van  t odt t t   t    de ge n  n en  n n  n  et aangetroffen.
## 2. Standpunt Call Internet City
10. In het bezwaarschrift en tijdens de hoorzitting op 7 maart 2014 is het volgende aangevoerd:
- A. Ten aanzien van de overtreding
- a. Bezwaarmaker erkent dat er een overtreding van de Wok heeft plaatsgevonden, maar bezwaarmaker was niet op de hoogte van het feit dat het plaatsen van een gokzuil niet was toegestaan. Bezwaarmaker is allochtoon en niet goed op de hoogte van de Nederlandse wetgeving.
- c. Bezwaarmaker heeft sinds maart/april 2012 een gokzuil aanwezig gehad, maar deze is nooit in werking gesteld omdat hij niet wist hoe de gokzuil bediend moest worden. In oktober 2012 is een andere gokzuil geplaatst, maar deze functioneerde niet. Op 15 oktober 2012 is de gokzuil geplaatst die de Ksa heeft aangetroffen. Vanaf dat moment heeft bezwaarmaker een vergoeding ontvangen voor de plaatsing van de gokzuil in zijn zaak. Per dag werd er voor € 150,- tot € 200,- aan weddenschappen ingezet. Dat is veel minder dan de € 70.000,- die in het rapport wordt genoemd.
- b. Onvoldoende kennis van de Nederlandse wetgeving verschoont belanghebbende niet, maar het plaatst hem in een andere positie dan autochtone Nederlanders. De Ksa dient daarmee rekening te houden.
- B. Ten aanzien van de opgelegde boete
- a. Bezwaarmaker voert aan dat hij een eenmanszaak drijft met een minimaal bestaansrecht. Het bedrijf is gevestigd op een C-locatie in Leeuwarden. De financiële situatie is niet sterk.
- b. Call Internet City is zes maanden gesloten geweest, omdat een klant in de winkel drugs bij zich had. Door deze sluiting staat bezwaarmaker er financieel slecht voor.
9. Ddz    n  n   -  n   n faillissement.
10. n r        ' maar daar betrof het allemaal autochtone ondernemers die een veel hogere vergoeding voor de plaatsing van gokzuilen kregen.
- e. Naar het oordeel van bezwaarmaker zal de boete gematigd moeten worden tot maximaal € 2.000,- wat recht doet aan de ernst van de overtreding, de lage vergoeding die bezwaarmaker voor het plaatsen van de gokzuil ontving en de korte periode van de overtreding (15 oktober 2012 – 20 december 2012).
- f. Bezwaarmaker verzoekt dan ook de boete te matigen.
## 3. Toepasselijke regelgeving
11. De Raad is op grond van artikel 33b van de Wok belast met de bestuurlijke handhaving van de Wok. Op grond van artikel 35a van de Wok is de Raad bevoegd tot het opleggen van een bestuurlijke boete wegens overtreding van – onder meer artikel 30t van de Wok. De maximaal op te leggen boete bedraagt EUR 780.000,-  (     eet boekjaar voorafgaand aan de beschikking.
12. Op grond van artikel 30t, eerste lid, aanhef, en onder c, van de Wok is het verboden pez n  n  n  n en dder bijbehorend merkteken op een voor het publiek toegankelijke plaats.
## 4. Overwegingen commissie
Ten aanzien van de ontvankelijkheid van het bezwaar
13. Het bezwaarschrift is tijdig ingediend en voldoet ook overigens aan alle vereisten voor ontvankelijkheid.
Ten aanzien van de gronden van het bewaar
## A. Ten aanzien van de overtreding
14. De commissie is van oordeel dat het aan bezwaarmaker, als eigenaar van de onderneming Call Internet City, was om zich op de hoogte te stellen van de in Ne      nn  n te verwijzen naar zijn allochtone afkomst. De commissie verwijst voorts naar het gestelde bij de randnummers 41 en 42 van het sanctiebesluit.
15. Overigens is het de commissie ambtshalve bekend dat de veronderstelling van bezwaarmaker dat in de andere 'gokzuil-zaken' waarin de Raad een boete heeft opgelegd sprake was van autochtone ondernemers, onjuist is.
- B. Ten aanzien van de hoogte van de boete
16. Voor het bepalen van de hoogte van de boete heeft de Raad rekening gehouden met alle relevante factoren, te weten de ernst van de overtreding, het wettelijke boetemaximum, de mate van verwijtbaarheid en de omstandigheden waaronder de ove   d          ete verlagende of verhogende omstandigheden.
17. Het wettelijke boetemaximum voor de onderhavige overtreding is € 780.000,-. De opgelegde boete ligt ruim onder het wettelijke maximum.
18. Dat de gokzuil die door toezichthouders van de Ksa is aangetroffen op 20 december 2012 sinds 15 oktober 2012 in de onderneming van bezwaarmaker aanwezig was, is een omstandigheid die ten tijde van het nemen van het sanctiebesluit al bekend was, evenals de hoogte van de vergoeding die bezwaarmaker ontving.
19. De commissie is van oordeel dat de hoogte van de vergoeding die bezwaarmaker ontving, geen overwegende invloed hoeft te hebben op de hoogte van de boete. Bij de bepaling van de hoogte van de boete gaat het in het bijzonder om de ernst van de overtreding en niet (primair) om de vraag wat de overtreding de overtreder heeft opgeleverd.
20. In het sanctiebesluit is toegelicht dat bij speelautomaten als op internet aangesloten gokzuilen onvoldoende vorm gegeven kan worden aan de doelstellingen van het kansspelbeleid: het voorkomen van kansspelverslaving, het beschermen van de conn  n in n bn  n   bn oiet onan n n  n n en en egen
3. 2r -    -  bdr r    b et overeenstemt met het gehanteerde beleid van de Raad in vergelijkbare zaken, is de commissie niet gebleken. In alle zaken waarin de Raad een boete heeft opgelegd wegens de aanwezigheid van gokzuilen is een boete van € 20.000,- per gokzuil opgelegd.
22. Bezwaarmaker doet een beroep op zijn beperkte draagkracht. Ter onderbouwing hiervan heeft [yyy] op 20 maart 2014 aanvullende stukken ingediend. Deze stukken ben n  n n n n   dd Belastingdienst.
23. De commissie merkt op dat de vermogenspositie van bezwaarmaker niet automatisch met zich meebrengt dat de Raad gehouden is om bij het ontbreken van een relevant vermogen geen of een zeer lage boete op te leggen. Daarmee zou immers het bestraffende effect van die boete geheel of grotendeels ongedaan worden gemaakt.¹
24. Zelfs indien de financiële situatie van bezwaarmaker slecht is, hoeft een boete volgens de commissie niet onevenredig te zijn. Met de overtredingen zijn immers ook vo  n o  n mn n n n oms inkomsten zal verwerven. Tot slot merkt de commissie op dat op grond van artikel 4:94 van de Awb een betalingsregeling kan worden getroffen zodat uitstel van betaling kan worden verleend of betaling in termijnen kan worden toegestaan.
25. Voor wat betreft de sluiting van Call Internet City voor de duur van 6 maanden, wil de commissie aannemen dat dit de financiële positie van bezwaarmaker niet ten goede is gekomen maar het is de commissie bekend dat tot de sluiting werd besloten door de burgemeester van Leeuwarden naar aanleiding van al langer bestaande handel in verdovende middelen en heling. Naar het oordeel van de commissie is sluiting om een dergelijke reden geen aanleiding om een boete te matigen.
8. Z      b de     o  dte heroverwegen dan wel nader te motiveren met het oog op de verminderde draagkracht van bezwaarmaker en met inachtneming van de voorgenomen herziening van het boetebeleid bij gokzuilen.
1 Zie ook de uitspraak van de Rechtbank Rotterdam van 11 augustus 2011 (LJN: BV6796).
## Conclusie
27. Op grond van het bovenstaande adviseert de commissie de bezwaren ongegrond te verklaren met uitzondering van dat gedeelte van het bezwaar dat ziet op de hoogte van de boete.
28. De commissie adviseert voorts de hoogte van de boete te heroverwegen dan wel nader te motiveren met in achtneming van de draagkracht van bezwaarmaker en de voorgenomen herziening van het boetebeleid bij gokzuilen.
Het advies is aldus vastgesteld te Den Haag op 1 april 2014, door de Adviescommissie bezwaarschriften van de Kansspelautoriteit, bestaande uit mevr. prof. dr. mr. S.A.C.M. Lavrijssen (voorzitter), mevr. mr. I.M. Zuurendonk en de heer mr. drs. R.G.J. Wildemors.
Namens de adviescommissie de voorzitter,
w.g.
prof. dr. mr. S.A.C.M. Lavrijssen</t>
  </si>
  <si>
    <t>[...] rbij de aanwijzing der winnaars geschiedt door enige kansbepaling waarop de deelnemers geen overwegende invloed kunnen uitoefenen, en waarvoor geen vergunning is verleend; - b. rekent deze overtreding toe aan betrokkene 1 en betrokkene 2; - c. legt voor deze overtreding een boete op à € 80.000,-. 's-Gravenhage, 14 augustus 2014 De Raad van Bestuur van de Kansspelautoriteit, w.g. J.J.H. Suyver voorzitter 8432 / 00.033.584 ## Bezw [...]</t>
  </si>
  <si>
    <t>KSA__https___kansspelautoriteit.nl_sites_default_files_sanctiebesluit_villa_mountain_view.txt::Besluitvormend Orgaan</t>
  </si>
  <si>
    <t>De Raad van Bestuur van de Kansspelautoriteit [61879:61925]</t>
  </si>
  <si>
    <t>de Raad van Bestuur van de Kansspelautoriteit [51:99]</t>
  </si>
  <si>
    <t>## OPENBAAR
&lt;!-- image --&gt;
Besluit van de raad van bestuur van de Kansspelautoriteit op het bezwaarschrift van Bluemay Enterprises N.V. tegen het besluit van besluit van 29 oktober 2015, kenmerk 9505 / 00.058.179, tot het opleggen van een bestuurlijke boete van € 240.000,- aan Bluemay Enterprises N.V. en het besluit van 29 oktober 2015, kenmerk 9505/ 00.058.180, tot openbaarmaking van het besluit tot oplegging van de bestuurlijke boetes.
Zaak:
OA/2014/083
Kenmerken: 9505/ 00.069.110 en 10074/00.069.111
Openbaarmaking onder kenmerken: 9505 / 00.070.821 en 10074 / 00.070.822
## Besluit t op bezwaar
## 1Inleiding
1. Bij brief van 8 december 2015 is namens Bluemay Enterprises N.V. een bezwaarschrift ingediend tegen de besluiten van de raad van bestuur van de Kansspelautoriteit (hierna: de raad) van 29 oktober 2015 tot het opleggen van een bestuurlijke boete en tot openbaarmaking van de bestuurlijke boete.
## 2 Ontvankelijkheid
2. De bezwaarschriften zijn ingediend binnen zes weken na bekendmaking van de besluiten. De gronden van het bezwaar zijn binnen de daartoe gestelde termijn aangevuld. De bezwaarschriften voldoen ook aan de overige door de Algemene wet bestuursrecht gestelde eisen zodat de bezwaarschriften ontvankelijk zijn.
## 3Hoorzitting
1. Bluemay Enterprises N.V. is in de gelegenheid gesteld om de bezwaarschriften mou   c ct    o i   icht da g      z  g  et derhalve geen hoorzitting plaatsgevonden.
3. Naar aanleiding van de bezwaarschriften heeft de Adviescommissie bezwaarschriften van de Kansspelautoriteit (hierna: de commissie) een advies uitgebracht aan de raad. Dit advies dat bij deze beslissing op bezwaar is gevoegd, maakt hiervan integraal onderdeel uit. De commissie heeft geadviseerd om de bezwaren ongegrond te verklaren en de besluiten in stand te laten.
## OPENBAAR OPENBAAR
&lt;!-- image --&gt;
Kansspelautoriteit
Datum 3 mei 2016 Ons kenmerk 9505/00.070.821
10074/00.070.822
4. Voor de motivering van deze beslissing op bezwaar wordt met betrekking tot:
2. de Wet op de Kansspelen niet van toepassing is op het aanbod verwezen naar de randnummers 31 tot en met 39 van het advies;
3. het onzorgvuldig stilzwijgen van de Kansspelautoriteit verwezen naar de randnummers 40 tot en met 42 van het advies;
4. dn    n   n van het advies en
5. de openbaarmaking verwezen naar de randnummers 49 tot en met 50 van het advies;
6. het  o vr      n   en met 52.
## Besluit 4
De raad van bestuur van de Kansspelautoriteit:
- a. stelt vast dat de commissie heeft geadviseerd om de bezwaren ongegrond te verklaren;
- b. stelt vast dat het advies inhoudelijk concludent is en zorgvuldig tot stand is gekomen;
- c. ziet geen reden om af te wijken van het advies;
- d. verklaart de bezwaren ongegrond en handhaaft de besluiten, onder aanvulling van de motivering zoals weergegeven in het advies van de commissie;
- e. verwijst overeenkomstig artikel 3:49 van de Algemene wet bestuursrecht voor de motivering van het besluit naar het uitgebrachte advies.
's-Gravenhage, 3 mei 2016
De raad van bestuur van de Kansspelautoriteit,
w.g.
J.J.H. Suyver Voorzitter
## OPENBAAR
## Beroep
Tegen dit besluit kan een belanghebbende beroep instellen bij de sector bestuursrecht van de rechtbank Den Haag, Postbus 20302, 2500 EH Den Haag.
Het beroepschrift moet binnen zes weken na de dag van bekendmaking door de rechtbank zijn ontvangen. Het beroepschrift moet op grond van artikel 6:5 van de Algemene wet bestuursrecht zijn ondertekend en moet ten minste bevatten de naam en adres van de indiener, de dagtekening, de omschrijving van het besluit waartegen het beroep is gericht, zo mogelijk een afschrift van dit besluit, en de gronden waarop het beroepschrift rust.
Van de indiener van het beroepschrift wordt griffierecht geheven door de griffier van de rechtbank. Nadere informatie over de hoogte van het griffierecht en de wijze van betalen wordt door de griffie van de rechtbank verstrekt.
Er kan ook digitaal beroep worden ingesteld bij genoemde rechtbank via http://loket.rechtspraak.nl/bestuursrecht. Daarvoor moet de indiener beschikken over een elektronische handtekening (DigiD). Kijk op de genoemde site voor de precieze voorwaarden.
&lt;!-- image --&gt;
Kansspelautoriteit
Datum 3 mei 2016 Ons kenmerk 9505 / 00.070.821
10074 / 00.070.822
## Adviescommissie bezwaarschriften van de Kansspelautoriteit
Advies inzake het bezwaarschrift van 8 januari 2016 tegen het besluit van 29 oktober 2015, kenmerk 9505 / 00.058.179, tot het opleggen van een bestuurlijke boete van € 240.000,- aan Bluemay Enterprises N.V. te Curaçao, het besluit van 29 oktober 2015, kenmerk 9505 / 00.058.180, tot openbaarmaking van het besluit tot oplegging van de bestuurlijke boete en het besluit van 17 februari 2016, kenmerk 9505 / 00.065.236, tot afwijzing van het verzoek om uitstel van betaling.
## 1. Procedureverloop
1. Uit de stukken is de Adviescommissie bezwaarschriften van de Kansspelautoriteit (hierna: de commissie) – samengevat – het volgende gebleken.
2. De website redslots.com is onderzocht op 11 november 2014¹, 3 december 2014², 1mo0  at        vvan deze onderzoeken zijn weergegeven in hoofdstuk 3 van het rapport en hoofdstuk 5 van het besluit.
3. De aanbieders van de genoemde site zijn Bluemay Enterprises N.V. (hierna: Ge    Dr D    D D  uit informatie op de genoemde websites.
4. Voorts blijkt uit onderzoek, vermeld onder randnummer 2, dat de volgende natuurlijke personen en rechtspersonen zijn betrokken bij de website redslots.com:
5. Redcorp S.A., de aanbieder van de website redslots.com, volgens de algemene voorwaarden (artikel 39) de contractuele wederpartij van de speler;?
6. bezwaarmaker te Curaçao, volgens de algemene voorwaarden (artikel 39) de contractuele wederpartij van de speler;8
7. de functionarissen van bezwaarmaker zijn: persoon 1 als enig bestuurder en Carmanco N.V. als procuratiehouder;9
8. Carmanco N.V. te Curaçao heeft twee directeuren: persoon 2 en persoon 3.10
5. In het rapport van 18 mei 2015 wordt geconstateerd dat op de website redslots.com in strijd met artikel 1, eerste lid, aanhef en onder a, van de Wet op de Kansspelen 'hd o z     n  s  n  ies waarbij de aanwijzing der winnaars geschiedt door enige kansbepaling waarop de deelnemers in het algemeen geen overwegende invloed kunnen uitoefenen, terwijl daarvoor geen vergunning is verleend.
1 OA 2014/083/006.
²OA 2014/083/007.
4 OA 2014/803/018.
3 OA 2014/083/010.
5 OA 2014/083/024.
6 OA 2014/083/003/002, p. 3 (artikel 46) en 4 (onderaan).
7Stuk OA/2014/083/024/003.
8 Bijvoorbeeld stuk OA/2014/083/003/002.
9Stuk OA/2014/083/008.
1ºStuk OA/2014/083/009.
15 april 2016
6. Redcorp S.A. en bezwaarmaker zijn bij de Kansspelautoriteit bekend. De raad van bestuur van de Kansspelautoriteit (hierna: de raad) heeft, bij besluit van 24 september 2014, zowel aan Redcorp S.A. als aan bezwaarmaker een boete opgelegd van € 130.000,- wegens het aanbieden van kansspelen online zonder Ve   v yc yr  r y  s Yoen boeo       -   o k De website redslots.com wordt door dezelfde aanbieders, Redcorp S.A. en bezwaarmaker, geëxploiteerd.
7. Het rapport en de bijbehorende stukken zijn op 19 mei 2015 toegezonden aan:
- a. bezwaarmaker, gevestigd op Dr Hugenholtzset z/n UTS Gebouw dsf Curaçao;
- b. Redcorp S.A., gevestigd op Intersection of First Avenue with Third Street on the second floor of Building E Vasquez, Office 8, San Jose Costa Rica;
- c. Persoon 4, gevestigd op Lyford Cay Drive Nassau Bahamas 7776 Bahamas;
- d. Carmanco N.V. t.a.v. de directeuren, gevestigd op Van Engelenweg 23 Curaçao.
8. Bovengenoemde geadresseerden van het rapport zijn uitgenodigd om tijdens een hoorzitting ten kantore van de Kansspelautoriteit een zienswijze op het rapport te geven. Ter hoorzitting van 11 augustus 2015 is mevrouw mr. M.I. Robichon verschenen namens bezwaarmaker en persoon 4. De heer mr. B. Jongmans en de he  aooo   o  o   nen persoon 3.
9. Van Carmanco N.V. en diens directeuren is geen zienswijze (mondeling noch schriftelijk) ontvangen. Namens Carmanco N.V. zijn procedurele opmerkingen gemaakt over de hoorzitting. Deze procedurele opmerkingen zijn toegevoegd aan het dos    n      en
10. Bij besluit van 29 oktober 2015 heeft de raad een boete opgelegd van € 240.000,ao  n  n      do oo-. Persoon 4 wordt vooralsnog niet aangemerkt als overtreder, maar volstaan wordt met ar ag  v  n v  vn eg van voln  on   n  n aen n  en waarschuwing.
11. Bij brief van 8 december 2015, per post ontvangen op 10 december 2015, heeft mevrouw mr. M.I. Robichon namens bezwaarmaker een pro forma bezwaarschrift ingediend en verzocht om uitstel van betaling en opschorting van de wettelijke rente.13
12. Bij brief van 9 december 2015, ontvangen op 10 december 2015, heeft de heer mr. B. Jongmans namens Carmanco N.V. en personen 2 en 3 een pro forma bezwaarschrift ingediend.14
13. Bij brief van 11 december 2015 heeft de raad gemachtigde van bezwaarmaker bericht dat zij in de gelegenheid wordt gesteld om uiterlijk op 8 januari 2016 het bezwaar aan te vullen op straffe van niet-ontvankelijkheid.15
11Vindplaats: http://www.kansspelautoriteit.nl/besluiten/sanctiebesluiten/7red-com/. Tegen het sanctiebesluit b r  br e  br  br ed
129505 / 00.055.264
149505/ 00.059.796 en10074 / 00.059.797.
139505 / 00.059.794 en10074 / 00.059.794.
159505/00.059.798.
14. Bij brief van 11 december 2015 heeft de raad de gemachtigde van Carmanco N.V. en personen 2 en 3 bericht dat zij in de gelegenheid worden gesteld om uiterlijk op 8 januari 2016 het bezwaar aan te vullen op straffe van niet-ontvankelijkheid.16
15. Bij brief van 30 december 2015 heeft bezwaarmaker verzocht om uitstel te verlenen van twee weken voor het indienen van de aanvullende gronden van bezwaar.17 Bij e-mail van 30 december 2015 is het verzoek om uitstel afgewezen.1 18
16. Bij brief van 7 januari 2016 heeft de raad verzocht om het verzoek om uitstel van betaling nader te motiveren.19 Bij brief van 25 januari 2016 heeft bezwaarmaker het verzoek om uitstel van betaling nader gemotiveerd.2º Bij brief van 17 februari 2016 heeft de raad het verzoek om uitstel van betaling afgewezen, omdat – kort geformuleerd – onvoldoende aannemelijk is gemaakt dat redelijkerwijs niet van bezwaarmaker kan worden verwacht dat de verschuldigde geldsom binnen de betalingstermijn zal worden betaald.21
17. Bij brief van 8 januari 2016 heeft bezwaarmaker de aanvullende gronden van het bezwaar ingediend.22
18. De raad heeft van de gemachtigde van Carmanco N.V. en personen 2 en 3 geen aanvullende gronden van het bezwaar ontvangen. Derhalve is bij beslissing op bezwaar van 22 januari 2016 het bezwaar tegen het sanctiebesluit en het openbaarmakingsbesluit niet-ontvankelijk verklaard.²3Tegen voornoemde beslissing op bezwaar is door geen van de partijen beroep ingesteld.
19. Bezwaarmaker is in de gelegenheid gesteld om het bezwaarschrift mondeling toe te le    e  e et   it voor een nadere mondelinge toelichting.²⁵ Er heeft derhalve geen hoorzitting plaatsgevonden.
20. Bij brief van 29 maart 2016 heeft bezwaarmaker bezwaar gemaakt tegen het besluit vet  vn   v v v en  yn n n vz tar 2016. Bezwaarmaker heeft tevens verzocht om gevoegde behandeling van het bezwaar tegen de afwijzing van het verzoek tot uitstel van betaling.
16 9505 / 00.059.807.
17 9505 / 00.061.321.
18 9505/00.061.369.
19 9505 / 00.061.493.
20 9505/ 00.063.515.
22 9505 / 00.061.766.
219505 / 00.065.236.
239505 / 00.063.172 en 10074 / 00.063.173.
25 9505 / 00.064.103 en 10074 / 00.064.105.
249505 / 00.063.351.
## 2. Bezwaargronden
## 21. In het bezwaarschrift is het volgende aangevoerd:
- A. Ten aanzien van het boetebesluit:
- a. De Wok is niet van toepassing op het aanbod. Bezwaarmaker stelt zich op het standpunt dat de Wok niet van toepassing is, omdat er geen sprake was van een mede op Nederland gerichte website en omdat de Kansspelautoriteit niet heeft aangetoond dat bezwaarmaker de toegang tot de kansspelen niet onmogelijk heeft gemaakt.
- b. Onzorgvuldig stilzwijgen van de Kansspelautoriteit. Bezwaarmaker heeft contact gezocht met de Kansspelautoriteit om meer duidelijkheid te krijgen over de benodigde aanpassingen. De Kansspelautoriteit heeft alleen gewezen op de maatregelen die getroffen dienen te worden op de websites 7red.com en royaalcasino.com.
- c. Bezwaarmaker vindt de boete onevenredig hoog. De hoogte van de opgelegde boete acht bezwaarmaker niet passend en geboden en leidt niet tot een evenredige sanctie, aangezien bezwaarmaker zich bijvoorbeeld onderscheidt van aanbieders die twee keer zoveel spellen aanboden en waarvan alle spellen beschikbaar waren in de Nederlandse taal.
- B. Ten aanzien van het openbaarmakingsbesluit:
- d. Het besluit is ten onrechte openbaar gemaakt. De Kansspelautoriteit heeft geen publiek belang bij openbaarmaking. Het beschikbare aanbod is door bezwaarmaker terstond gestaakt, zodat er geen belang meer bestond om consumenten te waarschuwen.
- C. Ten aanzien van het verzoek tot uitstel van betaling:
- e. Bezwaarmaker verzoekt om uitstel van betaling en opschorting van de wettelijke rente in afwachting van het bezwaar en beroep.
## 3. Toepasselijke regelgeving
22. Op grond van artikel 1, eerste lid, aanhef en onder a, van de Wok is het behoudens he     d dn  yd  d  i  ete dingen naar prijzen of premies, indien de aanwijzing der winnaars geschiedt door enige kansbepaling waarop de deelnemers in het algemeen geen overwegende invloed kunnen uitoefenen, tenzij daarvoor ingevolge de Wok vergunning is verleend.
23. De raad is op grond van artikel 33b van de Wok belast met de bestuurlijke handhaving van de Wok. Op grond van artikel 35a van de Wok is de raad bevoegd tot h vn n - vn n n   n n  e ar    b    o       dae aanvang van de overtreding € 780.000,- of – indien dit meer is – tien procent van de omzet in het boekjaar voorafgaand aan de beschikking.
24. Op grond van artikel 8 van de Wet openbaarheid van bestuur (hierna: Wob) verschaft een bestuursorgaan dat het rechtstreeks aangaat, uit eigen beweging informatie over het beleid, de voorbereiding en de uitvoering daaronder begrepen, zodra dat in het belang is van een goede en democratische bestuursvoering.
15 april 2016
15 april 2016
25. In artikel 10 van de Wob is een aantal uitzonderingen opgenomen. Bed e d  e e kt. Daarnaast kan het verstrekken van informatie bijvoorbeeld achterwege blijven voor zover het belang van openbaarmaking niet opweegt tegen het voorkomen van
onevenredige benadeling van bij de aangelegenheid betrokken rechtspersonen.
- 26.In de uitspraak van 10 november 2010, ECLI:NL:RVS:2010:BO3468, heeft de Afdeling bestuursrechtspraak van de Raad van State bepaald dat het past om in het kader van de toezichthoudende taak boetebesluiten te publiceren, zodat bekendheid wordt gegeven aan de wijze van uitvoering van deze taak.
27. In artikel 4:94 van de Algemene Wet bestuursrecht(hierna: Awb) is bepaald dat
2. Gedurende het uitstel kan het bestuursorgaan niet aanmanen of invorderen.
1. Het bestuursorgaan kan de wederpartij uitstel van betaling verlenen.
3. De beschikking tot uitstel van betaling vermeldt de termijn waarvoor het uitstel geldt.
4. Het bestuursorgaan kan aan de beschikking tot uitstel van betaling voorschriften verbinden.
## 4. Overwegingen van de commissie
## Ten aanzien van de ontvankelijkheid van bezwaarmaker
28. De bezwaarschriften zijn tijdig ingediend en voldoen ook overigens aan alle vereisten voor ontvankelijkheid.
## Ten aanzien van de gronden van het bezwaar
29. De commissie hecht eraan om, alvorens zij reageert op de bezwaargronden, kort het prioriteringsbeleid van de Kansspelautoriteit uit te leggen, omdat daarover bij bezwaarmaker onduidelijkheidlijkt te bestaan.
30. Op grond van artikel 1, eerste lid, aanhef en onder a, van de Wok mogen kansspelen alleen aangeboden worden als de aanbieder over een vergunning beschikt. De Kansspelautoriteit verstrekt geen vergunningen voor het aanbieden van online kansspelen. Toch zijn er veel aanbieders die online kansspelen aanbieden zonder dat zij over een vergunning beschikken. Daarmee overtreden zij artikel 1, eerste lid, aanhef en onder a, van de Wok. De Kansspelautoriteit heeft echter onvoldoende capaciteit om ten aanzien van al die aanbieders direct handhavend op te treden. Daarom heeft zij een prioriteringsbeleid opgesteld, dat inhoudt dat eerst wordt opgetreden tegen partijen die voldoen aan een of meer van de zogeheten prioriteringscriteria (aanbieden in de Nederlandse taal, gebruik van een .nl-extensie, reclame maken op radio of tv of in gedrukte media). Als een aanbieder zich prioriteert dan stelt de Kansspelautoriteit vast of de Wok is overtreden. Als de aanbieder zich eenmaal geprioriteerd heeft, is het niet van belang of hij zich daarna alsnog aanpast aan het prioriteringsbeleid.
9505 / 00.070.821
10074 / 00.070.822
datum
15 april 2016
## Ten aanzien van de toepasselijkheid van de Wok op het aanbod
31. Bezwaarmaker stelt dat de Wok niet van toepassing is, omdat er geen sprake was van een aanbod van een mede op Nederland gerichte website en omdat de Kansspelautoriteit niet heeft aangetoond dat bezwaarmaker de toegang tot kansspelen niet onmogelijk heeft gemaakt.
32. De commissie merkt op dat bezwaarmaker in het vizier is gekomen van de toezichthouders van de Kansspelautoriteit, omdat bezwaarmaker zich heeft ge  tt    bB  ar website gedeeltelijk in de Nederlandse taal aangeboden.2⁶ De Kansspelautoriteit stelt dan vervolgens vast of de Wok is overtreden.
33. De commissie merkt op dat op grond van de jurisprudentie ervan uit mag worden gegaan dat een website met de naam www.redslots.com vanuit Nederland bereikbaar is, zijnde het een notoir feit dat het world wide web ook in Nederland toegankelijk is. Het niet onmogelijk gemaakt zijn van de deelneming vanuit Nederland is door de Hoa t t ,  t t t t nt t ng Ea  r r ger  r  gel ingevolge welke de Kansspelautoriteit als bestuursorgaan de aanwezigheid van een blokkade zal moeten aannemen totdat zij het tegendeel door eigen onderzoek heeft vastgesteld.²7 De commissie acht het niet aannemelijk dat bezwaarmaker gedurende het onderzoek deelname vanuit Nederland onmogelijk heeft gemaakt. De commissie verwijst in dat verband ook naar hetgeen namens bezwaarmaker wordt gesteld onder an r    r a   i    art bezwaarmaker de toegankelijkheid van de website voor spelers vanuit Nederland eerst per 5 juni 2015 heeft beëindigd. Daaruit volgt dat de website van bezwaarmaker derhalve in ieder geval tot 5 juni 2015 toegankelijk is geweest voor spelers vanuit Nederland. De commissie merkt op dat in het rapportdossier diverse andere indicaties zijn aangetroffen waaruit dient te worden afgeleid dat deelname Va  u   u  t   ut de volgende alinea's worden toegelicht.
34. Naar het oordeel van de commissie dient de vraag of bezwaarmaker gelegenheid ean  t     t  n t     t tt worden beantwoord. Niet alleen mag de raad ervan uitgaan dat een website met de naam www.redslots.com vanuit Nederland bereikbaar is, in de praktijk is dat ook gebleken. Zoals reeds uit het voorgaande blijkt, was de website immers toegankelijk voor spelers vanuit Nederland, in ieder geval tot 5 juni 2015.Ten overvloede wijst de commissie erop dat er nog andere indicatoren zijn. Zo was de website (gedeeltelijk) te raadplegen in de Nederlandse taal, konden spelers gebruik maken van iDEAL en stond de Nederlandse vlag vermeld op de website. Er werd zelfs een welkomstbonus aangeboden voor spelers uit Nederland, en Nederland stond niet op de lijst van uitgesloten landen.
26Bijvoorbeeld OA 2014/083/006/016a.
oic st io os  ic    e a  te ted
tegen de raad van bestuur van de Kansspelautoriteit.
10074/00.070.822
35. De commissie acht niet aannemelijk dat de website van bezwaarmaker spelers uit Nederland zou faciliteren door middel van het gebruik van de Nederlandse taal, gebruik van iDEAL en een welkomstbonus voor spelers uit Nederland als daadwerkelijke deelname niet mogelijk zou zijn. Het (gedeeltelijke) gebruik van de Nederlandse taal wordt door bezwaarmaker niet ontkend. De commissie kan bezwaarmaker gelet op het voorgaande niet volgen in de stelling dat er slechts een spel beschikbaar was in de Nederlandse taal en dat hieruit geen actieve gerichtheid op Nederland kan worden afgeleid, aangezien dit een vergissing betrof. Naar het oordeel van de commissie werden meerdere spellen in de Nederlandse taal weergegeven.28 De commissie wijst er bovendien op dat het onderzoek van de Kansspelautoriteit naar de door bezwaarmaker aangeboden spellen een steekproef betrof.
36. De commissie merkt op dat zij de stelling van bezwaarmaker niet volgt dat de vermelding van de vlag met de kleuren, rood, wit en blauw zeer beperkt van omvang wat         r   en gerichtheid op Nederland kan worden afgeleid. Gelet op de op de website we it v  st t et v vodat bezwaarmaker bedoeld heeft de Luxemburgse vlag weer te geven. Bovendien bestaat de vlag van het land Luxemburg onder meer uit een lichtblauwe baan, in tegenstelling tot de Nederlandse vlag die een kobaltblauwe baan kent, zoals weergegeven op de website van bezwaarmaker. Bezwaarmaker heeft de Nederlandse vlag veelvuldig gebruikt op de diverse webpagina's van de website www.redslots.com.29Ook daaruit kao d id  oi    sid   ei
37. Hetzelfde geldt naar het oordeel van de commissie ten aanzien van het gebruik van iDEAL. Dat is immers een systeem voor betalingsverkeer tussen Nederlandse banken. Daarvoor is vereist dat zowel de betaler als de ontvanger een Nederlandse bankrekening heeft. De commissie acht het niet aannemelijk dat een aanbieder het gebruik van iDEAL zou faciliteren indien de betreffende aanbieder zich niet op in Nederlandgevestigde spelers zou richten.
38. Ook de stelling van bezwaarmaker dat uit het ontbreken van Nederland op de lijst van n          n ede o i en  e t  ent  t n en luidt als volgt: 'All players are welcome at Redslots, but due to gambling restrictions we o  tin v o ot o so   an du    n  n   n n id lann  in  l  n d de   n n den consumenten geïnformeerd en erop geattendeerd in welke landen de betreffende kansspelen niet zijn toegestaan. Het niet vermelden van Nederland op de lijst van uitgesloten landen wekt juist de suggestie dat de betreffende kansspelen in Nederlandzijn toegestaan.
28Bijvoorbeeld OA 2014/083/018 inclusief bijlagen 001-012.
30OA 2014/083/006/004.
29 Bijvoorbeeld OA 2014/083/010/001.
datum
15 april 2016
39. Naar het oordeel van de commissie volgt uit het toekennen van een bonus aan in Nederland gevestigde spelers dat de website wel op Nederland gericht móet zijn. nn   z z    n  n z   an de bonus en de plek waar deze vermeld wordt, doen daaraan niets af.
## Ten aanzien van onzorgvuldig stilzwijgen van de Kansspelautoriteit
- n   s dd    s dt van de Kansspelautoriteit, omdat de afdeling Toezicht alleen heeft gewezen op de maatregelen die moeten worden getroffen voor de websites 7red.com en royaalcasino.com.
41. Naar het oordeel van de commissie had bezwaarmaker inmiddels op de hoogte moe g n m n -n e   eiid aangezien de raad bij besluit van 24 september 2014 aan Redcorp S.A. en bezwaarmaker een boete heeft opgelegd. De Kansspelautoriteit heeft gelet op het voorgaande terecht kunnen besluiten om betrokkenen niet nogmaals door middel van aanschrijvingen te berichten dat het zonder vergunning aanbieden van kansspelen in Nederland niet is toegestaan en welk prioriteringsbeleid wordt toegepast.
42. De correspondentie tussen de afdeling Toezicht van de Kansspelautoriteit en bezwaarmaker van 9 december 2015 tot en met 23 december 2015 had betrekking op de aanpassingen van de website 7red.com en royaalcasino.com. Het is de commissie bovendien ambtshalve bekend dat de raad in zijn waarschuwingsbrieven altijd opmerkt dat de aan te brengen wijzigingen gelden voor alle websites van de betreffende aanbieder. Naar het oordeel van de commissie is het niet de taak van de Kansspelautoriteit om een aanbieder iedere keer op al zijn overtredingen te wijzen. Aanbieders zijn immers zelf verantwoordelijk voor naleving van de voor hen geldende wet- en regelgeving.
## Ten aanzien van de onevenredigheid van de hoogte van de boete
43. Bezwaarmaker stelt dat zij een relatief hoge boete opgelegd heeft gekregen. Zij stelt in dat verband dat zij een coöperatieve houding heeft en dat zij op 5 juni 2015 de website ontoegankelijk heeft gemaakt voor spelers uit Nederland. Het rapportdossier is op 19 mei 2015 voor het eerst aan bezwaarmaker verzonden. Bezwaarmaker heeft de website derhalve eerst na ontvangst van het rapportdossier ontoegankelijk gemaakt voor spelers uit Nederland. Gelet op het voorgaande acht de commissie geen boeteverlagende omstandigheid aanwezig wegens een coöperatieve houding van bezwaarmaker, te meer daar bezwaarmaker reeds eerder voor eenzelfde overtreding is beboet. Naar het oordeel van de commissie is in onderhavige procedure juist sprake van een boeteverhogende omstandigheid, omdat er sprake is van recidive. Bezwaarmaker en Redcorp S.A. zijn immers reeds bij besluit van 24 september 2014 eerder beboet.
2. 44.Ten aanzien van de hoogte van de boete wijst de commissie erop dat vaststaat dat bezwaarmaker de Wok heeft overtreden en dat het in dat verband niet relevant is voor de hoogte van de boete of zij na het verstrijken van de aan haar gestelde termijn alsnog aanpassingen heeft doorgevoerd. Bezwaarmaker heeft de
15 april 2016
- aanpassingen immers pas doorgevoerd nadat zij bekend was met het handhavend optreden door de Kansspelautoriteit.
45. De commissie merkt op dat de raad kennelijk abusievelijk onder voetnoot 51 van het besluit van 29 oktober 2015 heeft verwezen naar een andere website. Naar het oordeel van de commissie heeft bezwaarmaker echter wel een uitgebreid bonus- en promotieprogramma hetgeen onder meer is vermeld onder randnummer 45 van de algemene voorwaarden en waarmee wordt geadverteerd op de website van bezwaarmaker.³1
46. Voor de vaststelling van de hoogte van de boete is het aantal aangeboden spellen relevant. Dat er slechts zes spellen zijn aangeboden in de Nederlandse taal, zoals bezwaarmaker stelt, is, wat daar ook van zij, in dit kader niet relevant. De commissie acht wel relevant dat er in totaal ruim 150 spellen werden aangeboden. Zij is van oordeel dat gesteld kan worden dat dat een hoog aantal is.
47. Bezwaarmaker heeft bij brief van 26 november 2015 de Kansspelautoriteit aansprakelijk gesteld voor de beweerdelijk geleden schade ten gevolge van het publiceren van een nieuwsbericht over de opgelegde boete aan bezwaarmaker.³² Bij brief van 7 januari 2016 heeft de Kansspelautoriteit aan bezwaarmaker gevraagd om de beweerdelijk geleden schade nader te specificeren. De commissie merkt op dat bezwaarmaker tot op heden de beweerdelijk geleden reputatieschade niet nader heeft onderbouwd. Dat het door de Kansspelautoriteit gepubliceerde persbericht tendentieus is en of dat heeft geleid tot reputatieschade bij bezwaarmaker is naar het oordeel van de commissie niet gebleken. Ten slotte is de commissie van mening dat, indien de reputatie van bezwaarmaker al geschaad zou zijn, dat eerder is veroorzaakt doe  n n    r e ei
48. Naar het oordeel van de commissie is – gelet op het voorgaande – geen sprake van een onevenredig hoge boete.
## Ten aanzien van het openbaarmakingsbesluit
49. Bezwaarmaker meent dat er geen publiek belang meer is om consumenten te waarschuwen omdat het beschikbare aanbod is aangepast. De commissie overweegt echter dat de raad diverse belangen heeft om het besluit openbaar te maken, waaronder het belang om consumenten te waarschuwen voor aanbieders die kansspelen aanbieden zonder vergunning en de risico's die consumenten daarbij lopen.
50. Bezwaarmaker miskent naar het oordeel van de commissie dat er wel degelijk een preventieve werking van de openbaarmaking uitgaat. Voor de lezer van het besluit zal immers meteen duidelijk zijn dat wie niet tijdig zijn websites aanpast aan het prioriteringsbeleid, het risico loopt een boete opgelegd te krijgen. Aanbieders die voldoen aan een of meer prioriteringscriteria zullen daarom sneller geneigd zijn om tijdig hun websites aan te passen of hun aanbod te beëindigen.
37 Bijvoorbeeld OA 2014/083/003/001.
32 9505/00.059.423.
Ten aanzien van het verzoek tot uitstel van betaling
51. Bezwaarmaker heeft bij brief van 8 december 2015 verzocht om uitstel van betaling nan e  e   v  r   g v D raad heeft bij brief van 7 januari 2016 verzocht om het verzoek tot uitstel van a  e n   et ak  er n e er daarop gereageerd door slechts te verwijzen naar haar brief met aanvullende gronden van t    e t  t t  t vt   om uit ft bt kt b t  t gt b  ker bezwaar gemaakt tegen het besluit van de raad tot afwijzing van het verzoek tot uitstel van betaling.³7 Bezwaarmaker verwijst daarbij wederom naar de gronden van haar brief van 8 januari 2016.
52. Een bestuursorgaan heeft de mogelijkheid om uitstel van betaling te verlenen en de wettelijke rente op te schorten indien in redelijkheid niet van belanghebbende kan worden verwacht dat de verschuldigde geldsom binnen de betalingstermijn zal on o t o   ot ot  t o ot heden niet nader gemotiveerd waarom zij de verschuldigde geldsom niet binnen de betalingstermijn zou kunnen voldoen. De commissie ziet in de door bezwaarmaker aangevoerde gronden ook overigens geen aanleiding om uitstel van betaling te verlenen.
## 5. Conclusie
53. Op grond van het bovenstaande adviseert de commissie de bezwaren ongegrond te Ver n v  n    s 00.058.180 en 9505 / 00.065.236 met aanvulling van de motivering zoals weergegeven in dit advies, in stand te laten.
2. dd Adviescommissie bezwaarschriften van de Kansspelautoriteit, bestaande uit mevrouw mr. J.M.E. Feije (voorzitter), mevrouw mr. J.P. Alspeer en de heer mr. drs. R.G.J. Wildemors.
's Gravenhage, 15 april 2016
Namens de Adviescommissie bezwaarschriften van de Kansspelautoriteit, de voorzitter,
w.g.
mr. J.M.E. Feije
339505 / 00.0589.794.
359505 / 00.063.515.
349505 / 00.061.493.
369505 / 00.065.236.
379505 / 00.067.719.</t>
  </si>
  <si>
    <t>OPENBAAR ## Kansspelautoriteit Besluit van de Raad van Bestuur van de Kansspelautoriteit als bedoeld in artikel 35a van de Wet op de Kansspelen Zaak: OA/2013/036 Kenmerk: 8432 / 00.033.131 Openbaarmaking onder kenmerk: 8432 / 00.033.584 ## Besluit ## Samenvatting Naar aanleiding van een bericht in dagblad Trouw van 7 december 2013 heeft de Kansspelautoriteit een onderzoek ingesteld naar de verloting van villa Mountain View. Uit het onderzoek bleek dat via de websites www.winjouwdroomvilla.nl, www.winjouwdroomvilla.be, www.traumvillagewinnen.at en www.winyourdreamvilla.com, een Facebook-account, Twitter en e-mailberichten een loterij werd georganiseerd, waarmee een villa in Zuid-Afrika, genaamd Mountain View, gewonnen kon worden. Deze villa was eigendom van mevrouw A.B. en de heer P. de P. Een ieder kon via de website loten bestellen. Op 31 mei 2014 is het winnende lotnummer bekend gemaakt. De Kansspelautoriteit kwalificeert deze verloting als een kansspel. Voor dit kansspel was geen vergunning afgegeven. Mevrouw A.B. en de heer P. de P. hebben in ieder geval in de periode 12 december 2013 tot en met 8 mei 2014 een kansspel (loterij) aangeboden zonder vergunning. De Kansspelautoriteit legt hen daarvoor een boete op van € 80.000,-. ## 1 Inhoud | Samenvatting .................................................................................................. | Samenvatting .................................................................................................. | 1 | |-------------------------------------------------------------------------------------------------------------------|-------------------------------------------------------------------------------------------------------------------|----------------------------------------------------------------------------------------------| | 2 | Inleiding | .......................................................................................... 4 | | 3 | De website en de betrokkenen............................................................. | 4 | | 3.1 | De website....................................................................................... | 4 | | 3.2 | De betrokkenen ................................................................................ | 5 | | 4 | Het rapport ...................................................................................... | 5 | | 5 | Zienswijze | ....................................................................................... 5 | | 6 | Feitelijk kader | .................................................................................. 6 | | 6.1 | Eerste onderzoek website verloting villa op 12 december 2013.................. | 6 | | 6.2 | Onderzoek sociale media .................................................................. | 10 | | 6.2.1 | Facebook .................................................................................. | 10 | | 6.2.2 | Twitter ..................................................................................... | 10 | | 6.3 | Radio-uitzending Eén Vandaag .......................................................... | 10 | | 6.4 | Tweede onderzoek website droomvilla op 18 maart 2014 ....................... | 11 | | 6.5 | Aanschrijvingen .............................................................................. | 11 | | 6.5.1 | Eerste brief van de Kansspelautoriteit van 21 maart 2014 ................. | 11 | | 6.5.2 | Tweede brief van de Kansspelautoriteit van 1 april 2014 ................... | 12 | | 6.5.3 | Derde brief van de Kansspelautoriteit van 24 april 2014.................... | 14 | | 6.6 | Derde onderzoek website droomvilla op 6 mei 2014 .............................. | 15 | | 6.7 | Aanbieding loten na 1 mei 2014 ........................................................ | 16 | | 6.8 | Afronding van het onderzoek en opstellen van het rapport ..................... | 17 | | 7 | Juridische beoordeling...................................................................... | 18 | | 7.1 | De wettelijke bepalingen | .................................................................. 18 | | 7.2 | Bevoegdheid van de Kansspelautoriteit ............................................... | 18 | | 7.3 | Kansspel (loterij) | ............................................................................ 19 | | 7.4 | Aanbieden van een kansspel zonder vergunning ................................... | 19 | | 7.5 | Conclusie ....................................................................................... | 20 | | 8 | Overtreders | ................................................................................... 20 | 14 augustus 2014 Ons kenmerk 9 Bestuurlijke boete ........................................................................... 22 9.1 Inleiding ........................................................................................ 22 9.2 Verwijtbaarheid .............................................................................. 23 9.3 Ernst en duur van de overtreding ....................................................... 24 9.4 Boetevaststelling............................................................................. 26 9.5 Toerekening ................................................................................... 26 10 Besluit .......................................................................................... 27 ## 2 Inleiding 1. De Kansspelautoriteit is belast met het toezicht op de naleving van het bepaalde in de Wet op de Kansspelen (hierna: Wok). In de Wok is opgenomen een verbod op het gelegenheid geven tot deelname aan kansspelen zonder vergunning. 2. De kansspelmarkt is geen gewone economische markt. Omdat financieel gewin kan optreden zonder dat daar tegenover een evenredige inspanning staat, is deze markt extra gevoelig voor fraude, bedrog en verslaving waarvan de kansspelconsument de dupe kan worden. Voorts is de wettelijke verplichting opgenomen de opbrengst van het kansspel te bestemmen voor doelen van charitatief, sportief, cultureel of een ander maatschappelijk belang. Aldus wordt voorkomen dat kansspelen worden georganiseerd ten behoeve van particulier profijt en de wijze waarop het kansspel wordt aangeboden, georganiseerd en gespeeld daardoor wordt beïnvloed. 3. Genoemde verplichting is neergelegd in artikel 3 van de Wok, waar bepaald wordt dat, om voor een vergunning in aanmerking te kunnen komen, de opbrengst van een kansspel een algemeen belang moet dienen. ## 3 De website en de betrokkenen ## 3.1 De website 4. In de periode 12 december 2013 tot en met 8 mei 2014 is via diverse websites een loterij voor een villa, genaamd 'Mountain View', in Zuid-Afrika aangeboden. Geïnteresseerden konden meedoen aan de verloting van de betreffende villa door een of meer van de maximaal 9999 loten te kopen, waarvan de prijs maximaal € 99,- per lot bedroeg. 1 5. De websites winjouwdroomvilla.nl en winjouwdroomvilla.be waren gesteld in de Nederlandse taal. De loterij werd eveneens aangeboden door middel van de websites winyourdreamvilla.com en traumvillagewinnen.at die respectievelijk in de Engelse en Duitse taal waren gesteld. 1 Stuk OA/2013/036/002/006, onder Hoe verloopt de verloting , p. 2. OPENBAAR Kansspelautoriteit Datum 14 augustus 2014 Ons kenmerk 8432 / 00.033.584 6. Toezichthouders van de Kansspelautoriteit hebben een onderzoek ingesteld naar de verloting van deze villa, aangezien aan die verloting actief bekendheid werd gegeven. De bevindingen uit het onderzoek zijn opgenomen in hoofdstuk 5 van dit besluit. ## 3.2 De betrokkenen 7. Mevrouw A.B. (hierna: betrokkene 1) en de heer P. de P. (hierna: betrokkene 2, tezamen: betrokkenen) zijn de aanbieders van de loterij. 2 Zij zijn tevens de eigenaren van de te verloten villa. 3 8. De loterij vond plaats door tussenkomst van mevrouw dr. C. K.-R., advocate, werkzaam te Pöllau, Oostenrijk. ## 4 Het rapport 9. Het rapport is op 28 mei 2014 toegezonden aan de heer mr. B. J., de gemachtigde van betrokkenen (hierna: gemachtigde). 10. In het rapport wordt geconstateerd dat betrokkenen gelegenheid hebben gegeven om mede te dingen naar prijzen of premies, waarvan de aanwijzing der winnaars geschiedt door enige kansbepaling waarop de deelnemers in het algemeen geen overwegende invloed kunnen uitoefenen, zonder dat zij over een daarvoor vereiste vergunning beschikken. ## 5 Zienswijze 11. Betrokkenen zijn bij brief van 19 juni 2014 uitgenodigd een zienswijze op het rapport te geven. Daartoe was een hoorzitting gepland op 4 juli 2014. Ter hoorzitting zijn gemachtigde en de heer J. L. verschenen namens betrokkenen. 12. Ter hoorzitting is onder meer het volgende aangevoerd: - a. Er is weinig onderzoek gedaan naar de rol van mevrouw C. K.-R. - b. Het is aannemelijk dat mevrouw K.R. de organisator is van de loterij: zij is gespecialiseerd in internetloterijen en verrichtte de trekking, de 2 Stukken OA/2013/036/002 en OA/2013/036/012. 3 Stuk OA/2013/036/002/001. OPENBAAR Kansspelautoriteit Datum 14 augustus 2014 Ons kenmerk 8432 / 00.033.584 - deelnamevoorwaarden die in de Duitse taal waren opgesteld golden als leidend bij de verloting, die overigens geschiedde op grond van een Oostenrijkse vergunning. In Oostenrijk werd ook kansspelbelasting afgedragen. - c. Het onderzoek van de Kansspelautoriteit is niet objectief geweest. Gemachtigde wijst erop dat de trekking van het winnende nummer niet in het onderzoek was betrokken. Gemachtigde wijst er eveneens op dat zich in het dossier een opname van een radio-uitzending bevindt waarvan de tekst niet volledig is uitgetypt. 13. De Raad van Bestuur van de Kansspelautoriteit (hierna: de Raad) zal op de geëigende plaats in het onderhavige besluit ingaan op de zienswijze. 14. Van de hoorzitting is een verslag gemaakt 4 dat op 8 juli 2014 aan gemachtigde is toegezonden. 15. Op 16 juli 2014 is de reactie van gemachtigde op het verslag ontvangen. 5 Deze reactie is in het dossier gevoegd. In de reactie wordt opgemerkt dat de door gemachtigde toegezonden link naar opname van de trekking niet door de Kansspelautoriteit is geopend, gedownload en toegevoegd. Dit is onjuist. De opname is op cd-rom gezet en als bijlage 1 bij het verslag gevoegd. 6 Voorts heeft gemachtigde aangegeven zijn overige opmerkingen binnen de gestelde termijn - dat wil zeggen: uiterlijk 24 juli 2014 - in te zullen dienen. Er zijn geen nadere opmerkingen ontvangen. Evenmin is ontvangen de toegezegde printscreen van de website/het youtubekanaal waarop de opname van de trekking te zien is. ## 6 Feitelijk kader ## 6.1 Eerste onderzoek website verloting villa op 12 december 2013 16. Op 12 december 2013 heeft de Kansspelautoriteit een melding ontvangen over een verloting van een villa. Het betrof een pagina uit het dagblad Trouw van 7 december 2013 waarin werd vermeld dat betrokkenen hun huis in Zuid-Afrika verlootten. De website winjouwdroomvilla.nl is op 12 december 2013 vastgelegd en onderzocht. 7 4 Stuk 8432/00.031.748. 5 Stuk 8432/00.032.294. 6 Stuk 8432/00.00.032.756 en stuk 8432/00.031.748. 7 Stuk OA/2013/036/002. Datum 14 augustus 2014 Ons kenmerk 8432 / 00.033.584 17. Op de website stelden betrokkenen zich voor en lieten weten dat ze besloten hadden om hun villa te verloten. 18. Onder de tekst Wat kunt U winnen? stond het volgende vermeld. Als u de gelukkige eigenaar wordt van het winnende lot krijgt u: 1. DE VILLA zoals beschreven onder 'De Villa' en 'Inventarislijst' dus een volledig, voor 6 personen ingerichte luxe villa met zwembad. … 2. TWEE RETOUR VLIEGTICKETS Economy Class vanuit een grote Europese luchthaven ( … ) naar Kaapstad. 3. EEN WEEK VERBLIJF in half pension (ontbijt en diner) voor de winnaar en zijn of haar partner, in: (a) het viersterren B&amp;amp;B Ons Genot Country Lodge in Stellenbosch … of (b) een prachtige cottage op het Landgoed 'Mooi Bly' in Paarl. … 19. De website bevatte voorts onder andere een beschrijving van de te winnen villa, inclusief inventaris, en van de procedure van de verloting. De loten konden via de website worden gekocht. Er waren volgens de website maximaal 9999 loten beschikbaar. 20. Vastgesteld werd dat - a) de website winjouwdroomvilla.nl vanuit Nederland bereikbaar was; - b) de website winjouwdroomvilla.nl een .nl-extensie had; - c) wanneer de website winjouwdroomvilla.nl werd geopend, deze opende in de Nederlandse taal; - d) de Nederlandse vlag werd getoond op de homepagina; - e) op de website winjouwdroomvilla.nl een villa in Zuid-Afrika werd aangeboden, waarvoor loten konden worden aangeschaft; - f) de website winjouwdroomvilla.nl voor een ieder toegankelijk was en iedere persoon loten kon aanschaffen; - g) via de website winjouwdroomvilla.nl een ieder één of meer loten voor de villa in Zuid-Afrika kon kopen tegen betaling van maximaal € 99,-. 8 21. Op de website waren eveneens snelkoppelingen aanwezig waarmee het mogelijk was om direct in contact te treden met betrokkenen of met mevrouw K.R. 8 Stuk OA/2013/036/002/002, p. 2. OPENBAAR Kansspelautoriteit Datum 14 augustus 2014 Ons kenmerk 8432 / 00.033.584 22. Onder het kopje Hoe verloopt de loting? werd op de website winjouwdroomvilla.nl het volgende vermeld: 9 - 1) U meldt zich aan via het registratieformulier. - 2) U vermeldt hoeveel loten u wilt reserveren en bestellen. - 3) U ontvangt onmiddellijk een email met uw registratienummer en betalingsgegevens. Dit nummer dient u zorgvuldig te bewaren. - 4) U doet uw bankoverschrijving met vermelding van uw registratienummer. Nadat de betaling verwerkt is, ontvangt U hiervan zo spoedig mogelijk een bevestiging via email. - 5) Het registratienummer is/zijn NIET uw lotnummer(s). De lotnummers worden toegekend ongeveer 14 dagen voor de trekkingsdatum. - 6) De trekking zal via het internet gevolgd kunnen worden, en onmiddellijk na de trekking zal de notaris de winnaar contacteren. - 7) De trekking is voorzien op 31 mei 2014 of eerder, indien alle loten besteld zijn. - 8) Er zijn maximaal 9.999 loten beschikbaar aan maximum € 99,- per lot. 23. Op de website waren de deelnamevoorwaarden opgenomen. 10 Deze vermeldden, voor zover hier relevant, het volgende. - a) Onder kopje II Object van de verloting werd vermeld dat de verloting betrekking had op de villa 'Mountain View' gelegen op het Wijndomein 'Diemersfontein'. De villa was ingericht voor zes personen en omgeven door een tuin van ongeveer 2500 m² groot. - b) Onder kopje III Trustkantoor (Beheer) sub 1 werd vermeld dat de uitvoering en afwikkeling van de verloting zouden plaatsvinden onder toezicht van mevrouw dr. C. K.-R., advocate en lid van de Treuhand Revision der Steiermärkischen Rechtsanwalt Kammer, [xxx] (Oostenrijk). - c) Onder kopje III Trustkantoor (Beheer) sub 2 werd vermeld dat als niet alle 9999 loten zouden zijn verkocht voor 31 mei 2014, de eigenaar van het object kon besluiten om de verloting niet door te zetten. - d) Onder kopje IV Voorwaarden tot deelname sub 4 werd vermeld dat bij elke registratie een registratienummer werd afgegeven, waarbij ieder registratienummer het recht gaf een of meer loten te bestellen. - e) Onder kopje IV Voorwaarden tot deelname sub 5 werd vermeld dat de lotnummers ongeveer twee weken voor de trekking willekeurig werden toegekend. 9 Stuk OA//2013/036/002/006. 10 Stuk OA/2013/036/002/010. Datum 14 augustus 2014 Ons kenmerk 8432 / 00.033.584 - f) Onder kopje IV Voorwaarden tot deelname sub 9 werd vermeld dat de trekking in het openbaar zou plaatsvinden. - g) Onder kopje IV Voorwaarden tot deelname sub 10 werd vermeld dat de trekking eerder plaats zou vinden als alle loten voor 31 mei 2014 besteld zouden zijn. - h) Onder kopje IV Voorwaarden tot deelname sub 12 werd vermeld dat de trekking zou plaatsvinden door uit vier bokalen, die ieder tien houdertjes bevatten met in iedere individuele houder steeds een getal uit de reeks 0 tot en met 9, telkens één getal te trekken. Zowel de eigenares of een door haar gemachtigde persoon als mevrouw K.-R. zou daarbij aanwezig zijn. 11 - i) Onder kopje IV Voorwaarden tot deelname sub 13 werd vermeld dat mevrouw K.-R. contact op zou nemen met de winnaar en dat het winnende lotnummer op de website bekend zou worden gemaakt. - j) Onder kopje IV Voorwaarden tot deelname sub 14 werd vermeld dat de winnaar zijn prijs binnen twintig dagen na de trekking in ontvangst diende te aanvaarden. - k) Onder kopje IV Voorwaarden tot deelname sub 19 werd vermeld dat het in dit concrete geval ging om een eenmalige verloting door de objecteigenaar. - l) Onder kopje IV Voorwaarden tot deelname sub 20 werd vermeld dat het totaal aantal loten maximaal 9999 was en de prijs maximaal € 99,- per lot bedroeg. - m) Onder kopje IV Voorwaarden tot deelname sub 21 werd vermeld dat alleen de Duitstalige 'Verlosungsbedingungen' rechtsgeldig waren. 24. Ten slotte waren er een Britse en een Duitse vlag aanwezig op de website. Als men op de Britse vlag klikte, verwees de website door naar winyourdreamvilla.com. 12 Die website was een Engelstalige kopie van winjouwdroomvilla.nl. Op dezelfde wijze verwees de Duitse vlag naar een Duitstalig onderdeel van de website winjouwdroomvilla.nl. 13 11 Uit de opname van de trekking blijkt dat de trekking afweek van hetgeen hier werd vermeld. Zo was er geen sprake van vier bokalen en evenmin was de eigenares aanwezig. 12 Stuk OA/2013/036/002/020. 13 Stuk OA/2013/036/002/019. ## 6.2 Onderzoek sociale media ## 6.2.1 Facebook 25. Op de website facebook.nl was een account aangemaakt onder de naam Winjouwdroomvilla. 14 Op dat account werd onder meer verwezen naar de website winjouwdroomvilla.nl en anderszins aandacht gevraagd voor de verloting van de villa 'Mountain View'. Daarnaast bevatte het account verwijzingen naar artikelen in de media over de verloting van de villa. ## 6.2.2 Twitter 26. Een toezichthouder van de Kansspelautoriteit heeft geconstateerd dat op het socialemediaplatform Twitter een account was aangemaakt onder de naam winjouwdroomvilla. 15 Op het Twitter-account werd onder meer verwezen naar de website winjouwdroomvilla.nl. Daarbij werd ook bekendheid gegeven aan de verloting van de villa zoals beschreven onder randnummer 18. ## 6.3 Radio-uitzending Eén Vandaag 27. Op 6 februari 2014 was betrokkene 2 te gast in de uitzending van Eén Vandaag op Radio 1. 16 Tevens was de persvoorlichter van de Kansspelautoriteit aan het woord door middel van een vooraf opgenomen boodschap. 28. Betrokkene 2 vertelde tijdens de uitzending onder andere dat - a) hij vijf jaar geleden ook een villa had verloot op hetzelfde domein (vanaf tijdstip 00:37); - b) hij uitging van een gemiddelde verkoopprijs van tussen de 80 en de 85 euro per lot (vanaf tijdstip 01:17); - c) hij in Oostenrijk kansspelbelasting betaalde (vanaf tijdstip 05:17). 6. De persvoorlichter van de Kansspelautoriteit deelde in de radio-uitzending onder 29. meer het volgende - letterlijk weergegeven - mee: Als de lotverkoop gericht is op Nederland, dan ben je gewoon vergunningplichtig in Nederland onder de Wet op de kansspelen . 14 Stuk OA/2013/036/002/021. 15 Stuk OA/2013/036/002/023. 16 Stuk OA/2013/036/003. 8432 / 00.033.584 OPENBAAR Kansspelautoriteit Datum 14 augustus 2014 Ons kenmerk 8432 / 00.033.584 ## 6.4 Tweede onderzoek website droomvilla op 18 maart 2014 30. Op 18 maart 2014 is de website winjouwdroomvilla.nl opnieuw vastgelegd en onderzocht. 17 De website bleek nagenoeg identiek te zijn aan de versie zoals vastgelegd op 12 december 2013. Alleen op het onderdeel nieuwsflash waren enkele nieuwe berichten vermeld, waaronder de mededeling dat de loting definitief door zou gaan en een verwijzing naar een uitzending van het TV-programma Studio MAX Live waarin betrokkenen over de verloting werden geïnterviewd. Tevens werd de volgende tekst vermeld: Op de Emigratiebeurs in Houten (Nederland) hebben we veel enthousiaste mensen mogen ontvangen . 18 31. Voorts is geconstateerd dat er een identieke website was met een .be-extensie: www.winjouwdroomvilla.be. ## 6.5 Aanschrijvingen ## 6.5.1 Eerste brief van de Kansspelautoriteit van 21 maart 2014 32. Op 21 maart 2014 heeft de Kansspelautoriteit per e-mail een brief gestuurd aan betrokkenen. 19 De brief is tevens per post verzonden naar het adres [yyy]. Bovendien is de brief verzonden via het contactformulier op de website. 33. In de brief zijn betrokkenen erop gewezen dat het in Nederland niet is toegestaan om zonder vergunning een loterij te organiseren. Betrokkenen kregen tot 4 april 2013 gelegenheid om de overtreding van de Wok te staken door ervoor te zorgen dat de website zich niet langer op Nederland zou richten dan wel een vergunning aan te vragen bij de Kansspelautoriteit. De Kansspelautoriteit heeft daarbij medegedeeld dat de website niet meer op Nederland gericht zou zijn indien de website niet meer raadpleegbaar is vanaf een Nederlands IP-adres, en/of als men geen Nederlandse klanten meer accepteerde. Tevens heeft de Kansspelautoriteit erop gewezen dat betrokkenen de verkoop van de loten en de inning van de gelden ongedaan dienden te maken. 17 Stuk OA/2013/036/004. 18 Zie ook stuk OA/2013/036/033. 19 Stuk OA/2013/036/007. Datum 14 augustus 2014 Ons kenmerk 8432 / 00.033.584 34. Op 25 maart 2014 ontving de Kansspelautoriteit via e-mail een brief van mevrouw 2. dr. C. K.-R., 20 waarin zij onder andere schreef dat - a) zij de door de Kansspelautoriteit verstuurde brief ontvangen had van betrokkenen; - b) betrokkene 1 de organisator van de loterij was; - c) de verloting zou plaatsvinden in Oostenrijk en daarom Oostenrijks recht op de verloting van toepassing zou zijn; - d) de website met extensie .nl met onmiddellijke ingang gestopt was; - e) er geen sprake was van reclame op Nederlands grondgebied en - f) haar cliënten volgens haar daarmee hadden voldaan aan de voorwaarde dat de in Nederland wederrechtelijke handelswijze was beëindigd. 35. Op 31 maart 2014 heeft een medewerker van de Kansspelautoriteit vastgesteld dat de website winjouwdroomvilla via de .nl extensie niet langer bereikbaar was. 21 36. Tevens werd vastgesteld dat websites winjouwdroomvilla.be, winyourdreamvilla.com en traumvillagewinnen.at wel bereikbaar waren. 37. Genoemde websites waren in de Nederlandse taal te raadplegen na het aanklikken van de Nederlandse vlag en hadden dezelfde inhoud en lay-out als winjouwdroomvilla.nl, zoals vastgelegd op 18 maart 2014. 38. Eveneens op 31 maart 2014 is het account op Facebook als bedoeld onder 6.2.1. vastgelegd. Daarop was te lezen dat betrokkenen aanwezig zouden zijn op de emigratiebeurs die op 8 en 9 februari 2014 plaatsvond te Houten. Op de exposantenlijst van de emigratiebeurs te Houten stond droomvilla in Zuid-Afrika vermeld. 22 ## 6.5.2 Tweede brief van de Kansspelautoriteit van 1 april 2014 39. Op 1 april 2014 heeft de Kansspelautoriteit per e-mail een tweede brief gestuurd aan mevrouw K.-R.. 23 Daarin heeft de Kansspelautoriteit onder andere medegedeeld dat - a) betrokkenen via diverse Nederlandse media, 24 waaronder radio en geprinte media, sociale media en een stand op de migratiebeurs te Houten ruchtbaarheid hebben gegeven aan de verloting; 20 Stuk OA/2013/36/008. 21 Stuk OA/2013/036/013. 22 Stuk OA/2013/036/033. 23 Stuk OA/2013/036/15. - b) het hiervoor gestelde een overtreding oplevert van artikel 1, lid 1, onder b, van de Wok; - c) de websites van betrokkenen met de extensies .com, .be en .at en via klikken op de Nederlandse vlag naar de Nederlandstalige website leidden; - d) het nog steeds mogelijk was om loten te bestellen voor de loterij; - e) Nederlandse consumenten niet werden uitgesloten van deelname aan de huizenloterij en - f) er nog steeds sprake was van een overtreding van de Wok. 40. In de brief heeft de Kansspelautoriteit er nogmaals op gewezen dat de website niet toegankelijk mocht zijn voor consumenten uit Nederland en/of hen niet meer te accepteren voor deelname aan de loterij, hetgeen onder andere bereikt kon worden door de websites te blokkeren voor Nederlandse IP-adressen, Nederlandse deelnemers uit te sluiten van deelname en aan Nederlandse consumenten verkochte loten niet mee te nemen in de trekking. 41. De Kansspelautoriteit heeft betrokkenen een nieuwe termijn gesteld - uiterlijk 11 april 2014 - om de overtredingen van de Wok te beëindigen. Daarvoor dienden de volgende maatregelen getroffen te worden. - a) De websites met de extensies .be, .com en .at mochten consumenten in Nederland geen gelegenheid geven om aan de loterij deel te nemen; - b) De reeds aan Nederlanders verkochte loten mochten niet meedoen aan de trekking. - c) Deelname aan de loterij mocht niet in Nederland worden bevorderd. De Kansspelautoriteit verzocht om uiterlijk op 11 april 2014 aan haar te laten weten welke maatregelen getroffen waren om de overtredingen van de Wok te beëindigen. 42. Op diezelfde dag, 1 april 2014, ontving de Kansspelautoriteit een e-mail van mevrouw K.-R. waarin zij verzocht om een Duitse vertaling. 25 Ook diezelfde dag heeft de Kansspelautoriteit per e-mail laten weten geen Duitse vertaling te sturen omdat betrokkenen beiden de Nederlandse taal machtig zijn. 26 43. Op 10 april 2014 ontving de Kansspelautoriteit een brief van gemachtigde waarin hij stelde dat betrokkenen hem verzocht hadden om op te treden als advocaat en 24 Zie onder meer stuk OA/2013/036/002/005, 036/003 en 036/004/012. 25 Stuk OA/2013/036/018. 26 Stuk OA/2013/036/019. Datum 14 augustus 2014 Ons kenmerk 8432 / 00.033.584 - gemachtigde. Gemachtigde verzocht om uitstel zodat hij uiterlijk 16 april 2014 kon reageren. 27 44. Per e-mail van 14 april 2014 heeft de Kansspelautoriteit gemachtigde laten weten hiermee akkoord te gaan. 28 45. Op 17 april heeft een toezichthouder van de Kansspelautoriteit de websites winjouwdroomvilla.be, winyourdreamvilla.com en traumvillagewinnen.at onderzocht. Daarbij werd onder andere het volgende vastgesteld: - a) Nadat de Nederlandse vlag werd aangeklikt, werd op alle websites een Nederlandstalige versie van de website weergegeven. - b) Er waren nieuwe nieuwsberichten geplaatst. - c) De optie &amp;lt;Netherlands&amp;gt; was niet langer aanwezig in de selectielijst van landen in het registratieformulier. De optie &amp;lt;others non listed&amp;gt; kon wel geselecteerd worden. - d) De overige onderzochte delen van de websites kwamen overeen met hetgeen was vastgesteld tijdens de onderzoeken van 18 maart 2014 en 31 maart 2014. 46. Op 17 april 2014 heeft de Kansspelautoriteit een brief ontvangen van gemachtigde waarin hij verzocht om de organisator tot 1 mei 2014 in de gelegenheid te stellen om deelname vanuit Nederland onmogelijk te maken. 29 ## 6.5.3 Derde brief van de Kansspelautoriteit van 24 april 2014 47. Op 24 april heeft de Kansspelautoriteit per e-mail een brief gestuurd aan gemachtigde. 30 Daarin heeft de Kansspelautoriteit onder andere vastgesteld dat - a) Nederlandse deelnemers nog steeds in de gelegenheid waren om loten te kopen en dat de overtreding van de Wok derhalve voortduurde; - b) zij nog steeds geen reactie had ontvangen over de maatregelen die moesten worden genomen om deelname van Nederlandse deelnemers tegen te gaan en die moesten voorkomen dat al aan Nederlanders verkochte loten werden meegenomen in de trekking; 27 Stuk OA/2013/036/022. 28 Stuk OA/2013/036/023. 29 Stuk OA/2013/036/026. 30 Stukken OA/2013/036/027 en OA/2013/036/028. - c) betrokkenen ervoor dienden te zorgen dat de websites niet langer op Nederland waren gericht; zij dat konden realiseren door een IP-blokkade, dan wel door - niet langer de betaalmogelijkheid iDeal aan te bieden; - geen website met een .nl-extensie te gebruiken; - Nederland expliciet in de algemene voorwaarden te noemen als land van waaruit deelname niet mogelijk was; - bij het registratieformulier te vermelden dat consumenten uit Nederland niet konden deelnemen; - geen Nederlandse telefoonnummers te vermelden; - geen Nederlandse vlaggen weer te geven bij de taalkeuze; - via nieuwsberichten op de site te vermelden dat Nederlandse deelnemers niet konden deelnemen en - geen reclame te maken die is gericht op Nederlandse consumenten. 48. Op 1 mei 2014 ontving de Kansspelautoriteit een brief van gemachtigde 31 waarin hij schreef dat er geen sprake was van het gebruik van het betaalmiddel iDeal en dat hij geen wettelijke grondslag zag voor het verbod van het plaatsen van een Nederlandse vlag en evenmin voor de eis dat bij het aanmeldformulier moest worden vermeld dat Nederlandse consumenten niet mogen deelnemen. Hij deelde voorts mee dat 'hoewel belanghebbende zich daartoe niet verplicht voelde zij [heeft] geprobeerd de Kansspelautoriteit zoveel als mogelijk tegemoet te komen' en dat de registratie per 1 mei 2014 was stopgezet. ## 6.6 Derde onderzoek website droomvilla op 6 mei 2014 49. Op 6 mei 2014 heeft een toezichthouder van de Kansspelautoriteit de websites winjouwdroomvilla.be, winyourdreamvilla.com en traumvillagewinnen.at vastgelegd en onderzocht. 32 Vastgesteld werd dat - a) de Nederlandse vlag was vervangen door een Belgische; - b) alle genoemde websites na het aanklikken van de Belgische vlag in de Nederlandse taal werden weergegeven; - c) op de homepages van de genoemde websites een bericht was geplaatst dat de registratie van loten per 1 mei 2014 was gestopt; - d) in de algemene voorwaarden Nederland specifiek werd genoemd als land waar het niet is toegestaan om mee te doen aan een huizenloterij; 31 Stuk OA/2013/036/030. 32 Stuk OA/2013/036/031. - e) op de registratiepagina van de genoemde websites was vermeld dat registreren per 1 mei 2014 niet meer mogelijk was en - f) het registratieformulier niet langer aanwezig was. ## 6.7 Aanbieding loten na 1 mei 2014 50. Op 22 mei 2014 heeft de Kansspelautoriteit een melding ontvangen over een e-mailbericht van 7 mei 2014. 33 Het e-mailbericht van 7 mei 2014 was afkomstig van Droomvilla Verloting Mountain View en gericht aan een e-mailadres, eindigend op @planet.nl. In dat bericht, met als titel ALLERLAATSTE LOOTJES , werden de ontvangers van de e-mail uitgenodigd om de laatste lootjes voor de loterij te bestellen. Deze laatste lootjes werden aangeboden in pakketjes van vijf loten à € 225,- per pakket. In het e-mailbericht was een link opgenomen die doorlinkte naar de Nederlandstalige pagina traumvillagewinnen.at/nl/allerlaatste-lootjes-. 51. Het e-mailbericht was niet aan de ontvanger persoonlijk gericht maar gezien de aanhef ( Beste Deelnemers ) gericht aan een grotere groep personen. Dat betekent dat ook na 1 mei 2014 nog is doorgegaan met het aanbieden van loten in Nederland. 52. Overigens is dit zelfde bericht ook aangetroffen via een Twitterbericht dat op 7 mei 2014 is verstuurd en op diezelfde dag door de Kansspelautoriteit is aangetroffen. 34 Het Twitterbericht verwijst naar de website overhaar.nl. In het weblog op deze website werd de verloting van villa Mountain View beschreven. 35 Volgens het weblog waren er nog 375 loten beschikbaar die werden verkocht in sets van vijf loten à € 225,- per set. Er was tevens een link aanwezig die doorverwees naar een pagina op de website http://us3.campaign-archive2.com, waarop een Nederlandstalig nieuwsbericht te zien was met als titel ALLERLAATSTE LOOTJES over de verloting van villa Mountain View. 36 Ook dit bericht hield in dat er nog 375 loten beschikbaar waren die werden verkocht in sets van vijf loten à € 225,- per set. 33 Stuk OA/2013/036/037. 34 Stuk OA/2013/036/032/001. 35 Stuk OA/2013/036/032/002. 36 Stuk OA/2013/036/032/005. Verspreiding vond plaats via het bedrijf Mailchimp dat zich bezighoudt met het verspreiden van gerichte marketing aan de klantenbestanden van bedrijven, stuk OA/2013/036/032/007. Datum 14 augustus 2014 Ons kenmerk 8432 / 00.033.584 14 augustus 2014 Ons kenmerk 8432 / 00.033.584 53. Onderaan het bericht was een link geplaatst die de bezoeker doorgeleidde naar een deel van de website traumvillagewinnen.at, dat niet via het menu op die website te bereiken was. 37 Op dat deel van de website kon de bezoeker aangeven of hij interesse had om sets van vijf loten voor € 225,- te bestellen. 54. Bovenaan het bericht met als titel ALLERLAATSTE LOOTJES stond de tekst Past Issues . 38 Nadat een toezichthouder van de Kansspelautoriteit daarop klikte, verscheen het menu &amp;lt;Email Campaign Archive&amp;gt;. Daarin stonden vier berichten over de loterij vermeld, alle gedateerd op 7 mei 2014. Nadat de toezichthouder op de Nederlandstalige link had geklikt, werd hij doorgeleid naar een deel van de website traumvillagewinnen.at, dat niet via het menu op die website te bereiken was. 39 Op dat deel van de website kon de bezoeker aangeven of hij interesse had om sets van vijf loten voor € 225,- te bestellen. De e-mails zijn verspreid door het bedrijf 'Mailchimp' en waren bedoeld om klanten die reeds eerder een of meer loten hadden gekocht op 7 mei 2014 zijn benaderd om meer loten te kopen. 40 ## 6.8 Afronding van het onderzoek en opstellen van het rapport 55. Op 28 mei 2014 is het onderz</t>
  </si>
  <si>
    <t>KSA__https___kansspelautoriteit.nl_sites_default_files_sanctiebesluit_villa_mountain_view.txt::Rechtshandeling</t>
  </si>
  <si>
    <t>legt [61785:61790]</t>
  </si>
  <si>
    <t>legt [61785:61789]</t>
  </si>
  <si>
    <t>[...] chiedt door enige kansbepaling waarop de deelnemers geen overwegende invloed kunnen uitoefenen, en waarvoor geen vergunning is verleend; - b. rekent deze overtreding toe aan betrokkene 1 en betrokkene 2; - c. legt voor deze overtreding een boete op à € 80.000,-. 's-Gravenhage, 14 augustus 2014 De Raad van Bestuur van de Kansspelautoriteit, w.g. J.J.H. Suyver voorzitter 8432 / 00.033.584 ## Bezwaar Tegen [...]</t>
  </si>
  <si>
    <t>KSA__https___kansspelautoriteit.nl_sites_default_files_sanctiebesluit_villa_mountain_view.txt::Rechtsobject</t>
  </si>
  <si>
    <t>boete [61817:61823]</t>
  </si>
  <si>
    <t>boete [61817:61822]</t>
  </si>
  <si>
    <t>[...] waarop de deelnemers geen overwegende invloed kunnen uitoefenen, en waarvoor geen vergunning is verleend; - b. rekent deze overtreding toe aan betrokkene 1 en betrokkene 2; - c. legt voor deze overtreding een boete op à € 80.000,-. 's-Gravenhage, 14 augustus 2014 De Raad van Bestuur van de Kansspelautoriteit, w.g. J.J.H. Suyver voorzitter 8432 / 00.033.584 ## Bezwaar Tegen dit besluit kan degene wiens bela [...]</t>
  </si>
  <si>
    <t>## OPENBAAR
Besluit van de raad van bestuur van de Kansspelautoriteit als bedoeld in artikel 35a van de Wet op de kansspelen tot oplegging van een boete aan Tipico Co. Ltd.
Zaak: 13851
Kenmerk: 14165 / 01.246.366
Openbaarmaking onder kenmerk: 14165/01.247.948
## Besluit
## 1 Inleiding
1. De raad van bestuur van de Kansspelautoriteit (hierna: de Kansspelautoriteit) is belast met het toezicht op de naleving van de Wet op de kansspelen (hierna: Wok). De Wok bevat een verbod op het gelegenheid geven tot deelname aan kansspelen zonder vergunning. Het handhaven van dit verbod is één van de prioriteiten van de Kansspelautoriteit. Onduidelijk is immers of de aanbieders van ongereguleerde kansspelen voldoende betrouwbaar zijn en of zij de speler voldoende beschermen. Deze situatie is bijzonder onwenselijk. Bij de aanpak van online aangeboden kansspelen richt de Kansspelautoriteit zich in eerste instantie op aanbieders die zich (mede) richten op Nederland en/of de identiteit van hun klanten niet op zichtbare wijze verifiëren voordat het inschrijvingsproces voltooid is.
## 2 Onderzoek naar website en betrokkenen
## 2.1 De website
## 2.1.1 Eerste onderzoek website
2. De Kansspelautoriteit heeft op 10 januari 2020 de website www.tipico.com (hierna: de website) onderzocht. 1  Daarbij is onder meer het volgende gebleken:
3. Algemeen
- a. De website was bereikbaar vanaf een Nederlands IP-adres;
1  Stuk 13420.018/01.066.504.
&lt;!-- image --&gt;
## Kansspelautoriteit
&lt;!-- image --&gt;
- b. Op de website werden (live) sportweddenschappen en (live) casinospelen aangeboden; 2
- c. Op de website stond vermeld dat Tipico Co Ltd. (hierna: Tipico) is gevestigd in Malta en daar een vergunning heeft; 3
- d. Daarnaast stond er onder meer vermeld dat Tipico bovengemiddeld hoge wedquoteringen en een omvangrijk aanbod van live weddenschappen biedt en bovendien kan de speler 'in ons online casino populaire spellen als roulette, black jack, Texas Hold'em, slotmachines en 50 andere spellen spelen' [vertaling door de Kansspelautoriteit]; 4
- e. Bij het inschrijvingsproces werd de optie 'Netherlands' aangeboden in een aantal keuzemenu's; 5
- f. Bij het inschrijvingsproces werd de leeftijd niet zichtbaar geverifieerd voordat het inschrijvingsproces was voltooid; 6
- g. Nergens op de website werd vermeld dat het niet toegestaan is om de betreffende spelen aan te bieden in Nederland of om vanuit Nederland daaraan deel te nemen;
- h. Er werd een bonus toegezegd bij de eerste storting. 7
## 4. Algemene voorwaarden 8
- a. Door een account te openen sluit de speler een contract met Tipico (I.4);
- b. Tipico is gevestigd te Malta (I.1);
- c. Tipico beschikt over een vergunning die is verleend door de Malta Gaming Authority (hierna: MGA) (I.1);
- d. Tipico beoogt geen spellen aan te bieden in landen waar dat verboden is. Spelers mogen alleen gebruik maken van de diensten die Tipico aanbiedt als de wetten van het land van waaruit van die diensten gebruik wordt gemaakt dat toestaan (I.6);
- e. Als de speler een account opent, moet hij onder meer verklaren dat hij van 'legal age' is (II.1 sub a);
- f. Tipico behoudt zich het recht voor om te verzoeken om bewijs en documentatie om de door de speler verstrekte informatie te verifiëren (II.3);
- g. In het bijzonder kan Tipico de speler verzoeken om bewijs van zijn leeftijd te verstrekken en kan Tipico de opening van een account afhankelijk maken van het bereiken van de leeftijd van 18 jaar (II.4);
2  Onder andere stukken 13420.018/01.066.504/01 en -13 en 13420.018/01.066.504/14.
3  Stuk 13420.018/01.066.504/01.
4  Stuk 13420.018/01.066.504/01.
5  Stuk 13420.018/01.066.504/08.
6  Stuk 13420.018/01.066.504/08 tot en met -11.
7  Stuk 13420.018/01.066.504/10.
8  Stuk 13420/018/01.066.504/03.
&lt;!-- image --&gt;
Kansspelautoriteit Datum 7 september 2021 Ons kenmerk
14165/01.247.948
- h. Als een speler langer dan twaalf maanden niet heeft ingelogd, boekt Tipico maandelijks vijf euro af van de rekening van de speler tot dat geld op is (V.1);
- i. Tipico is niet verplicht om toezicht te houden op het speelgedrag van spelers, maar behoudt zich het recht voor om beperkingen op te leggen aan accounts als zij dat nodig acht vanuit het belang van verantwoord spelen (VII.4);
- j. Tipico kan besluiten een bonus uit te keren als aan bepaalde criteria is voldaan (IX.1).
## 2.1.2 Tweede onderzoek website
5. De Kansspelautoriteit heeft op 30 april 2020, 1 mei 2020 en 8 mei 2020 de website onderzocht. 9  Daarbij is onder meer het volgende gebleken:
## 6. Algemeen
- a. De website was bereikbaar vanaf een Nederlands IP-adres;
- b. De algemene voorwaarden van Tipico waren identiek aan de algemene voorwaarden zoals vastgelegd op 10 januari 2020; 10
- c. Op de website werden (live) sportweddenschappen aangeboden, 11  alsmede (live) casinospellen (waaronder roulette en blackjack) en speelautomaten (slots); 12
- d. Op de website was een overzicht van gewonnen prijzen weergegeven; 13
- e. Het minimale bedrag dat op de speelrekening gestort moest worden, was € 10,terwijl het maximale bedrag afhankelijk was van de gekozen betaalmethode waarbij dat bedrag kon oplopen tot maximaal € 21.000,- per week; 14
- f. Er waren bonussen en promotie-acties; 15
- g. De website is geregistreerd door Tipico; 16
- h. Nergens op de website werd vermeld dat het niet toegestaan is om de betreffende spelen aan te bieden in Nederland of om vanuit Nederland daaraan deel te nemen;
- i. Er kon conform een Nederlandstalig betaalproces geld overgemaakt worden. 17
9  Stuk 13851/01.070.888.
10  Stuk 13851/01.070.888/03.
11  Stuk 13851/01.070.888/12 en -16.
12  Onder andere stukken 13851/01.070.888/17A, -18A en -19.
13  Stuk 13851/01.070.888/01D.
14  Stukken 13851 /01.070.888/23 tot en met -27.
15  Stukken 13851/01.070.888/21A tot en met -21J.
16  Stuk 13851/01.070.888/29.
17  Stukken 13851/01.070.888/11A tot en met -11F.
## 2.1.3 Storting
7. Op 22 juni 2020 heeft een toezichthouder van de Kansspelautoriteit een storting van € 10,- verricht op de website via de betaalmethode 'Sofort'. 18  Nadat de toezichthouder op 'Deposit € 10.00' klikte, verscheen er een Nederlandstalig menu. 19  Blijkens het afschrift van de overboeking was Tipico de ontvangende partij. 20
## 2.1.4 Derde onderzoek website
8. De Kansspelautoriteit heeft op 2 juli 2020 de website opnieuw onderzocht. 21  Daarbij is onder meer het volgende gebleken:
## 9. Algemeen
- a. De website was bereikbaar vanaf een Nederlands IP-adres;
- b. De algemene voorwaarden van Tipico waren identiek aan de algemene voorwaarden zoals vastgelegd op 10 januari 2020 en 30 april 2020; 22
- c. Op de website werden (live) sportweddenschappen aangeboden, 23  alsmede (live) casinospellen (waaronder roulette en blackjack) en speelautomaten (slots); 24
- d. Een van de onderzochte spellen was 'Quantum Roulette Live', dat het uiterlijk had van een virtuele versie van het casinospel roulette zoals genoemd in artikel 4, eerste lid, van de Beschikking casinospelen 1996; 25
- e. Het minimale bedrag dat op de speelrekening gestort moest worden, was € 10,terwijl het maximale bedrag afhankelijk was van de gekozen betaalmethode waarbij dat bedrag kon oplopen tot maximaal € 21.000,- per week; 26
- f. Er waren bonussen en promotie-acties; 27
- g. De website is geregistreerd door Tipico; 28
- h. Nergens op de website werd vermeld dat het niet toegestaan is om de betreffende spelen aan te bieden in Nederland of om vanuit Nederland daaraan deel te nemen;
- i. Er kon conform een Nederlandstalig betaalproces geld overgemaakt worden. 29
18  Stuk 13851/01.072.492.
19  Stuk 13851/01.072.492/06.
20  Stuk 13851/01.072.492/13.
21  Stuk 13851/01.073.002.
22  Stuk 13851/01.073.002/03.
23  Stukken 13851/01.073.002/01C en -16.
24  Stukken 13851/01.073.002/17A tot en met -17C, -18A tot en met -18F, -19, -20A en -20B.
25  Stuk 13851/01.073.002/18E.
26  Stukken 13851 /01.073.002/22 tot en met -28.
27  Stukken 13851/01.073.002/21A tot en met -21K.
28  Stuk 13851/01.073.002/30.
29  Stukken 13851/01.073.002/11D1 tot en met -11G.
&lt;!-- image --&gt;
14165/01.247.948
&lt;!-- image --&gt;
## 2.1.5 Onderzoek betalingsverkeer
10. Bij brieven van 3 juli 2020 en 31 juli 2020 heeft een toezichthouder van de Kansspelautoriteit informatie gevorderd van [bedrijf 1]. 30  Bij e-mailbericht van 11 augustus 2020 heeft [bedrijf 1] de gevraagde informatie aan de Kansspelautoriteit gezonden.
11. Uit deze informatie bleek onder meer dat [bedrijf 2], gevestigd te Gauting, Duitsland en Tipico, gevestigd te St. Julians, Malta overeen zijn gekomen dat het betaalsysteem sofortueberweisung.de, buiten Duitstalige landen ook wel Sofort genoemd, wordt geïntegreerd in de website die Tipico exploiteert.
12. Bij e-mailbericht van 12 augustus 2020 werd namens [bedrijf 1] verklaard dat er in de periode 30 april 2020 tot en met 31 juli 2020 in totaal 4974 transacties van Nederlandse bankrekeningen naar de website werden verricht.
## 2.1.6 Vierde onderzoek website
13. De Kansspelautoriteit heeft op 31 juli 2020 en 14 augustus 2020 de website opnieuw onderzocht. 31  Daarbij is onder meer het volgende gebleken:
## 14. Algemeen
- a. De website vermeldde dat Tipico is gevestigd op Malta en dat zij over een vergunning van de MGA beschikt; 32
- b. Daarnaast staat er onder meer vermeld dat Tipico bovengemiddeld hoge wedquoteringen biedt en bovendien kan de speler 'in ons online casino populaire spellen als roulette, black jack, Texas Hold'em, slotmachines en 50 andere spellen spelen' [vertaling door de Kansspelautoriteit]; 33
- c. Uit de algemene voorwaarden bleek onder meer dat Tipico is gevestigd op Malta en dat zij over een vergunning van de MGA beschikt; 34
- d. Onder het kopje 'Legal Notice' staat onder meer vermeld dat Tipico is ingeschreven bij de Kamer van Koophandel op Malta, dat zij aldaar gevestigd is, dat zij een vergunning van de MGA heeft en dat haar e-mailadres info@tipico.com is. 35
30  Stukken 13851/01.072.723 en 13851/01.072.807.
31  Stuk 13851/01.073.797.
32  Stuk 13851/01.073.797/01.
33  Stuk 13851/01.073.797/01.
34  Stuk 13851/01.073.797/01.
35  Stuk 13851/01.073.797/01.
14165/01.247.948
## 2.1.7 Onderzoek registers Malta
15. Uit het register van de Kamer van Koophandel van Malta blijkt dat [bedrijf 3] de aandeelhouder van Tipico is. 36  Verder is uit datzelfde register gebleken dat [bedrijf 4] aandeelhouder is van [bedrijf 3]. 37
16. Uit het register van de MGA blijkt dat aan Tipico een vergunning is verleend voor het aanbieden van kansspelen op onder meer de website www.tipico.com. 38  Ook is opnieuw gebleken dat deze website is geregistreerd door Tipico. 39
## 2.1.8 Vijfde onderzoek website
17. Ook op 14 en 15 september 2020 is de website onderzocht. Daarbij is onder meer het volgende gebleken:
- a. De website vermeldde dat Tipico is gevestigd op Malta en dat zij over een vergunning van de MGA beschikt; 40
- b. Daarnaast stond er onder meer vermeld dat Tipico bovengemiddeld hoge wedquoteringen en een omvangrijk aanbod van live weddenschappen biedt en bovendien kan de speler 'in ons online casino populaire spellen als roulette, black jack, Texas Hold'em, slotmachines en 50 andere spellen spelen' [vertaling door de Kansspelautoriteit]; 41
- c. Uit de algemene voorwaarden bleek onder meer dat Tipico is gevestigd op Malta en dat zij over een vergunning van de MGA beschikt; 42
- d. In het registratieformulier dient de klant aan te geven waar hij zich bevindt. Daarbij moet hij uit één van de slechts vier aangeboden opties kiezen. Eén van die vier opties is 'Netherlands'. 43  Bij het telefoonnummer is al een Nederlandse vlag ingevuld en het landnummer voor Nederland (+31); 44
- e. De toezichthouder kon zich succesvol inschrijven, ondanks dat uit de verstrekte gegevens bleek dat zij zich in Nederland bevond; 45
- f. De inschrijving werd voltooid zonder dat de leeftijd zichtbaar werd geverifieerd. 46
36  Stuk 13851/01.073.797/02.
37  Stuk 13851/01.073.797/03.
38  Stuk 13851/01.073.797/04.
39  Stuk 13851/01.073.797/05.
40  Stuk 13420.018/01.073.670/01A.
41  Stuk 13420.018/01.073.670/01A.
42  Stuk 13420.018/01.073.670/02.
43  Stuk 13420.018/01.073.670/20.
44  Stuk 13420.018/01.073.670/19.
45  Stuk 13420.018/01.073.670/24.
46  Stuk 13420.018/01.073.670/24-30.
&lt;!-- image --&gt;
14165/01.247.948
## 2.2 De betrokkene
## 18. Tipico
Tipico geeft gelegenheid tot deelname aan kansspelen op de website. Dat blijkt onder meer uit het volgende.
Blijkens de informatie op de website 47  exploiteert Tipico de website. Zo vermeldt zij onder andere dat zij bovengemiddelde quoteringen biedt, een uitgebreid aanbod heeft van live weddenschappen en dat er diverse casinospelen gespeeld kunnen worden in het online casino van Tipico. Zij vermeldt daarbij tevens dat zij over een kansspelvergunning beschikt van de MGA. Tipico is de wederpartij die betalingen van spelers incasseert. 48  Bovendien blijkt uit verklaringen en documenten die [bedrijf 1] heeft overgelegd dat Tipico overeenkomsten heeft gesloten ten behoeve van de exploitatie van de website. 49  De website is geregistreerd door Tipico. 50
19. Tipico is gevestigd op Malta, is daar ingeschreven in het register van de Kamer van Koophandel en beschikt over een vergunning om aldaar kansspelen aan te bieden. De aandelen in Tipico zijn in handen van [bedrijf 3]. 51  De aandelen van [bedrijf 3] zijn in handen van [bedrijf 4].  52
## 3 Rapport
20. De Kansspelautoriteit heeft op grond van de hierboven genoemde onderzoeken op 8 december 2020 een rapport opgesteld. In het rapport is geconstateerd dat Tipico door middel van de website gelegenheid heeft gegeven om mede te dingen naar prijzen of premies, waarbij de aanwijzing van de winnaars geschiedt door enige kansbepaling waarop de deelnemers in het algemeen geen overwegende invloed kunnen uitoefenen, terwijl daarvoor geen vergunning is verleend. Dat is een overtreding van artikel 1, eerste lid, aanhef en onder a, van de Wok.
21. Het rapport is met de bijbehorende stukken per reguliere post verzonden aan: Tipico Co. Limited, Tipico Tower, Vjal Portomaso, St Julian's STJ4011, Malta; en per e-mail verzonden aan: compliance@tipico.com.
47  Stuk 13851/01.070.888/16, p. 12.
48  Stuk 13851/01.072.492/01 tot en met -13.
49  Stuk 13851/01.074.
50  Stuk 13851/01.073.002/30.
51  Stuk 13851/01.073.797/03.
52  Stuk 13851/01.073.797/03.
&lt;!-- image --&gt;
14165/01.247.948
## 4 Zienswijze
## 4.1 Procedureel
22. Bij brief van 25 januari 2021 hebben [gemachtigde 1] en [gemachtigde 2] namens Tipico een schriftelijke zienswijze op het rapport gegeven.
23. Op 4 mei 2021 hebben [gemachtigde 1] en [gemachtigde 3] namens Tipico hun zienswijze mondeling toegelicht.
## 4.2 Inhoudelijk
24. Namens Tipico is in de kern het volgende aangevoerd:
- a. Er is geen sprake van een overtreding want het aanbod is niet op Nederland gericht;
- b. Tipico verifieert de leeftijd van haar klanten.
25. De Kansspelautoriteit zal hieronder op de geëigende plek ingaan op deze punten.
## 5 Feitelijk kader
## 5.1 Onderzoek website
26. Uit het bovenstaande volgt dat er kansspelen zijn aangeboden op de website. Tipico beschikt niet over een vergunning van de Kansspelautoriteit. Deze feiten worden door niemand betwist.
## 5.2 De aangeboden spellen
27. De op de website aangeboden spellen zijn aan te merken als kansspelen: sportweddenschappen, virtuele kansspelautomaten (slots) en casinospelen.
28. Er wordt voor de casinospelen en slots gebruikgemaakt van een random number generator. Ook sportweddenschappen zijn kansspelen.
29. Met deelname aan de kansspelen kan worden meegedongen naar prijzen of premies. Dat is onder andere gebleken uit een lijst van gewonnen prijzen.
&lt;!-- image --&gt;
14165/01.247.948
&lt;!-- image --&gt;
30. Om deel te kunnen nemen aan de kansspelen kan de speler een account aanmaken en geld storten door middel van bijvoorbeeld Sofort. De identiteit van de speler, waaronder zijn leeftijd, wordt niet op een zichtbare wijze vastgesteld.
## 6 Juridische beoordeling
## 6.1 De wettelijke bepalingen
31. Artikel 1, eerste lid, aanhef en onder a, van de Wok bepaalt dat het verboden is om gelegenheid te geven om mede te dingen naar prijzen of premies, indien de aanwijzing der winnaars geschiedt door enige kansbepaling waarop de deelnemers geen overwegende invloed kunnen uitoefenen, tenzij daarvoor ingevolge deze wet vergunning is verleend.
32. Artikel 35a, eerste lid, van de Wok bepaalt dat de Kansspelautoriteit een bestuurlijke boete kan opleggen wegens overtreding van onder andere de voorschriften vastgesteld bij of krachtens artikel 1, eerste lid, onder a.
33. Artikel 35a, tweede lid, van de Wok bepaalt dat de bestuurlijke boete die voor een overtreding als bedoeld in het eerste lid kan worden opgelegd ten hoogste het bedrag van de zesde categorie, bedoeld in artikel 23, vierde lid, van het Wetboek van Strafrecht of, indien dat meer is, tien procent van de omzet in het boekjaar voorafgaande aan de beschikking.
34. Artikel 23, vierde lid, van het Wetboek van Strafrecht bepaalt dat het hiervoor bedoelde bedrag van de zesde categorie € 870.000,- is.
## 6.2 Handhavingsbeleid van de Kansspelautoriteit
35. Voor het aanbieden van kansspelen waarmee prijzen kunnen worden gewonnen, is in Nederland een vergunning vereist. Iedereen die toch zulke kansspelen aanbiedt zonder over een vergunning te beschikken is dus in overtreding. De Kansspelautoriteit is bevoegd om al deze overtreders te beboeten of om anderszins handhavende maatregelen jegens hen te nemen. 53
36. Bij de aanpak van exploitanten die zonder vergunning online kansspelen aanbieden, richt de Kansspelautoriteit zich in de eerste plaats op alle aanbieders die hun aanbod specifiek en onmiskenbaar op Nederland richten. 54  Deze gerichtheid op
53  Zie in dit verband ook Rb Den Haag 13 juli 2017, ECLI:NL:RBDHA:2017:7645 (Onisac &amp;amp; Mansion), r.o. 5.1.
54  https://kansspelautoriteit.nl/aanpak-misstanden/aanpak-illegale-0/.
&lt;!-- image --&gt;
Nederland kan blijken uit onder andere het gebruik van de Nederlandse taal, een website met een .nl-extensie, reclame maken op tv, radio of gedrukte media, het gebruik van Nederlandstalige domeinnamen of het gebruik van betaalmiddelen die uitsluitend of grotendeels door Nederlanders worden gebruikt. Een illegale aanbieder die niet aan deze prioriteringscriteria voldoet, komt uiteraard ook voor handhaving in aanmerking, maar heeft een lagere prioriteit. Voor de vragen of artikel 1, eerste lid, aanhef en onder a, van de Wok is overtreden en of de Kansspelautoriteit bevoegd is daartegen op te treden, is overigens niet relevant of het aanbod primair op Nederland is gericht. 55  De rechtbank Den Haag oordeelde daarover al meermaals in duidelijke bewoordingen: ' Het niet voldoen aan deze prioriteringscriteria betekent overigens niet dat van een overtreding geen sprake is, of dat [de Kansspelautoriteit] niet handhavend zou mogen optreden .' 56
37. Per 1 januari 2020 heeft de Kansspelautoriteit een nieuw prioriteringscriterium aan haar handhavingsbeleid toegevoegd. Illegale aanbieders die de leeftijd van hun spelers niet zichtbaar verifiëren voordat de inschrijvingsprocedure is voltooid, worden sindsdien met voorrang aangepakt. Dit hangt samen met één van de belangrijkste prioriteiten van de Kansspelautoriteit, namelijk het voorkomen dat minderjarigen deelnemen aan kansspelen. 57
## 6.3 Gelegenheid geven
38. Zoals de Kansspelautoriteit hierboven al heeft geconcludeerd heeft Tipico kansspelen aangeboden zonder over de vereiste vergunning te beschikken. Daarmee heeft zij artikel 1, eerste lid, aanhef en onder a, van de Wok overtreden.
39. Volgens Tipico volgt uit het Ladbrokesarrest 58  dat er slechts sprake kan zijn van een overtreding als het aanbod mede gericht is op Nederland, wat volgens haar in casu niet het geval is. Daartoe voert zij aan dat de inrichting van de website daarvoor geen aanwijzingen biedt. Zo is het aanbod in de Duitse taal en is de Nederlandse taal daarentegen niet beschikbaar. Er worden alleen Duitse en Oostenrijkse partners genoemd. Tipico heeft nooit geprobeerd om Nederlandse spelers te werven en vermeldt niet op haar website dat zij in Nederland kansspelen aanbiedt. Er is evenmin sprake van andere aanwijzingen zoals typisch Nederlandse symbolen of iDeal. Bovendien is in de algemene voorwaarden bepaald dat spelers niet mogen meedoen vanuit landen waar dat verboden is.
55  ABRvS 22 februari 2017, ECLI:NL:RVS:2017:484 (Bluemay), r.o. 5.
56  Rb. Den Haag 3 februari 2017, SGR 16/5013 (Bluemay II), r.o. 4, 10 augustus 2016, SGR 14/7589 en 15/778 (Imperial), r.o. 6 en 20 april 2016, ECLI:NL:RBDHA:2016:4235 (Bluemay), r.o. 4.3.
57  https://kansspelautoriteit.nl/nieuws/2019/december/leeftijdsverificatie/.
58  HR 18 februari 2005, ECLI:NL:HR:2005:AR4841, r.o. 3.3.
&lt;!-- image --&gt;
40. De Kansspelautoriteit overweegt dat vooropgesteld moet worden dat uit vaste rechtspraak volgt dat de Wok is overtreden als vaststaat dat de betreffende website toegankelijk is vanuit Nederland. 59  Niet bestreden is dat de deelname vanuit Nederland pas onmogelijk is gemaakt nadat Tipico het rapport van de Kansspelautoriteit heeft ontvangen. Daaruit volgt dat de website daarvoor steeds toegankelijk was vanuit Nederland. Dat blijkt eveneens uit het onderzoek dat de Kansspelautoriteit naar de website heeft verricht, waaronder het feit dat de toezichthouder zich kon inschrijven en de speelrekening die bij het account hoorde, kon crediteren.
41. Voor zover nog relevant, zijn er, anders dan Tipico stelt, wel degelijk aanwijzingen dat zij zich (mede) op Nederland richtte. Zo was het proces waarin de toezichthouder een betaling aan Tipico heeft verricht, volledig in de Nederlandse taal. Dat Tipico dat onderdeel van haar dienst heeft uitbesteed aan een derde doet daar niets aan af. Verder bleek dat in de inschrijfprocedure 'Netherlands' één van de slechts vier mogelijke opties was die door Tipico werd aangeboden. 60  Al voordat de toezichthouder op 'Netherlands' had geklikt, verscheen er bovendien in het invulveld voor het mobiele telefoonnummer al een Nederlandse vlag met het landnummer voor Nederland (+31). 61  Naar het oordeel van de Kansspelautoriteit blijkt hieruit voldoende dat de website mede op Nederland was gericht. Hetgeen Tipico daarover gesteld heeft, doet daar niets aan af.
## 6.4 Geen controle en verificatie van de identiteit
42. Een toezichthouder van de Kansspelautoriteit heeft op 10 januari 2020 succesvol een account aangemaakt op de website. Daarbij werd tijdens de inschrijvingsprocedure om een aantal persoonsgegevens gevraagd. Tijdens die procedure is echter op geen enkel moment gevraagd om enig bewijs waarmee deze gegevens geverifieerd konden worden. Op 22 juni 2020 heeft een andere toezichthouder van de Kansspelautoriteit € 10,- overgemaakt op de speelrekening die bij het account hoorde dat op 10 januari 2020 was aangemaakt. De toezichthouder kon dus van het aanbod van Tipico gebruik maken zonder dat Tipico heeft vastgesteld of zij daadwerkelijk meerderjarig was. Er is overigens op geen enkele wijze gebleken dat Tipico überhaupt heeft vastgesteld met wie zij in zee is gegaan. Op 14 september 2020 heeft een andere toezichthouder nogmaals succesvol een account aangemaakt op de website. Ook deze keer heeft Tipico
59  Bijv. rechtbank Den Haag 31 augustus 2020, ECLI:NL:RBDHA:2020:8458, r.o. 4.3.
60  Stuk 13420.018/01.073.670/20. Die vier opties waren: Germany', 'Austria', 'Netherlands' en 'Malta'.
61  Stuk 13420.018/01.073.670/19.
&lt;!-- image --&gt;
- gedurende het inschrijvingsproces niet laten zien dat zij de leeftijd of andere identiteitsgegevens van de betreffende toezichthouder heeft geverifieerd.
43. Tipico voert aan dat zij de leeftijd van haar klanten verifieert, maar zij heeft deze stelling niet nader onderbouwd. Verder verwijst zij naar de algemene voorwaarden waaruit zou blijken dat minderjarigen niet mogen deelnemen. Hierover merkt de Kansspelautoriteit in de eerste plaats op dat een eventuele vermelding in de algemene voorwaarden van een verbod op deelname door minderjarigen geen vorm van leeftijdsverificatie is. Zo'n bepaling verhindert minderjarigen evenmin om daadwerkelijk aan de kansspelen deel te nemen.
44. In de tweede plaats merkt de Kansspelautoriteit op dat het niet duidelijk is op welke bepaling Tipico doelt. Volledigheidshalve wordt hieronder daarom een aantal bepalingen langsgelopen die Tipico in dit verband mogelijk op het oog heeft.
45. In artikel I.6 is onder meer bepaald dat het de eigen verantwoordelijkheid van de klant is om zich te houden aan de wetten van zijn land en zich ervan te verzekeren dat de wet hem daarbij geen beperkingen oplegt. Uit deze bepaling blijkt dat Tipico de verantwoordelijkheid voor naleving van de toepasselijke wetten geheel bij de speler legt. Het bevat in ieder geval geen aanwijzing dat Tipico voor zichzelf een rol ziet weggelegd om te controleren of de speler meerderjarig is.
46. In artikel II.1 is bepaald dat de speler door een account te openen verklaart dat hij 'of legal age' is. Er is niet nader toegelicht wat hieronder wordt verstaan. Wat daar ook van zij, de enkele impliciete verklaring van een speler dat hij 'of legal age' is, is uiteraard geen verificatie van diezelfde verklaring.
47. Artikel II.3 bepaalt dat de klant correcte informatie moet verstrekken bij de inschrijving. Tipico behoudt zich het recht voor om bewijs en documentatie te vragen wanneer zij dat wil. Artikel II.4 voegt daar nog aan toe dat Tipico in het bijzonder gedurende het inschrijvingsproces om bewijs van de leeftijd kan vragen en dat zij het recht om een account te openen, afhankelijk kan maken van het feit dat de klant de leeftijd van 18 jaar heeft bereikt.
48. Uit deze laatste twee artikelen blijkt dat als Tipico de door de klant verstrekte gegevens verifieert, zij dat doet door bij de klant nadere gegevens als bewijs op te vragen. Verificatie geschiedt echter alleen op verzoek van Tipico ' at its absolute discretion '. Het is dus geen vast onderdeel van de inschrijvingsprocedure, maar het gebeurt slechts wanneer Tipico daartoe beslist. In het bijzonder kan Tipico om bewijs vragen dat de opgegeven leeftijd klopt, maar ook dat gebeurt dus alleen in
&lt;!-- image --&gt;
die gevallen waarin Tipico besluit daar specifiek om te vragen. Ook kan het openen van een account afhankelijk worden gemaakt van de leeftijd van de klant, maar dat hoeft kennelijk niet. Hieruit volgt dat Tipico niet standaard de identiteit (en dus ook niet de leeftijd) van haar klanten verifieert. Hoe dan ook verifieert Tipico niet de leeftijd van de klant voordat de inschrijfprocedure voltooid is. Ten overvloede wijst de Kansspelautoriteit erop dat evenmin is gebleken dat Tipico minderjarige spelers daadwerkelijk weert van de website.
## 6.5 Conclusie overtreding
49. De Kansspelautoriteit stelt vast dat Tipico door middel van de website gelegenheid heeft gegeven om mede te dingen naar prijzen of premies, terwijl de aanwijzing van de winnaars geschiedt door enige kansbepaling waarop de deelnemers geen overwegende invloed konden uitoefenen. Tevens stelt de Kansspelautoriteit vast dat zij hiervoor geen vergunning heeft verleend. Bovendien stelt de Kansspelautoriteit vast dat de website mede gericht is op Nederland. Ten slotte stelt de Kansspelautoriteit vast dat Tipico de leeftijd van de speler niet zichtbaar verifieert voordat de inschrijvingsprocedure is voltooid en dat spelers gebruik kunnen maken van een account dat na die inschrijvingsprocedure is gecreëerd.
## 7 Overtreder
50. Blijkens het rapport biedt Tipico gelegenheid tot deelname aan de kansspelen op de website. 62  Op de website staan haar contactgegevens en vergunning vermeld. 63  De website waarop de kansspelen worden aangeboden, staat geregistreerd op naam van Tipico. 64  Blijkens de informatie op de website 65  exploiteert Tipico de website. Zo vermeldt zij onder andere dat zij bovengemiddelde quoteringen biedt, een uitgebreid aanbod heeft van live weddenschappen en dat er diverse casinospelen gespeeld kunnen worden in het online casino van Tipico.
51. Tipico wekt de indruk dat de spellen op de website worden aangeboden onder het toezicht van de MGA op grond van een vergunning die de MGA aan Tipico verleend heeft.
52. Eén van de toezichthouders van de Kansspelautoriteit heeft een account aangemaakt op de website. Daarna is de speelrekening die bij dat account hoort
62  Zie ook onderdeel 2.2 van dit besluit.
63  Bijv. stuk 13851/01.073.797/01.
64  Stuk 13851/01.073.002/30.
65  Stuk 13851/01.070.888/16, p. 12.
&lt;!-- image --&gt;
Kansspelautoriteit Datum 7 september 2021 Ons kenmerk
14165/01.247.948
gecrediteerd. Uit het bankafschrift blijkt dat Tipico de ontvangende partij is die de betalingen incasseert. 66  Uit een overeenkomst die [bedrijf 2] heeft overgelegd blijkt verder dat Tipico het betaalsysteem Sofort, heeft laten opnemen in de website. 67 Ook blijkt daaruit dat Tipico afspraken maakte over onder andere software en reclame ten behoeve van de exploitatie van de website. 68
53. Gelet op het voorgaande concludeert de Kansspelautoriteit dat Tipico gelegenheid geeft om deel te nemen aan kansspelen op de website.
## 8 Boete
## 8.1 Algemeen
54. De Kansspelautoriteit is ingevolge artikel 35a van de Wok bevoegd een boete op te leggen van ten hoogste het bedrag van de zesde categorie (artikel 23 van het Wetboek van Strafrecht) of - indien dit meer is - tien procent van de omzet in het boekjaar voorafgaand aan de beschikking. Het bedrag van de zesde categorie bedraagt met ingang van 1 januari 2020 € 870.000,-.
55. Bij de vaststelling van de boete houdt de Kansspelautoriteit rekening met de ernst van de overtreding en de mate waarin deze aan de overtreder kan worden verweten. Zo nodig houdt de Kansspelautoriteit rekening met de omstandigheden waaronder de overtreding is gepleegd.
56. Ingevolge artikel 3:4, tweede lid, van de Awb neemt de Kansspelautoriteit bij het bepalen van de hoogte van de boete het evenredigheidsbeginsel in acht. Op grond van deze bepaling mogen de voor één of meer belanghebbenden nadelige gevolgen van een besluit niet onevenredig zijn in verhouding tot de met het besluit te dienen doelen. Als algemene maatstaf geldt daarbij dat de hoogte van de boete zodanig dient te zijn dat deze de overtreder weerhoudt van nieuwe overtredingen (speciale preventie) en ook in algemene zin voor andere (potentiële) overtreders een afschrikkende werking heeft (generale preventie).
57. De Kansspelautoriteit neemt bij het bepalen van de hoogte van een op te leggen boete de Beleidsregels aanbieden kansspelen online zonder vergunning (hierna: de
66  Stuk 13851/01.072.492/01 tot en met -13.
67  Zie onder randnummer 14.
68  Stuk 13851/01.074.
&lt;!-- image --&gt;
- Beleidsregels) in acht. 69  De Beleidsregels zijn te vinden op de website van de Kansspelautoriteit. 70
58. De Kansspelautoriteit ziet zich thans gesteld voor de vraag of en zo ja, welke sanctie in dit geval passend is.
## 8.2 Ernst van de overtreding
59. De kansspelmarkt is geen gewone economische markt. Omdat financieel gewin kan optreden zonder dat daar een evenredige inspanning tegenover staat, is deze markt extra gevoelig voor fraude, bedrog en verslaving waarvan de consument de dupe kan worden. 71
60. Kansspelverslaving of onmatige deelneming aan kansspelen kan leiden tot (grote) financiële problemen bij de speler en van groot effect zijn op zijn omgeving. Bij ongereguleerd aanbieden van kansspelen is niet gewaarborgd dat opbrengsten worden afgedragen aan charitatieve, sportieve of culturele doelen, van limieten aan verliezen en minimale uitkeringspercentages. Bovendien worden er geen heffingen en belastingen afgedragen. Daarmee hebben deze kansspelaanbieders een negatief effect op reguliere aanbieders, die wel opbrengsten afdragen aan doelen van algemeen belang, de voorgeschreven limieten aan verliezen en uitkeringspercentages respecteren, heffingen en belasting betalen en hun financieel beheer daarop afstemmen. De opbrengst van een niet vergund kansspel kan eenvoudig worden aangewend voor individueel profijt, 72  wat de wijze waarop het kansspel wordt aangeboden, georganiseerd en gespeeld, kan beïnvloeden. Bij ongereguleerde kansspelen bestaat er bovendien een groter risico op gerelateerde criminaliteit, zoals witwassen.
61. De positie van deelnemers aan ongeregulee</t>
  </si>
  <si>
    <t>KSA__https___kansspelautoriteit.nl_sites_default_files_starscream_limited_17807_besluit_lod_20250121.txt::Besluitvormend Orgaan</t>
  </si>
  <si>
    <t>De raad van bestuur van de Kansspelautoriteit [27930:27975]</t>
  </si>
  <si>
    <t>de raad van bestuur van de Kansspelautoriteit [46:91]</t>
  </si>
  <si>
    <t>## Openbaar
Besluit van de Raad van Bestuur van de Kansspelautoriteit als bedoeld in artikel 35 van de Wet op de kansspelen.
Kenmerk: 01.017.613
## Samenvatting
De raad van bestuur van de Kansspelautoriteit heeft vastgesteld dat de BankGiro Loterij N.V. wervings- en reclameactiviteiten heeft gericht op minderjarigen. Er is namelijk geadverteerd voor kansspelen van de BankGiro Loterij N.V. op in ieder geval de websites: Scholieren.com, Fashionista.nl, Girlscene.nl, DonaldDuck.nl, Spel.nl, Spele.nl, Spelletjes.nl en Kleurplaten.nl. Met het adverteren op deze websites staat naar het oordeel van de raad van bestuur vast dat de BankGiro Loterij N.V. zich met haar wervings- en reclameactiviteiten heeft gericht op minderjarigen. Daarmee heeft de BankGiro Loterij N.V. in strijd gehandeld met artikel 4a, vijfde lid van de Wet op de Kansspelen jo. artikel 2, derde lid van het Besluit werving, reclame en verslavingspreventie kansspelen. De raad van bestuur legt de BankGiro Loterij N.V. een last onder dwangsom op om de online wervings- en reclameactiviteiten die zich richten op minderjarigen te beëindigen en beëindigd te houden.
## Handhaving van de Wet op de kansspelen
1. Artikel 35 van de Wet op de kansspelen (hierna: Wok) bepaalt dat de raad van bestuur van de Kansspelautoriteit (hierna: de raad van bestuur) een last onder bestuursdwang kan opleggen wegens overtreding van de voorschriften vastgesteld bij of krachtens de Wok, met uitzondering van titel VA., paragraaf 2 van de Wok.
## Kansspelautoriteit
## Besluit
## Openbaar
2. Artikel 5:32, eerste lid van de Algemene wet bestuursrecht (hierna: Awb) bepaalt dat een bestuursorgaan dat bevoegd is een last onder bestuursdwang op te leggen, in plaats daarvan aan de overtreder een last onder dwangsom kan opleggen.
## Juridisch kader
3. Artikel 4a, van de Wok luidt:
1. ….
2. De houders van vergunningen op grond van deze wet geven op zorgvuldige en evenwichtige wijze vorm aan wervings- en reclameactiviteiten waarbij in het bijzonder wordt gewaakt tegen onmatige deelneming.
[…]
5. Bij of krachtens algemene maatregel van bestuur kunnen regels worden gesteld met betrekking tot het eerste tot en met het vierde lid.
6. De in het vijfde lid bedoelde regels kunnen onder meer betrekking hebben op: a. […];
- b. de doelgroepen waarop zodanige activiteiten zijn gericht;
- c. de hoeveelheid, de tijdsduur en het tijdstip, en
- d. de wijze waarop en de plaats waar wervings- en reclame-uitingen worden gedaan.
4. Artikel 2, derde lid, van het Besluit werving, reclame en verslavingspreventie kansspelen (hierna: Besluit) luidt:
Vergunninghouders richten hun wervings- en reclameactiviteiten voor kansspelen niet op maatschappelijk kwetsbare groepen van personen. Onder kwetsbare groepen van personen wordt in ieder geval verstaan minderjarigen en personen die kenmerken van risicovol spelgedrag vertonen.
## Bevindingen
5. Een toezichthoudend medewerker van de Kansspelautoriteit heeft in het kader van het toezicht op reclame door houders van een kansspelvergunning een controle
## Openbaar
uitgevoerd van online wervings- en reclameactiviteiten van de BankGiro Loterij N.V. De bij deze controle uitgevoerde toezichtshandelingen zijn vastgelegd in twee verslagen van ambtshandelingen. 1  Kort gezegd bestond dit toezichtonderzoek uit het controleren van online reclame-uitingen in de periode juni 2016 tot en met 24 augustus 2017. Daarbij is uit alle online reclame-uitingen die zijn vastgelegd op de 300 meest bezochte Nederlandse websites een selectie gemaakt van reclameuitingen door vergunninghouders, die zijn getoond op websites die zich richten op minderjarigen. Uit deze controle is gebleken dat de BankGiro Loterij N.V. in de genoemde periode reclame heeft geplaatst (of heeft doen plaatsen) op de hierna in randnummer 7 nader aangeduide websites door middel van rechtstreekse inkoop dan wel via 'programmatic buying'. 2
6. De online reclame-uitingen zijn vastgelegd door een onderzoeksbureau dat is gespecialiseerd in het wereldwijd vastleggen van reclame-uitingen en reclamebestedingen in verschillende media en binnen verschillende sectoren. Daarbij wordt onder andere vastgelegd wie de afzender is van een advertentie, op welke wijze deze is aangekocht en wat de verschijningsvorm was. De specifieke reclame-uitingen zijn ook door deze partij vastgelegd.
7. De Kansspelautoriteit heeft onder meer vastgesteld dat de BankGiro Loterij N.V. in de periode juni 2016 tot en met 24 augustus 2017 3 :
- Op de website www.Scholieren.com zelf rechtstreeks 2 reclame-uitingen heeft geplaatst;
- Op de website www.Spel.nl zelf rechtstreeks 33 reclame-uitingen heeft geplaatst;
- Op de website www.Fashionista.nl middels programmatic buying 120 reclame-uitingen heeft laten plaatsen;
- Op de website www.Girlscene.nl middels programmatic buying 210 reclame-uitingen heeft laten plaatsen;
- Op de website www.DonalsDuck.nl middels programmatic buying 14 reclame-uitingen heeft laten plaatsen;
- Op de website www.Scholieren.com middels programmatic buying 73 reclame-uitingen heeft laten plaatsen;
1  VVA Algemeen 28 augustus 2017
2 Het geautomatiseerd inkopen van advertentieruimte voor onlinereclame.
3  Zie § 3 VVA
## Openbaar
- Op de website www.Kleurplaten.nl middels programmatic buying 123 reclame-uitingen heeft laten plaatsen;
- Op de website www.Spel.nl middels programmatic buying 176 reclameuitingen heeft laten plaatsen;
- Op de website www.Spele.nl middels programmatic buying 3 reclameuitingen heeft laten plaatsen;
- Op de website www.Spelletjes.nl middels programmatic buying 17 reclame-uitingen heeft laten plaatsen;
- Op de website www.Girlscene.nl zelf rechtstreeks dan wel middels programmatic buying 4 reclame-uitingen heeft geplaatst;
- Op de website www.Scholieren.com zelf rechtstreeks dan wel middels programmatic buying 6 reclame-uitingen heeft geplaatst;
- Op de website www.Spel.nl zelf rechtstreeks dan wel middels programmatic buying 2 reclame-uitingen heeft geplaatst.
8. Op basis van deze bevindingen concludeert de raad van bestuur vast dat de BankGiro Loterij N.V. zich met deze wervings- en reclameactiviteiten heeft gericht op minderjarigen.
## Overtreding van de Wet op de kansspelen
9. Op grond van de voorgaande bevindingen stelt de raad van bestuur vast dat de BankGiro Loterij N.V. in strijd heeft gehandeld met artikel 4a, vijfde lid van de Wok jo. artikel 2, derde lid van het Besluit.
## Zienswijze
10. De BankGiro Loterij N.V. is op 28 augustus 2017 op de hoogte gesteld van het voornemen tot handhavend optreden. Op 31 augustus 2017 hebben de gezamenlijke Goede Doelen Loterijen (GDL) 4 , mede namens de BankGiro Loterij N.V., van de haar geboden gelegenheid gebruik gemaakt om mondeling een zienswijze te geven op dit voornemen. Daarbij zijn enkele processuele afspraken gemaakt die dezelfde dag per e-mail zijn bevestigd. Daarna is de BankGiro Loterij
4  Dit zijn de Nationale Postcode Loterij, de Vriendenloterij en de BankGiro Loterij.
## Openbaar
19 oktober 2017
01.017.613
- N.V. in de gelegenheid gesteld om haar zienswijze schriftelijk in te brengen, wat zij bij mail van 7 september 2017 heeft gedaan.
11. Door de BankGiro Loterij N.V. is - kort gezegd - het volgende naar voren gebracht. De BankGiro Loterij N.V. heeft met haar mediabureau afspraken gemaakt op welk type websites de BankGiro Loterij N.V. niet wenst te adverteren. In aanvulling daarop wordt in opdracht van de BankGiro Loterij N.V. aan de hand van maandelijkse rapportages beoordeeld of er advertenties zijn geplaatst op websites waarop de BankGiro Loterij N.V. niet wenst te adverteren. Als dat het geval blijkt te zijn dan wordt de bewuste website op een blacklist geplaatst, als gevolg waarvan daarna op die bewuste websites geen advertenties van de BankGiro Loterij N.V. getoond kunnen worden.
12. De BankGiro Loterij N.V. geeft aan dat de acht websites - waarvan de Kansspelautoriteit heeft vastgesteld dat daarop door de BankGiro Loterij N.V. advertenties zijn geplaatst - al voor ontvangst van het voornemen tot handhaving op de blacklist stonden. De BankGiro Loterij N.V. concludeert dat een blacklist een reactief instrument is en niet proactief werkt. De BankGiro Loterij N.V. plaatst kanttekeningen bij de kwalificatie of een bepaalde website zich richt op 'jongeren' maar ziet er vanaf in discussie te gaan of de acht door de Kansspelautoriteit genoemde websites terecht zijn aangemerkt als gericht op jongeren.
13. De BankGiro Loterij N.V. beschrijft vervolgens de nieuwe werkwijze waarbij de BankGiro Loterij N.V. een whitelist hanteert waarop de websites staan die vooraf door de BankGiro Loterij N.V. zijn gecontroleerd en goedgekeurd. Dat geldt zowel voor rechtstreekse aankoop als voor Real Time Bidding. De BankGiro Loterij N.V. acht het opleggen van een last onder dwangsom niet nodig nu volgens de BankGiro Loterij N.V. aan de overtreding een einde is gemaakt. De BankGiro Loterij N.V. geeft aan bezwaar te hebben tegen openbaarmaking omdat volgens haar gebleken is dat niet alleen de BankGiro Loterij N.V. geadverteerd heeft op websites die zijn gericht op minderjarigen. De BankGiro Loterij N.V. heeft een groot (bedrijfs- en reputatie) belang dat zwaarder dient te wegen dan de publicatie van een dergelijk besluit dat alleen tegen de BankGiro Loterij N.V. is gericht.
## Openbaar
## Beoordeling van de zienswijze
14. De door de BankGiro Loterij N.V. beschreven werkwijze - waarbij sprake is van een maandelijkse controle en eventuele plaatsing van de blacklist - blijkt pas in het eerste kwartaal van 2017 te hebben geleid tot het op de blacklist zetten van de door de Kansspelautoriteit onderzochte websites. 5  De Kansspelautoriteit heeft vastgesteld dat ruim voor die periode op de verschillende websites voor de BankGiro Loterij N.V. is geadverteerd. De websites zijn dus pas na meerdere advertentieplaatsingen op de blacklist terecht gekomen. De Kansspelautoriteit constateert met de BankGiro Loterij N.V. dat overtreding van artikel 4a Wok jo. artikel 2, derde lid van het Besluit heeft plaatsgevonden en dat een blacklist geen betrouwbaar middel is om iedere reclameactiviteit gericht op minderjarigen te voorkomen.
15. De BankGiro Loterij N.V. heeft in haar zienswijze aangegeven dat inmiddels wordt gewerkt met een whitelist. De raad van bestuur is van oordeel dat een whitelist op zichzelf een geschikte methode kan zijn om de overtreding waarop deze last onder dwangsom ziet te voorkomen. Of een whitelist overtredingen in de praktijk ook voorkomt, is mede afhankelijk van de criteria die worden gehanteerd om een website al dan niet op de whitelist te plaatsen en de naleving van die whitelist door derden, zoals het door BGL ingeschakelde mediabureau.
16. Ten aanzien van de vraag wanneer een website gericht is op 'jongeren' merkt de raad van bestuur allereerst op dat de norm van artikel 2 van het Besluit zich in het bijzonder richt op de bescherming van minderjarigen. Voor de beoordeling of een bepaalde website zich richt op minderjarigen kunnen de volgende factoren richtinggevend zijn: de leeftijdsopbouw van de bezoekers, de kwalificatie die de websitehouder zelf geeft aan de doelgroep van zijn website, het oordeel van externe marketingpartijen, maar ook het product dat of dienst die op website wordt aangeboden. De raad van bestuur is van oordeel dat van een professionele partij als de BankGiro Loterij N.V., die beschikt over specifieke marketingkennis en kennis over het bepalen van een doelgroepen, mag worden verwacht in staat te zijn om te bepalen welke (type) websites zich richt(en) op minderjarigen.
5  Zo blijkt bijvoorbeeld op www.donaldduck.nl van 6 april tot 19 april 2017 te zijn geadverteerd maar die site
is op 19 april 2017 op de blacklist te zijn gezet; op www.girlscene.nl blijkt in de periode 19 februari 2017 t/m
17 mei 2017 te zijn geadverteerd maar is die site aan de blacklist toegevoegd op 17 augustus 2017.
Kansspelautoriteit
19 oktober 2017
01.017.613
## Openbaar
Kansspelautoriteit
19 oktober 2017
01.017.613
17. Naar aanleiding van enkele vragen die de BankGiro Loterij N.V. heeft gesteld over de verslagen van ambtshandelingen merkt de raad van bestuur op dat de ontbrekende context url's valt te verklaren uit het feit dat per regel in het Excel bestand slechts ruimte is voor het weergeven van één creative. 6  Wanneer er meerdere creatives per website zijn vastgelegd, wordt de context url en de wijze van aankoop alleen bij de eerste creative vermeld; op de andere regels wordt dan alleen de creative weergegeven. Ten aanzien van de 'onjuist' weergegeven creatives lijkt het inderdaad om een fout bij het vastleggen van die creatives te gaan. Aangezien het hier een beperkt aantal - volgens de BankGiro Loterij N.V. 4,4% van de gevallen - fouten betreft, laat de raad van bestuur dit verder buiten beschouwing.
## Overwegingen tot oplegging last
18. Het aanbieden van kansspelen in Nederland is door middel van een vergunningstelsel gereguleerd en slechts op grond van en in overeenstemming met een verleende vergunning toegestaan. Doelstelling van die regulering is het voorkomen van kansspelverslaving, het beschermen van de consument en het tegengaan van mogelijke fraude en criminaliteit. De raad van bestuur houdt toezicht op de naleving van de toepasselijke wet- en regelgeving en de vergunningen en handhaaft de wet- en regelgeving ten aanzien waarvan zij een toezichtstaak heeft.
19. Houders van vergunningen op grond van de Wok dienen op zorgvuldige en evenwichtige wijze vorm te geven aan wervings- en reclameactiviteiten aldus artikel 4a, tweede lid, van de Wok. Daarenboven verplicht artikel 2, derde lid, van het Besluit houders van een kansspelvergunning ertoe om hun wervings- en reclameactiviteiten voor kansspelen niet te richten op maatschappelijk kwetsbare groepen van personen waaronder in ieder geval minderjarigen wordt verstaan.
20. Gelet op het algemeen belang dat gediend is met handhaving, zal in geval van overtreding van een wettelijk voorschrift het bestuursorgaan dat bevoegd is om met een last onder bestuursdwang of dwangsom op te treden, in de regel van
6  Context url: de vindplaats van de eerder vastgelegde advertentie; creative: de reclame-uiting (een afbeelding of een filmpje).
- deze bevoegdheid gebruik moeten maken. Ook indien er geen gegronde vrees bestaat dat de overtreding opnieuw zal plaatsvinden, is dat op zichzelf geen omstandigheid op grond waarvan een bestuursorgaan van het opleggen van de last behoort af te zien. 7  Het handhavend optreden van de raad van bestuur ten aanzien van reclame is gericht op het (doen) staken van de overtreding en/of het voorkomen van verdere overtreding en/of een herhaling van de overtreding. In het bijzonder geldt dat wanneer de overtreden norm strekt tot bescherming van de belangen van kwetsbare groepen, waaronder minderjarigen.
21. De norm is reeds sinds 1 juli 2013 van kracht. De raad van bestuur acht de norm voldoende helder om nageleefd te worden. Ten aanzien van de verplichting dat reclame zich niet op kwetsbare groepen, waaronder minderjarigen, dient te richten, heeft de raad van bestuur reeds aangeven dat de gerichtheid onder meer afgeleid kan worden uit het gekozen medium en dat geen reclame wordt gemaakt in (of rond) elektronische diensten die gericht zijn op of waarvan bekend of aannemelijk is dat zij worden gebruikt door minderjarigen. 8  Van de BankGiro Loterij N.V. mag derhalve verwacht worden dat zij passende maatregelen had getroffen om de naleving te bewerkstelligen van het verbod reclame te richten op kwetsbare groepen, waaronder begrepen minderjarigen. De raad van bestuur stelt vast dat de BankGiro Loterij N.V. pas besloten heeft tot verdere en aanvullende maatregelen nadat de BankGiro Loterij N.V. op de hoogte was gesteld van de resultaten van het onderzoek als beschreven in de randnummers 5, 6 en 7.
22. Ten overvloede merkt de raad van bestuur nog het volgende op. Zoals hiervoor is aangegeven, kan whitelisting op zichzelf een goede methode zijn ter voorkoming van de geconstateerde overtreding. Echter, de raad van bestuur kan deze effectiviteit niet beoordelen, omdat de criteria voor het al dan niet plaatsen van een website op de whitelist haar onbekend zijn en ook of en, zo ja, hoe deze criteria door de BankGiro Loterij N.V. in contracten met derden zijn geborgd. Voorts is niet inzichtelijk gemaakt of en, zo ja, welke maatregelen zijn genomen om toe te zien op de naleving van de afspraken door die derden. Reeds daarom bestaat er onvoldoende zekerheid dat overtredingen ook in de toekomst zullen uitblijven.
7  Afdeling Bestuursrechtspraak van de Raad van State van 11 juli 2012, ECLI:NL:RVS:2012:BX1022 (AB
2012/255).
8  Leidraad reclame februari 2016 onder punt 10 respectievelijk 12;
http://www.kansspelautoriteit.nl/nieuws/alle-nieuwsberichten/2017/maart/regels-reclame/
## Openbaar
23. Een houder van een vergunning voor kansspelen dient effectieve maatregelen te nemen om overtreding van voor haar geldende regelgeving te voorkomen. Dat geldt in het bijzonder voor bepalingen die er op zijn gericht om maatschappelijk kwetsbare groepen van personen - waaronder minderjarigen - te beschermen.
24. In het licht van genoemde feiten en omstandigheden is er geen sprake van omstandigheden die nopen tot het afzien van handhaving.
25. De raad van bestuur biedt - in het geval van een last onder dwangsom overtreders, zo ook de BankGiro Loterij N.V. in dit geval, de gelegenheid om binnen de begunstigingstermijn de overtreding te beëindigen en daarmee om het verbeuren van een dwangsom te voorkomen. Gelet op het evenredigheidsbeginsel van artikel 3.4, tweede lid, van de Awb is de raad van bestuur van oordeel dat de belangen van de betrokkenen - in dit geval de belangen van de BankGiro Loterij N.V. - derhalve niet onevenredig worden geschaad door dit besluit en het daarmee gediende belang, in casu het beschermen van kwetsbare groepen waaronder minderjarigen.
## Hoogte van de dwangsom
26. Ten aanzien van de hoogte van de dwangsom, bepaalt artikel 5:32b, derde lid van de Awb dat de hoogte ervan in redelijke verhouding dient te staan tot de zwaarte van het geschonden belang en tot de beoogde werking van de dwangsom. Daarnaast moet van de hoogte van de dwangsom voldoende (financiële) prikkel uitgaan voor de overtreder om de overtreding te beëindigen.
27. Handhaving van de regels in de kansspelsector is noodzakelijk, gelet op onder meer de bescherming van consumenten. Daarbij kent de raad van bestuur gewicht toe aan het specifieke karakter van normen die er op zijn gericht de reclame voor kansspelen te reguleren en aan het bijzondere belang van de bescherming van kwetsbare groepen, waaronder begrepen minderjarigen. Het zijn deze te beschermen - en geschonden - belangen die de raad van toezicht heeft meegewogen bij de vaststelling van de hoogte van de dwangsom.
## Openbaar
Kansspelautoriteit
19 oktober 2017
01.017.613
## Begunstigingstermijn en hoogte van de dwangsom
28. De raad van bestuur houdt bij de vaststelling van de begunstigingstermijn rekening met het feit dat:
- de BankGiro Loterij N.V. al sinds 28 augustus 2017 op de hoogte is van de bevindingen van de Kansspelautoriteit
- dat de BankGiro Loterij N.V. zelf heeft aangegeven de overtredingen te kunnen beëindigen en daartoe al de nodige maatregelen te hebben genomen
- de raad van bestuur ook van mening is dat de overtredingen snel kunnen worden beëindigd.
Op grond daarvan bepaalt de raad van bestuur de begunstigingstermijn op acht dagen na dagtekening van deze brief.
29. De raad van bestuur houdt bij de vaststelling van de hoogte van de dwangsom rekening met de zwaarte van het geschonden belang en de beoogde werking van de dwangsom. Op grond daarvan bepaalt de raad van bestuur de dwangsom op € 10.000 voor iedere reclame-uiting die na afloop van de begunstigingstermijn wordt aangetroffen op een website die zich richt op minderjarigen tot een maximum van € 100.000,-.
## Besluit
30. De raad van bestuur van de Kansspelautoriteit legt aan de BankGiro Loterij N.V. de volgende last onder dwangsom op:
1. De BankGiro Loterij N.V. dient uiterlijk 27 oktober 2017 overtreding van artikel 4a, vijfde lid van de Wok jo. artikel 2, derde lid, van het Besluit bestaande uit het online richten van wervings- en reclameactiviteiten voor kansspelen op minderjarigen - beëindigd te hebben en te houden.
2. De BankGiro Loterij N.V. dient al die maatregelen te nemen om te voorkomen dat er reclame-uitingen geplaatst worden op websites die zich specifiek of in overwegende mate richten op minderjaren. Het gaat daarbij om in ieder geval het onverkort en voortdurend toepassen van whitelisting, waarbij de gehanteerde whitelist bovendien doorlopend wordt beheerd, gecontroleerd en onderhouden. Dat kan onder meer omvatten het herzien,
## Openbaar
zo nodig aanpassen dan wel opzeggen van eerder gemaakte contractuele afspraken over het (doen) inkopen van reclame-uitingen op deze websites. Dat kan verder bestaan uit het treffen van (interne) technische en organisatorische maatregelen om het (doen) plaatsen van reclame op websites gericht op minderjarigen te voorkomen.
3. Voor iedere overtreding van artikel 4a, vijfde lid van de Wok en artikel 2, derde lid van het Besluit, in de vorm van een reclame-uiting op een website die zich specifiek of in overwegende mate richt op minderjarigen, die na afloop van voormelde begunstigingstermijn wordt geconstateerd, verbeurt de BankGiro Loterij N.V. een dwangsom van € 10.000, tot een maximum van € 100.000,-.
's-Gravenhage,
De raad van bestuur van de Kansspelautoriteit, namens deze,
w.g.
w.g.
w.g.
J.J.H. Suyver
Voorzitter raad van bestuur van de Kansspelautoriteit
## Bezwaar maken
U kunt tegen deze beslissing bezwaar maken door een gemotiveerd bezwaarschrift in te dienen binnen zes weken na bekendmaking van deze beslissing. U kunt uw bezwaarschrift sturen naar het volgende adres:
Kansspelautoriteit Afdeling Juridische Zaken en Ontwikkeling Postbus 298 2501 CG Den Haag
U kunt uw bezwaarschrift ook door uw gemachtigde laten indienen. Als de gemachtigde geen advocaat is, moet u een machtiging bijvoegen bij uw bezwaarschrift.
Zorg ervoor dat uw bezwaarschrift in elk geval het volgende bevat:
-  uw naam en adres;
## Openbaar
-  de datum waarop u het bezwaarschrift schrijft;
-  een kopie van de beslissing;
-  de gronden van uw bezwaar;
-  uw handtekening of de handtekening van uw gemachtigde.
Kansspelautoriteit 19 oktober 2017 01.017.613</t>
  </si>
  <si>
    <t>## OPENBAAR
&lt;!-- image --&gt;
Besluit van de Raad van Bestuur van de Kansspelautoriteit als bedoeld in artikel 35 van de Wet op de kansspelen.
Kenmerk:01.035.726
## Samenvatting
1. De Kansspelautoriteit heeft vastgesteld dat (persoon 1) (hierna: betrokkene) speelautomaten heeft geëxploiteerd en casinospelen heeft aangeboden terwijl voor dat aanbod geen geldige vergunning is afgegeven op grond van de Wet op de a        e (   lk Kansspelautoriteit draagt betrokkene op de exploitatie van speelautomaten en het aanbieden van casinospelen waarvoor geen vergunning ingevolge de Wok is verleend, te staken en gestaakt te houden, door middel van het opleggen van een last onder dwangsom.
## Handhaving van de Wet op de kansspelen
2. Op grond van artikel 34 en verder van de Wok is de Kansspelautoriteit belast met het toezicht op en de handhaving van het bepaalde bij of krachtens de Wok.
3. Artikel 35 van de Wok bepaalt dat de raad van bestuur van de Kansspelautoriteit (hierna: de raad van bestuur) een last onder bestuursdwang kan opleggen wegens overtreding van de voorschriften vastgesteld bij of krachtens de Wok, met uitzondering van titel VA., paragraaf 2 van de Wok.
4. Artikel 5:32, eerste lid van de Algemene wet bestuursrecht (hierna: Awb) bepaalt dat een bestuursorgaan dat bevoegd is een last onder bestuursdwang op te leggen, in plaats daarvan aan de overtreder een last onder dwangsom kan opleggen.
## Besluit
## Juridisch kader
5. Op grond van artikel 1, eerste lid, aanhef en onder a, van de Wok is het behoudens het in Titel Va van deze wet bepaalde verboden gelegenheid te geven om mede te dingen naar prijzen of premies, indien de aanwijzing der winnaars geschiedt door enige kansbepaling waarop de deelnemers in het algemeen geen overwegende invloed kunnen uitoefenen, tenzij daarvoor ingevolge deze wet vergunning is verleend.
6. Op grond van artikel 30h, eerste lid van de Wok is het verboden om zonder vergunning van de raad van bestuur van de Ksa één of meerdere speelautomaten te exploiteren. De Wok verstaat onder exploiteren: het bedrijfsmatig en als eigenaar gebruiken of aan een ander in gebruik geven van één of meer speelautomaten.
7. Op grond van artikel 30t, eerste lid, onder b, van de Wok is het verboden om één of meer speelautomaten, die niet overeenstemmen met het door de raad van bestuur van de Ksa toegelaten model daarvan en die niet ten bewijze daarvan zijn voorzien van het ingevolge artikel 30r, eerste lid, met betrekking tot die toelating vastgestelde merkteken, te exploiteren.
## Bevindingen
8. Twee toezichthouders van de Kansspelautoriteit hebben op 28 september 2017 in de onderneming van betrokkene, café restaurant De Kruik, Kaaistraat 7 te 4401 CH Yer a an  an an   nt zijn. Hiervoor is aan betrokkene geen geldige vergunning afgegeven. Deze spen s  o ar n r en z an de Kansspelautoriteit.
9. Op 9 oktober 2017 is uit nader onderzoek aan deze speelautomaten, dat is uitgevoerd oe  et e  e  en:
3. Beide speelautomaten zijn te kwalificeren als kansspelautomaten, zoals bedoeld in artikel 30, onder c, van de Wok;
4. Beide kansspelautomaten stemmen niet overeen met een door de raad van bestuur van de Kansspelautoriteit toegelaten model daarvan;
&lt;!-- image --&gt;
Kansspelautoriteit 2 juli 2018 01.035.726
&lt;!-- image --&gt;
- Beide kansspelautomaten zijn niet voorzien van een, ingevolge artikel 30r, eerste lid, van de Wok, vastgesteld merkteken.
10. Op 1 maart 2018 heeft betrokkene vrijwillig afstand gedaan van de twee speelautomaten (zie afstandsverklaring met kenmerk 01.025.957).
- Itt   t t  it tt tt t att ontvangen van de Landelijk coördinator onderzoeken kansspelbelasting van de Belastingdienst. De informatie betrof de waarneming van een medewerker van de Belastingdienst op zaterdagavond 24 februari 2018, dat in café restaurant De Kruik te Yerseke onder andere de casinospelen roulette, blackjack en barbut werden aangeboden.
12. De toezichthouder van de Kansspelautoriteit heeft op 30 mei 2018 op de Facebooksite va a a n ainn a  n   dike 'casinoavond' ook op 17 november 2017 zou hebben plaatsgevonden.
## Overtreding van de Wet op de kansspelen
13. Op grond van de voorgaande staat naar het oordeel van de Kansspelautoriteit vast dat betrokkene speelautomaten exploiteerde zonder dat hij hiervoor beschikte over een ve n v vn   ven n vdgn Kansspelautoriteit.
14. Voorts staat volgens de Kansspelautoriteit vast dat is geëxploiteerd met speelautomaten die niet overeenstemmen met een door de raad van bestuur van de Kansspelautoriteit toegelaten model daarvan en die niet ten bewijze daarvan zijn voorzien van het ingevolge artikel 30r, eerste lid, van de Wok met betrekking tot die toelating vastgestelde merkteken.
15. Op grond van het voorgaande stelt de Kansspelautoriteit vast dat betrokkene artikel 30h, eerste lid, van de Wok en artikel 30t, eerste lid, onder b, van de Wok heeft overtreden.
4. dot t t t  st t ot o tiet casinospelen zonder vergunning zijn aangeboden.
17. Hiermee overtreedt betrokkene artikel 1, eerste lid, aanhef en onder a, van de Wok.
## Zienswijze
- tf     o      o   het opleggen van een last onder dwangsom.¹ Daarbij is betrokkene in de gelegenheid gesteld om binnen twee weken na dagtekening van die brief zijn zienswijze in te brengen over dat voornemen.
- I  it t   t c t  i cht
20. Samengevat luidt de zienswijze als volgt:
- De twee in café de Kruik gegeven casino avonden zijn door een derde partij georganiseerd. Aan betrokkene is meegedeeld dat dat mocht plaatsvinden, omdat er met plastic fiches werd gespeeld. De brief van 6 juni 2018 komt voor betrokkene als een grote verrassing.
- Betrokkene geeft aan dat dergelijke avonden niet meer in het café worden toegelaten.
## Beoordeling van de zienswijze
21. Artikel 1, eerste lid, aanhef en onder a, van de Wok spreekt over gelegenheid geven. Met het laten organiseren van casino avonden door een derde partij heeft betrokkene gelegenheid gegeven in de zin van artikel 1, eerste lid, aanhef en onder a, van de Wok.
22. De casino avonden zijn zonder vergunning aangeboden. De omstandigheid dat met plastic fiches werd gespeeld brengt niet met zich mee dat voor deze casino avonden geen vergunning nodig was.
3. a  en a  aein e  ae  deit de illegale exploitatie met speelautomaten hadden vastgesteld. Betrokkene wist of had moeten weten dat het aanbieden van kansspelen zonder vergunning niet is toegestaan. Daardoor wordt er vanuit gegaan dat betrokkene zonder extra stimulans, door middel van een last onder dwangsom, niet zal stoppen met het aanbieden van kansspelen zonder vergunning. Gelet hierop geeft de toezegging van betrokkene, dat
1 Kenmerk 01.031.561
&lt;!-- image --&gt;
&lt;!-- image --&gt;
er geen casino avonden meer worden toegelaten, geen aanleiding om af te zien van het opleggen van een last onder dwangsom.
- v     z        de Kkann a n an d  n   n n n ander dwangsom.
## Overwegingen tot oplegging last
25. Naleving van regelgeving – en dus ook van de Wok – is belangrijk. Kansspelen kunnen een negatief effect hebben op de samenleving. Juist daarom is het belangrijk dat voor kan d  n t an   et n t st an speelautomaten en het aanbieden van casinospelen.
26. De doelstellingen van het kansspelbeleid worden – door het zonder vergunning aanbieden van kansspelen – omzeild. De kansspelsector is bovendien geen gewone economische sector maar extra gevoelig voor fraude, bedrog en verslaving waarvan de consument de dupe kan worden. Deelnemers aan illegale kansspelen lopen daarbij risico's omdat er geen garantie is dat het spel betrouwbaar is, het betalingsverkeer veilig verloopt en gewonnen prijzen daadwerkelijk worden uitgekeerd.
27. Gelet op het algemeen belang dat gediend is met handhaving, zal in geval van overtreding van een wettelijk voorschrift het bestuursorgaan dat bevoegd is om handhavend op te treden, in de regel van deze bevoegdheid gebruik moeten maken. Het handhavend optreden van de Kansspelautoriteit is in dit geval gericht op het staken van de overtredingen en/of het voorkomen van herhaling van de overtredingen. Gelet op het belang om betrokkene ertoe te brengen de exploitatie van speelautomaten en het aanbieden van casinospelen waarvoor geen vergunning is vert    et  t t h  t gen van een last onder dwangsom noodzakelijk.
28. Van het uitgangspunt dat bij overtredingen in beginsel handhavend wordt opgetreden, kan slechts onder bijzondere omstandigheden worden afgeweken. Van bijzondere omstandigheden die nopen tot het afzien van handhaving is in dit geval niet gebleken.
&lt;!-- image --&gt;
## Hoogte van de dwangsom
29. Ten aanzien van de hoogte van de dwangsom, bepaalt artikel 5:32b, derde lid, van de Awb, dat de hoogte ervan in redelijke verhouding dient te staan tot de zwaarte van het geschonden belang en tot de beoogde werking van de dwangsom. Daarnaast moet van de hoogte van de dwangsom voldoende (financiële) prikkel uitgaan voor de overtreder om de overtreding te beëindigen en beëindigd te houden.
30. Handhaving van de regels in de kansspelsector en voorkomen van illegale exploitatie van speelautomaten is noodzakelijk, gelet op de belangen. De kansspelsector is extra gevoelig voor fraude, bedrog en verslaving waarvan de consument de dupe kan o  e  oen e  dn - o    z et  dn Kansspelautoriteit heeft meegewogen bij de vaststelling van de hoogte van de dwangsom.
3. t tt  ai t  t  tet "boeterichtsnoer exploitatie van speelautomaten zonder vergunning" vastgesteld. Dit richtsnoer geeft bepalingen die in acht worden genomen bij het bepalen van de hoogte van de bestuurlijke boete. Dit richtsnoer is in acht genomen bij de bepaling van de hoogte van de op te leggen dwangsommen.
32. De Kansspelautoriteit stelt de hoogte van de dwangsom vast op op € 3.000, - per geconstateerde overtreding met een maximum van € 9.000, -. Dit maximumbedrag is gebaseerd op het aantal van drie constateringen dat zonder vergunning enige vorm van kansspelen door u wordt aangeboden.
## Besluit
33. De raad van bestuur van de Kansspelautoriteit legt aan betrokkene de volgende lasten onder dwangsom op:
1. Betrokkene dient binnen twee weken na dagtekening van dit besluit de overtreding van artikel 30h, eerste lid, van de Wok te beëindigen en beëindigd te houden. Dit ka en hn hen h  h  n o t n het houden zolang hij niet beschikt over een exploitatievergunning als bedoeld in voornoemd artikel van de Wok. Het gestaakt houden van de exploitatie betekent dat betrokkene geen speelautomaten bedrijfsmatig mag gebruiken of aan iemand
Kansspelautoriteit 2 juli 2018 01.035.726
OPENBAAR
Kansspelautoriteit 2 juli 2018 01.035.726
&lt;!-- image --&gt;
anders (zoals bijvoorbeeld een uitbater van een horecabedrijf) zijn speelautomaten in gebruik mag geven.
2. Betrokkene dient binnen twee weken na dagtekening van dit besluit de overtreding van artikel 30t, eerste lid, van de Wok te beëindigen en beëindigd te houden. Dit kan hij doen door de exploitatie van speelautomaten die niet overeenstemmen met een door de raad van bestuur van de Kansspelautoriteit toegelaten model daarvan en die niet ten bewijze daarvan zijn voorzien van het ingevolge artikel 30r, eerste lid, met betrekking tot die toelating vastgestelde merkteken, te staken en gestaakt te houden.
3. Betrokkene dient binnen twee weken na dagtekening van dit besluit de overtreding van artikel 1, eerste lid, van de Wok te beëindigen en beëindigd te houden. Dit kan hij doen door geen casinospelen dan wel enig ander kansspel aan te bieden waarvoor geen vergunning is verstrekt.
3. As    von  t t   sdan dag daron  ot   mt aon drou betrokkene de Wet op de kansspelen overtreedt een dwangsom van € 3.000, - per geconstateerde overtreding, tot een maximum van € 9.000, -.
's-Gravenhage, 2 juli 2018
De raad van bestuur van de Kansspelautoriteit, namens deze,
w.g.
J.J.H. Suyver Voorzitter raad van bestuur van de Kansspelautoriteit OPENBAAR
## Bezwaar maken
U kunt tegen deze beslissing bezwaar maken door een gemotiveerd bezwaarschrift in te dienen binnen zes weken na bekendmaking van deze beslissing. U kunt uw bezwaarschrift sturen naar het volgende adres:
Kansspelautoriteit Afdeling Juridische Zaken en Ontwikkeling Postbus 298 2501 CG Den Haag
U kunt uw bezwaarschrift ook door uw gemachtigde laten indienen. Als de gemachtigde geen advocaat is,moet u een machtiging bijvoegen bij uw bezwaarschrift.
Zorg ervoor dat uw bezwaarschrift in elk geval het volgende bevat:
- uw naam en adres;
- de datum waarop u het bezwaarschrift schrijft;
- een kopie van de beslissing;
- de gronden van uw bezwaar;
- uw handtekening of de handtekening van uw gemachtigde.
&lt;!-- image --&gt;
Kansspelautoriteit 2 juli 2018 01.035.726</t>
  </si>
  <si>
    <t>## OPENBAAR Kansspelautoriteit Besluit van de raad van bestuur van de Kansspelautoriteit als bedoeld in artikel 35 van de Wet op de kansspelen. Kenmerk besluit: 17807/01.331.457 Openbaar onder kenmerk: 17807/01.339.976 ## Besluit ## Samenvatting De raad van bestuur van de Kansspelautoriteit heeft vastgesteld dat Starscream Limited door middel van de websites rantcasino.com, sugarcasino.com en allstarzcasino.com gelegenheid geeft tot deelname aan een kansspel, terwijl voor dat laatstgenoemde aanbod geen vergunning is afgegeven op grond van de Wet op de kansspelen. Daarmee handelt Starscream Limited in strijd met artikel 1, eerste lid, aanhef en onder a, van de Wet op de kansspelen. De raad van bestuur van de Kansspelautoriteit draagt Starscream Limited op het aanbieden van kansspelen waarvoor geen vergunning ingevolge de Wet op de kansspelen is verleend, te staken en gestaakt te houden door middel van het opleggen van een last onder dwangsom. ## 1 Inleiding 1. De raad van bestuur van de Kansspelautoriteit (hierna: de Kansspelautoriteit) is belast met het toezicht op de naleving van het bepaalde in de Wet op de kansspelen (hierna: Wok). In de Wok is onder andere bepaald dat het in Nederland verboden is gelegenheid te geven om mede te dingen naar prijzen of premies, indien de aanwijzing der winnaars geschiedt door enige kansbepaling waarop de deelnemers in het algemeen geen overwegende invloed kunnen uitoefenen, tenzij daarvoor ingevolge de Wok vergunning is verleend (artikel 1, eerste lid, aanhef en onder a Wok). Daarnaast is het ingevolge artikel 1, eerste lid, aanhef en onder b, van de Wok eveneens verboden de deelneming aan een 21 januari 2025 Kenmerk 17807/01.339.976 - kansspel, waarvoor geen vergunning is verleend, te bevorderen. 2. Sinds 1 april 2021 is het mogelijk om bij de Kansspelautoriteit een vergunning aan te vragen voor het aanbieden van kansspelen op afstand. 1 Met het verlenen van vergunningen voor kansspelen op afstand is toezicht op een verantwoord, betrouwbaar en controleerbaar aanbod mogelijk. De Kansspelautoriteit acht het aanbieden van kansspelen op afstand zonder daartoe strekkende vergunning zeer ernstig. 2 De doelstellingen van het kansspelbeleid, wetende het voorkomen van kansspelverslaving, het beschermen van de consument en het tegengaan van mogelijke fraude en criminaliteit, worden door het zonder vergunning aanbieden van kansspelen op afstand omzeild. De kansspelsector is immers geen gewone economische sector maar extra gevoelig voor fraude, bedrog en verslaving waarvan de consument de dupe kan worden. Deelnemers aan dergelijke kansspelen lopen daarbij risico's omdat er geen garantie is dat het spel betrouwbaar is, het betalingsverkeer veilig verloopt en gewonnen prijzen daadwerkelijk worden uitgekeerd. 3. Handhaving door de Kansspelautoriteit jegens illegale aanbieders van kansspelen op afstand is herhaaldelijk rechterlijk getoetst en door meerdere rechters en in verschillende instanties rechtmatig bevonden. ## 2 Juridisch kader 4. Op grond van artikel 1, eerste lid, aanhef en onder a, van de Wok is het verboden om gelegenheid te geven tot deelname aan een kansspel waarvoor geen vergunning ingevolge de Wok is verleend. 5. Op grond van artikel 33b van de Wok heeft de Kansspelautoriteit onder meer tot taak het toezicht op de naleving van de toepasselijke wet- en regelgeving en de vergunningen, alsmede de handhaving daarvan. 6. De Kansspelautoriteit is op grond van artikel 35 van de Wok bevoegd tot het opleggen van een last onder bestuursdwang wegens overtreding van de voorschriften van de Wok. Artikel 5:32, eerste lid van de Algemene wet 1 Kansspelen op afstand zijn kansspelen waaraan de speler met elektronische communicatiemiddelen en zonder fysiek contact met (het personeel van) de organisator van de kansspelen, of een derde die ten behoeve van de deelname aan de kansspelen een ruimte en middelen ter beschikking stelt, deelneemt. 2 Alle sanctiebesluiten zijn te vinden op http://www.kansspelautoriteit.nl. Kansspelautoriteit 21 januari 2025 Kenmerk 17807/01.339.976 bestuursrecht (hierna: Awb) bepaalt dat een bestuursorgaan dat bevoegd is een last onder bestuursdwang op te leggen, in plaats daarvan aan de overtreder een last onder dwangsom kan opleggen. ## 3 Bevindingen onderzoek ## Aanbod van kansspelen zonder vergunning Website sugarcasino.com 7. Op 3 juni 2024 heeft een toezichthouder van de Kansspelautoriteit (hierna: toezichthouder) de website sugarcasino.com (hierna: de website) onderzocht. De toezichthouder heeft onderzocht of er gelegenheid werd gegeven om vanuit Nederland deel te nemen aan kansspelen. 8. Uit het onderzoek is gebleken dat het mogelijk is om vanuit Nederland een spelersaccount aan te maken, een storting te verrichten en deel te nemen aan kansspelen. Er zijn geen technische maatregelen genomen om deelnemers vanuit Nederland de toegang tot de kansspelen te beletten. ## Registratie 9. Op 3 juni 2024 heeft een toezichthouder zich vanuit Nederland (met een Nederlands IP-adres 3 ) geregistreerd als nieuwe speler op de website. Hiervoor heeft de toezichthouder een voor- en achternaam, gebruikersnaam, e-mail, wachtwoord, telefoonnummer en adresgegevens ingevuld. Daarop volgde een verificatiecode die naar het betreffende telefoonnummer werd verstuurd. De toezichthouder heeft de ontvangen verificatiecode ingevoerd. Hierna was de registratie voltooid. 4 10. Bij de registratie is gebruik gemaakt van de bevoegdheid als bedoeld in artikel 34c van de Wok. 5 ## Storting 11. Op 3 juni 2024 heeft een toezichthouder een storting verricht op de website. De toezichthouder heeft de betaalmethode iDeal via MyFinity als (betaal)optie geselecteerd. Na het selecteren van de betaalmethode werd de toezichthouder doorgeleid naar een Nederlandse bank. 3 Bijlage 17807/01.318.949/1a 4 Bijlage 17807/01.318.949/3a 5 Bijlage 17807/01.319.488 12. Er is vanuit de Nederlandse bank en betaalrekening een storting van €10,00 op de spelersrekening verricht. De instructies over de betaling waren in de Nederlandse taal. Na de storting heeft de toezichthouder geconstateerd dat het saldo van het spelersaccount was opgehoogd met het stortingsbedrag. 6 ## Deelname aan kansspelen 13. Op 4 juni 2024 heeft een toezichthouder onderzocht of er vanuit Nederland (met een Nederlands IP-adres 7 ) kan worden deelgenomen aan kansspelen op de website. 14. De toezichthouder heeft een spel nader onderzocht, te weten 'the Dog House' (hierna: het spel). Hieruit bleek dat het spel de weergave had van een virtuele versie van een slotmachine. 8 15. De toezichthouder heeft het bedrag bij 'BET' verlaagd naar €0,20; de laagst mogelijke inzet. Naast 'BET' was ook het saldo 'CREDIT' op het scherm te zien, dit bedrag was €10,00. De toezichthouder heeft vervolgens op de knop 'AUTOPLAY' geklikt, waarna gekozen is voor het minimum aantal van tien spins. Vervolgens heeft de toezichthouder op de 'START AUTOPLAY' knop gedrukt. Na het klikken op 'START AUTOPLAY' werden er automatisch tien spins uitgevoerd. Nadat de spins waren uitgevoerd, was het saldo 'CREDIT' onderaan de pagina veranderd in €8,04. De toezichthouder constateerde dat de uitkomst van het spel niet door de speler te beïnvloeden was. De toezichthouder constateerde vervolgens dat het bedrag op de spelersrekening was gewijzigd van €10,00 naar €8,04. 9 16. Op 18 september 2024 heeft de toezichthouder nogmaals succesvol deelgenomen aan het spel. 10 17. Naast deelname aan een kansspel bleek het gelegenheid geven tot het mededingen naar prijzen of premies onder andere uit de Terms and Conditions. In hoofdstuk 4 van de Terms and Conditions staat informatie over de uitbetaling. Hieruit blijkt dat er geldprijzen in euro te winnen zijn. 11 6 Bijlage 17807/01.318.949/4a 7 Bijlage 17807/01.318.949/1b 8 Stcrnt, 1996, 92. 9 Bijlage 17807/01.318.949/5a 10 Bijlage 17807/01.318.949/8a 11 Bijlage 17807/01.318.949/6a ## Website rantcasino.com 18. Op 4 juni 2024 heeft een toezichthouder van de Kansspelautoriteit (hierna: toezichthouder) de website rantcasino.com (hierna: de website) onderzocht. De toezichthouder heeft onderzocht of er gelegenheid werd gegeven om vanuit Nederland deel te nemen aan kansspelen. 19. Uit het onderzoek is gebleken dat het mogelijk is om vanuit Nederland een spelersaccount aan te maken, een storting te verrichten en deel te nemen aan kansspelen. Er zijn geen technische maatregelen genomen om deelnemers vanuit Nederland de toegang tot de kansspelen te beletten. ## Registratie 20. Op 4 juni 2024 heeft een toezichthouder zich vanuit Nederland (met een Nederlands IP-adres 12 ) geregistreerd als nieuwe speler op de website. Hiervoor heeft de toezichthouder een voor- en achternaam, gebruikersnaam, e-mail, wachtwoord, telefoonnummer en adresgegevens ingevuld. Daarop volgde een verificatiecode die naar het betreffende telefoonnummer werd verstuurd. De toezichthouder heeft de ontvangen verificatiecode ingevoerd. Hierna was de registratie voltooid. 13 21. Bij de registratie is gebruik gemaakt van de bevoegdheid als bedoeld in artikel 34c van de Wok. 14 ## Storting 22. Op 4 juni 2024 heeft een toezichthouder een storting verricht op de website. De toezichthouder heeft de betaalmethode iDeal via MyFinity als (betaal)optie geselecteerd. Na het selecteren van de betaalmethode werd de toezichthouder doorgeleid naar een Nederlandse bank. 23. Er is vanuit de Nederlandse bank en betaalrekening een storting van €10,00 op de spelersrekening verricht. De instructies over de betaling waren in de Nederlandse taal. Na de storting heeft de toezichthouder geconstateerd dat het saldo van het spelersaccount was opgehoogd met het stortingsbedrag. 15 12 Bijlage 17807/01.318.949/1b 13 Bijlage 17807/01.318.949/3b 14 Bijlage 17807/01.319.488 15 Bijlage 17807/01.318.949/4b 16 ## Deelname aan kansspelen 24. Op 4 juni 2024 heeft een toezichthouder onderzocht of er vanuit Nederland kan worden deelgenomen aan kansspelen op de website. 25. De toezichthouder heeft een spel nader onderzocht, te weten 'Buffalo King' (hierna: het spel). Hieruit bleek dat het spel de weergave had van een virtuele versie van een slotmachine. 16 26. De toezichthouder heeft het bedrag bij 'BET' verlaagd naar €0,20; de laagst mogelijke inzet. Naast 'BET' was ook het saldo 'CREDIT' in het scherm te zien, dit bedrag was €10,00. De toezichthouder heeft vervolgens op de knop 'AUTOPLAY' geklikt, waarna gekozen is voor het minimum aantal van tien spins. Vervolgens heeft de toezichthouder op de 'START AUTOPLAY' knop gedrukt. Na het klikken op 'START AUTOPLAY' werden er automatisch tien spins uitgevoerd. Nadat de spins waren uitgevoerd, was het saldo (CREDIT) onderaan de pagina veranderd in €10,56. De toezichthouder constateerde dat de uitkomst van het spel niet door de speler te beïnvloeden was. De toezichthouder constateerde vervolgens dat het bedrag op de spelersrekening was gewijzigd van €10,00 naar €10,56. 17 27. Op 18 september 2024 heeft de toezichthouder nogmaals deelgenomen aan het spel. 18 28. Naast deelname aan een kansspel bleek het gelegenheid geven tot het mededingen naar prijzen of premies uit de homepage. Hier staan de 'RECENT WINNERS' staan aangegeven waaruit blijkt dat er geldprijzen in euro te winnen zijn. 19 ## Hercontrole 29. Op 12 december 2024 heeft een toezichthouder een hercontrole uitgevoerd op de websites rantcasino.com en sugarcasino.com. De toezichthouder heeft onderzocht of er gelegenheid werd gegeven om vanuit Nederland deel te nemen aan kansspelen. 30. Uit het onderzoek is gebleken dat het niet mogelijk is om vanuit Nederland een spelersaccount aan te maken, een storting te verrichten en deel te nemen aan Stcrnt, 1996, 92. 17 Bijlage 17807/01.318.949/5b 18 Bijlage 17807/01.318.949/8b 19 Bijlage 17807/01.318.949/2b 21 januari 2025 Kenmerk 17807/01.339.976 - kansspelen. Er zijn technische maatregelen genomen om deelnemers vanuit Nederland de toegang tot de kansspelen te beletten. 20 31. Op 12 december 2024 heeft een toezichthouder de website allstarzcasino.com, een andere website van de aanbieder, onderzocht. Uit het onderzoek is gebleken dat het mogelijk is om vanuit Nederland een spelersaccount aan te maken, een storting te verrichten en deel te nemen aan kansspelen. Er zijn geen technische maatregelen genomen om deelnemers vanuit Nederland de toegang tot de kansspelen te beletten. ## Registratie 32. Op 12 december 2024 heeft een toezichthouder zich vanuit Nederland (met een Nederlands IP-adres) 21 geregistreerd als nieuwe speler op de website. Hiervoor heeft de toezichthouder een voor- en achternaam, gebruikersnaam, e-mail, wachtwoord, telefoonnummer en adresgegevens ingevuld. Daarop volgde een verificatielink die naar het betreffende e-mailadres werd verstuurd. De toezichthouder heeft op de link in de mail geklikt. Hierna was de registratie voltooid. 22 ## Storting 33. Op 12 december 2024 heeft een toezichthouder een storting verricht op de website. De toezichthouder heeft de betaalmethode Mastercard als (betaal)optie geselecteerd. Na het selecteren van de betaalmethode werd de toezichthouder doorgeleidt naar een Nederlandse bank. 34. Er is vanuit de Nederlandse bank en betaalrekening een storting van €10,00 op de spelersrekening verricht. Na de storting heeft de toezichthouder geconstateerd dat het saldo van het spelersaccount was opgehoogd met het stortingsbedrag. 23 ## Deelname aan kansspelen 35. Op 12 december 2024 heeft een toezichthouder onderzocht of er vanuit Nederland kan worden deelgenomen aan kansspelen op de website. 20 Bijlage 17807/01.331.715 21 Bijlage 17807/01.331.457/01 22 Bijlage 17807/01.331.457/02 23 Bijlage 17807/01.331.457/03 21 januari 2025 Kenmerk 17807/01.339.976 36. De toezichthouder heeft een spel nader onderzocht, te weten 'The Dog House' (hierna: het spel). Hieruit bleek dat het spel de weergave had van een virtuele versie van een slotmachine. 24 37. De toezichthouder heeft het bedrag bij 'BET' verlaagd naar €0,20; de laagst mogelijke inzet. Naast 'BET' was ook het saldo 'CREDIT' in het scherm te zien, dit bedrag was €10,00. De toezichthouder heeft vervolgens op de knop 'AUTOPLAY' geklikt, waarna gekozen is voor het minimum aantal van tien spins. Vervolgens heeft de toezichthouder op de 'START AUTOPLAY' knop gedrukt. Na het klikken op 'START AUTOPLAY' werden er automatisch tien spins uitgevoerd. Nadat de spins waren uitgevoerd, was het saldo 'CREDIT' onderaan de pagina veranderd in €9,32. De toezichthouder constateerde dat de uitkomst van het spel niet door de speler te beïnvloeden was. De toezichthouder constateerde vervolgens dat het bedrag op de spelersrekening was gewijzigd van €10,00 naar €9,32. 25 38. Naast het feit dat er geen technische maatregelen zijn genomen om deelname vanuit Nederland aan de kansspelen te beletten heeft de toezichthouder andere kenmerken aangetroffen waaruit (in onderlinge samenhang bezien) blijkt dat de website (mede) gericht is op de Nederlandse markt. Deze kenmerken zijn, naast de overige bevindingen van het onderzoek, verwerkt in onderstaand overzicht. ## Overzicht onderzoek overtreding 39. Hieronder volgt een schematisch overzicht van de bevindingen van het onderzoek van de toezichthouder naar het vanuit Nederland deelnemen aan kansspelen op de websites sugarcasino.com, rantcasino.com en allstarzcasino.com. | Onderzoek | Onderzoek | Bijlage | Opmerkingen | |-------------|---------------------------------------|---------------------------------------------------------------|---------------| | A. | Website vanuit Nederland te benaderen | 01.318.949/1 t/m 01.318.949/8 01.331.457/01 t/m 01.331.457/04 | | ## Kansspelautoriteit 21 januari 2025 Kenmerk 17807/01.339.976 | B. | Aanmaken account, storten en deelnemen aan een kansspel | 01.318.949/3a 01.318.949/3b 01.318.949/4a 01.318.949/4b 01.318.949/5a 01.318.949/5b 01.318.949/8a 01.318.949/8b 01.331.457/02 01.331.457/03 01.331.457/04 | 01.318.949/3a aanmaken account 01.318.949/3b aanmaken account 01.318.949/4a storten 01.318.949/4b storten 01.318.949/5a deelname kansspel 01.318.949/5b deelname kansspel 01.318.949/8a deelname kansspel 01.318.949/8b deelname kansspel 01.331.457/02 aanmaken account 01.331.457/03 storten 01.331.457/04 deelname kansspel | |------|-----------------------------------------------------------------------------------|-------------------------------------------------------------------------------------------------------------------------------------------------------------|----------------------------------------------------------------------------------------------------------------------------------------------------------------------------------------------------------------------------------------------------------------------------------------------------------------------------------| | C. | Informatie over prijzen/winsten | 01.318.949/6a 01.318.949/6b | In hoofdstuk 4 van de Terms &amp; Conditions is vermeld dat er geldprijzen in de valuta euro te winnen zijn. | | D. | Website bevat de Engelse taal | 01.318.949/2 t/m 01.318.949/8 01.331.457/02 t/m 01.331.457/04 | Websites bevatten de Engelse taal. | | E. | Valuta euro als betaalmiddel en/of uitkering prijzen | 01.318.949/6a 01.318.949/6b | In hoofdstuk 3 van de Terms &amp; Conditions is vermeld dat de valuta euro als betaalmiddel gebruikt kan worden. Hoofdstuk 4 van de Terms &amp; Conditions beschrijft de uitkering van prijzen in de valuta euro. | | F. | Betaalmethode iDEAL of andere betaalmethode die doorgeleidt naar Nederlandse bank | 01.318.949/4a 01.318.949/4b 01.331.457/03 | (01.318.949/4a, 01.318.949/4b) Bij het storten wordt gebruik gemaakt van de betaalmethode MyFinity met daarnaast het logo van iDeal. (01.331.457/03). Bij het storten wordt gebruik gemaakt van de betaalmethode Mastercard met het rekeningnummer van een Nederlandse bank. | | G. | Nederlandstalige of Engelstalige klantenservice | 01.318.949/7a 01.318.949/7b 01.331.457/06 | Rantcasino.com en allstarzcasino.com bevatten een live-chatfunctie die in het Nederlands wordt beantwoord. | ## Kansspelautoriteit 21 januari 2025 Kenmerk 17807/01.339.976 | H. | Nederland is niet benoemd als uitgesloten land in de T&amp;C | 01.318.949/6a 01.318.949/6b 01.331.457/05 | In artikel 2.8 van de Terms &amp; Conditions staat Nederland niet weergeven in de lijst met uitgesloten landen. | |------|------------------------------------------------------------------|---------------------------------------------|------------------------------------------------------------------------------------------------------------------------------------------------| | I. | Overige kenmerken waaruit (mede) gerichtheid op Nederland blijkt | 01.318.949/3a 01.318.949/3b 01.331.457/02 | Tijdens het aanmaken van het spelersaccount op de websites verscheen automatisch het netnummer +31 en 'Netherlands' in de in te vullen velden. | ## Overtreder 40. Voor het hiervoor beschreven kansspelaanbod wordt Starscream Limited (hierna: overtreder) verantwoordelijk gehouden omdat in de footer van de websites zij als licentiehouder van de websites genoemd wordt, evenals in de Terms and Conditions 26 . Op grond hiervan wordt deze onderneming als overtreder aangemerkt. 41. Overtreder is volgens de website starscreamcasinos.com gevestigd te 10 Manuelstreet, Castries te Santa Lucia. 27 42. Overtreder is niet in het bezit van een vergunning voor het aanbieden van online kansspelen in Nederland. 28 ## 4 Overtreding van de Wet op de kansspelen 43. Op grond van het voorgaande staat naar het oordeel van de Kansspelautoriteit vast dat overtreder gelegenheid geeft tot deelname aan een kansspel waarvoor geen vergunning is verleend. 44. Op grond van het voorgaande stelt de Kansspelautoriteit vast dat overtreder artikel 1, eerste lid, aanhef en onder a, van de Wok heeft overtreden. 26 Bijlage 17807/01.331.457/05, bijlage 17807/01.318.949/6a, bijlage 17807/01.318.949/6b 27 Bijlage 17807/01.318.949/9 28 Een overzicht van alle vergunninghouders is te vinden op https://kansspelautoriteit.nl. ## 5 Zienswijze 45. In de brief van 29 oktober 2024 heeft de Kansspelautoriteit het voornemen tot het opleggen van een last onder dwangsom kenbaar gemaakt aan overtreder. Hiermee is de gelegenheid geboden om binnen vier weken na dagtekening van de brief een zienswijze, mondeling of schriftelijk, te geven op het voornemen. 46. Van deze gelegenheid is geen gebruik gemaakt. ## 6 Overwegingen tot oplegging last 47. Handhavend optreden tegen aanbieders van kansspelen waarvoor geen vergunning is verleend is noodzakelijk om de overtreding te doen beëindigen, en beëindigd te houden, en de zwaarwegende belangen van de Wok zoals hierboven vermeld, te beschermen. Naast het opleggen van boetes, kan de Kansspelautoriteit ook handhaven door middel van het opleggen van een last onder dwangsom. 48. Met het oog op het evenredigheidsbeginsel van artikel 3:4, tweede lid, van de Awb is de Kansspelautoriteit van oordeel dat de belangen van overtreder derhalve niet onevenredig worden geschaad door dit besluit en het daarmee gediende belang. ## 7 Hoogte dwangsom en begunstigingstermijn 49. Zoals in dit besluit toegelicht is handhaving van de regels in de kansspelsector en voorkomen van illegaal kansspelaanbod noodzakelijk. De kansspelsector is extra gevoelig voor fraude, bedrog en verslaving waarvan de consument de dupe kan worden. Het zijn deze te beschermen - en in beginsel geschonden belangen die de Kansspelautoriteit heeft meegewogen bij de vaststelling van de hoogte van de dwangsom en de begunstigingstermijn. ## Hoogte dwangsom 50. Ten aanzien van de hoogte van de dwangsom, bepaalt artikel 5:32b, derde lid van de Awb dat de hoogte ervan in redelijke verhouding dient te staan tot de zwaarte van het geschonden belang en tot de beoogde werking van de 17807/01.339.976 - dwangsom. Daarnaast moet van de hoogte van de dwangsom voldoende (financiële) prikkel uitgaan voor de overtreder om de overtreding te beëindigen. 51. Bij de vaststelling van de hoogte van de dwangsom heeft de Kansspelautoriteit acht geslagen op het feit dat uit de praktijk blijkt dat van een last van deze omvang een zodanige prikkel uitgaat dat de last zal worden nagekomen. Daar komt bij dat een vergunde aanbieder van online kansspelen zeer hoge kosten maakt. Niet alleen voor het vergund toetreden tot de Nederlandse speelmarkt, maar ook voor het blijvend voldoen aan de voorwaarden waarvoor de vergunning is afgegeven gedurende de vergunningsperiode. De initiële lasten per vergunninghouder zijn berekend op circa € 800.000,- en de structurele jaarlijkse lasten bedragen eveneens circa € 800.000,- 29 . Daarbij merkt de Kansspelautoriteit op dat het haar ambtshalve bekend is dat met het aanbieden van kansspelen op afstand een aanzienlijk financieel gewin kan worden behaald. Hiermee staat de maximale dwangsom in verhouding tot het minimale financiële voordeel dat een overtreder kan behalen bij het niet naleven van de regels en derhalve zou ook hiervan een zodanige prikkel moeten uitgaan dat de overtreding wordt beëindigd. 52. De Kansspelautoriteit weegt de belangen van verslavingspreventie, kwetsbare groepen, zoals minderjarigen, een betrouwbaar spelaanbod, veilig betalingsverkeer en het tegengaan van illegaliteit en criminaliteit, mee bij de vaststelling van de hoogte van de dwangsom. ## Begunstigingstermijn 53. Volgens vaste jurisprudentie van de Afdeling bestuursrechtspraak van de Raad van State 30 geldt bij het bepalen van de lengte van de begunstigingstermijn als uitgangspunt dat deze termijn niet wezenlijk langer mag worden gesteld dan noodzakelijk is om de overtreding te kunnen opheffen. Een begunstigingstermijn mag ook niet wezenlijk korter worden gesteld dan noodzakelijk is om de overtreding te kunnen opheffen. 54. De Kansspelautoriteit houdt bij de vaststelling van de begunstigingstermijn rekening met het feit dat de gelegenheid om vanuit Nederland deel te nemen aan kansspelen op afstand zeer snel kan worden beëindigd. 29 Nota van Toelichting op het besluit op de Kansspelen op afstand, Staatsblad 2021/37, paragraaf 3. 30 ECLI:NL:RVS:2018:2196 en ECLI:NL:RVS:2015:3891. Kansspelautoriteit 21 januari 2025 Kenmerk 17807/01.339.976 55. Dit is onder andere gebleken uit het feit dat diverse illegale aanbieders eind september 2021 naar aanleiding van het nieuwe handhavingsbeleid van de Kansspelautoriteit 31 binnen enkele dagen het aanbod aan Nederlandse consumenten hebben gestaakt. ## 8 Besluit 56. De Kansspelautoriteit legt aan overtreder de volgende last onder dwangsom op: - a. Overtreder wordt op straffe van verbeurte van een dwangsom gelast uiterlijk binnen vier weken na dagtekening van dit besluit de overtreding(en) van artikel 1, eerste lid, onder a, van de Wok te staken en gestaakt te houden. - b. Overtreder kan dit doen door alle gelegenheid om vanuit Nederland deel te nemen aan kansspelen op afstand, waarvoor geen vergunning ingevolge de Wok is verleend, te beëindigen en beëindigd te houden. Dit omvat het aanbieden van kansspelen via de door de Kansspelautoriteit onderzochte website en alle andere websites die in eigendom/beheer zijn bij overtreder. Tevens omvat dit ook iedere andere activiteit (waaronder, maar niet uitsluitend, het aanbieden van kansspelapps) als gevolg waarvan het mogelijk is vanuit Nederland deel te nemen aan kansspelen op afstand en waarvoor geen vergunning ingevolge de Wok is verleend, te beëindigen en beëindigd te houden. - c. Na het verstrijken van de onder a genoemde begunstigingstermijn verbeuren overtreders ieder een dwangsom van €280.000,- per week of gedeelte van de week of constatering van een overtreding van artikel 1, eerste lid, aanhef en onder a, van de Wok tot een maximum van €840.000,-. 's-Gravenhage, 21 januari 2025 w.g. De raad van bestuur van de Kansspelautoriteit, namens deze, mr. P.J.H. Benner hoofd afdeling Handhaving 31 Handhavingsbeleid, Prioritering van handhavingsonderzoeken, Stcrnt. 2021/44765. ## Bezwaar maken U kunt tegen deze beslissing bezwaar maken door een [...]</t>
  </si>
  <si>
    <t>KSA__https___kansspelautoriteit.nl_sites_default_files_starscream_limited_17807_besluit_lod_20250121.txt::Rechtshandeling</t>
  </si>
  <si>
    <t>legt [26650:26655]</t>
  </si>
  <si>
    <t>legt [26650:26654]</t>
  </si>
  <si>
    <t>[...] eind september 2021 naar aanleiding van het nieuwe handhavingsbeleid van de Kansspelautoriteit 31 binnen enkele dagen het aanbod aan Nederlandse consumenten hebben gestaakt. ## 8 Besluit 56. De Kansspelautoriteit legt aan overtreder de volgende last onder dwangsom op: - a. Overtreder wordt op straffe van verbeurte van een dwangsom gelast uiterlijk binnen vier weken na dagtekening van dit besluit de overtreding(en) van artikel 1, eers [...]</t>
  </si>
  <si>
    <t>KSA__https___kansspelautoriteit.nl_sites_default_files_starscream_limited_17807_besluit_lod_20250121.txt::Rechtsobject</t>
  </si>
  <si>
    <t>last onder dwangsom [26682:26701]</t>
  </si>
  <si>
    <t>[...] ing van het nieuwe handhavingsbeleid van de Kansspelautoriteit 31 binnen enkele dagen het aanbod aan Nederlandse consumenten hebben gestaakt. ## 8 Besluit 56. De Kansspelautoriteit legt aan overtreder de volgende last onder dwangsom op: - a. Overtreder wordt op straffe van verbeurte van een dwangsom gelast uiterlijk binnen vier weken na dagtekening van dit besluit de overtreding(en) van artikel 1, eerste lid, onder a, van de Wok te staken en gesta [...]</t>
  </si>
  <si>
    <t>KSA__https___kansspelautoriteit.nl_sites_default_files_techo_offshore_limited_17393_invorderingsbesluit_20250526.txt::Ontvanger</t>
  </si>
  <si>
    <t>Techno Offshore Limited</t>
  </si>
  <si>
    <t>techno offshore limited</t>
  </si>
  <si>
    <t>Techno Offshore Limited [7791:7814]</t>
  </si>
  <si>
    <t>Techno Offshore Limited [7632:7655]</t>
  </si>
  <si>
    <t>OPENBAAR Kansspelautoriteit
Besluit van de raad van bestuur van de Kansspelautoriteit als bedoeld in artikel 35 van de Wet op de kansspelen.
Kenmerk: 18474/01.344.071 Openbaar onder kenmerk: 18474/01.345.548
## Besluit
## Samenvatting
De raad van bestuur van de Kansspelautoriteit heeft vastgesteld dat [overtreder] (hierna: [overtreder]) door middel van het YouTube kanaal 'LeftlanePapi' kansspelen bevordert door reclame te maken voor kansspelen waarvoor geen vergunning op grond van de Wet op de kansspelen is verleend. Daarmee handelt [overtreder] in strijd met artikel 1, eerste lid, aanhef en onder b, van de Wet op de kansspelen. [overtreder] doet dit door deel te nemen aan kansspelen waarvoor geen vergunning is verleend. Hiermee handelt [overtreder] in strijd met artikel 1, eerste lid, aanhef en onder c, van de Wet op de kansspelen. De raad van bestuur van de Kansspelautoriteit draagt [overtreder] op het bevorderen van kansspelen waarvoor geen vergunning ingevolge de Wet op de kansspelen is verleend, te staken en gestaakt te houden door middel van het opleggen van een last onder dwangsom.
## 1 Inleiding
1. De raad van bestuur van de Kansspelautoriteit (hierna: de Kansspelautoriteit) is belast met het toezicht op de naleving van het bepaalde in de Wet op de kansspelen (hierna: Wok). In de Wok is onder andere bepaald dat het in Nederland verboden is gelegenheid te geven tot deelname aan kansspelen, tenzij daarvoor ingevolge de Wok vergunning is verleend (artikel 1, eerste lid, onder a, Wok). Daarnaast is het ingevolge artikel 1, eerste lid, onder b, van de Wok eveneens verboden de deelneming aan een kansspel, waarvoor geen vergunning is verleend, te bevorderen. Tevens staat in artikel 1, eerste lid,
18 juni 2025
Kenmerk
18474/01.344.071
- onder c, van de Wok dat het verboden is deel te nemen aan kansspelen waarvoor geen vergunning is verleend.
2. Op grond van artikel 33b van de Wok heeft de raad van bestuur onder meer tot taak het verlenen van vergunningen voor diverse vormen van kansspelen, waaronder kansspelen op afstand (hierna: online kansspelen). Met het verlenen van vergunningen voor online kansspelen ontstaat er een verantwoord, betrouwbaar en controleerbaar aanbod. De Kansspelautoriteit acht het aanbieden van online kansspelen zonder daartoe strekkende vergunning zeer ernstig en treedt hiertegen op. 1  De doelstellingen van het kansspelbeleid, wetende het voorkomen van kansspelverslaving, het beschermen van de consument en het tegengaan van mogelijke fraude en criminaliteit, worden door het zonder vergunning aanbieden van kansspelen online omzeild. De kansspelsector is bovendien geen gewone economische sector maar extra gevoelig voor fraude, bedrog en verslaving waarvan de consument de dupe kan worden. Deelnemers aan dergelijke kansspelen lopen daarbij risico's omdat er geen garantie is dat het spel betrouwbaar is, het betalingsverkeer veilig verloopt en gewonnen prijzen daadwerkelijk worden uitgekeerd.
3. Naast aanbieders van kansspelen online hebben tussenpersonen, bevorderaars, ook een belangrijke rol bij de deelname van consumenten aan kansspelaanbod. Bevorderaars mogen hun diensten aanbieden aan kansspelaanbieders die een geldige vergunning hebben van de Kansspelautoriteit. 2  Het bevorderen van onvergund kansspelaanbod is verboden. Zonder diensten als reclame, betalingsen internetverkeer of het leveren van software wordt het voor de kansspelaanbieders immers moeilijker om hun illegale aanbod aan de consument aan te bieden en voor de consument om daaraan deel te nemen. De Kansspelautoriteit neemt daarom ook andere maatregelen om het kansspelaanbod online zonder vergunning te frustreren, bijvoorbeeld door het opwerpen van barrières bij tussenpersonen in de reclamebranche, het betalingsen internetverkeer en bij software leveranciers. Doel hiervan is dat deze tussenpersonen hun diensten niet meer ter beschikking stellen aan aanbieders van kansspelen online zonder vergunning. Dit zorgt ervoor dat het voor deze aanbieders onaantrekkelijk en wellicht onmogelijk wordt om kansspelen aan te bieden en voor consumenten om bij deze aanbieders te spelen.
1  Voor sanctiebesluiten genomen door de raad van bestuur van de Kansspelautoriteit zie
www.kansspelautoriteit.nl.
2  Een overzicht van vergunninghouders is beschikbaar op www.kansspelautoriteit.nl.
VERTROUWELIJK
Kansspelautoriteit
18 juni 2025
Kenmerk
18474/01.344.071
4. Het bestrijden van kansspelen online zonder vergunning vergt ook dat de Kansspelautoriteit bestuurlijk handhavend optreedt tegen het bevorderen van kansspelaanbod waarvoor geen vergunning is verleend. Artikel 1, eerste lid, onder b, van de Wok biedt daarvoor een grondslag.
5. Als onderdeel van haar toezichthoudende taak heeft de Kansspelautoriteit onderzoek gedaan naar partijen die illegale online kansspelen bevorderen in de vorm van het (doen) plaatsen van reclame-uitingen voor kansspelaanbod online waarvoor geen vergunning is verleend.
## 2 Juridisch kader
6. Op grond van artikel 1, eerste lid, onder a, van de Wok is het verboden om gelegenheid te geven tot deelname aan een kansspel waarvoor geen vergunning ingevolge de Wok is verleend.
7. Op grond van artikel 1, eerste lid, onder b, van de Wok, is het verboden om de deelneming aan een kansspel waarvoor geen vergunning is verleend, te bevorderen.
8. Op grond van artikel 1, eerste lid, onder c, van de Wok, is het verboden om deel te nemen aan een kansspel wetende dat daarvoor geen vergunning is verleend.
9. Naar het oordeel van de Kansspelautoriteit staat vast dat het (doen) plaatsen van reclame-uitingen en in wervende bewoordingen promoten 3  valt onder 'bevorderen' als bedoeld in artikel 1, eerste lid, onder b, van de Wok. Naar algemeen taalgebruik wordt onder bevorderen verstaan: vooruithelpen. In relatie tot het gelegenheid geven van deelname aan een kansspel zonder vergunning wordt onder bevorderen verstaan: het ontplooien van activiteiten die het organiseren van kansspelen zonder vergunning helpen, ondersteunen, vergemakkelijken of beter laten verlopen, daartoe bijdragen of daartoe voorzieningen aanbieden of beschikbaar stellen. Het (doen) plaatsen van reclame-uitingen en in wervende bewoordingen promoten vormt een wezenlijke activiteit voor het succesvol en winstgevend aanbieden en verkopen van (online) producten of diensten. Immers, door reclame worden (potentiële) afnemers geattendeerd op dat aanbod en gestimuleerd daaraan deel te nemen.
3  ABRvS 20 januari 2020, ECLI:NL:RVS:2020:169.
10. Op grond van artikel 33b van de Wok heeft de Kansspelautoriteit onder meer tot taak het toezicht op de naleving van de toepasselijke wet- en regelgeving en de vergunningen, alsmede de handhaving daarvan.
11. De Kansspelautoriteit is op grond van artikel 35 van de Wok bevoegd tot het opleggen van een last onder bestuursdwang wegens overtreding van de voorschriften van de Wok. Artikel 5:32, eerste lid, van de Algemene wet bestuursrecht (hierna: Awb) bepaalt dat een bestuursorgaan dat bevoegd is een last onder bestuursdwang op te leggen, in plaats daarvan aan de overtreder een last onder dwangsom kan opleggen.
## 3 Bevindingen
## 3.1 Bevorderen kansspelen zonder vergunning
12. Op 24 april 2025 heeft een toezichthouder van de Kansspelautoriteit vastgesteld dat in de YouTube video '€5000,- CASINO STREAM X BODYGUARD | BEGINNEN BIJ DE 750 LIKES (24+)' van het YouTube kanaal 'LeftlanePapi' reclameuitingen aanwezig waren met betrekking tot onvergund kansspelaanbod. 4
13. In de video is te zien dat [overtreder] op de website skyhills.com deelneemt aan diverse kansspelen. In het fragment is de homepagina van de website skyhills.com in beeld, zonder het daar bij behorende logo. Dit is wel zichtbaar wanneer de pagina aan het laden is. 5  In de video worden diverse slots genoemd, bijvoorbeeld 'Pond of Plinko dan maar. Pond of Plinko is ook zo'n vieze slot geworden' en 'Brick house nog even spinnen'. 6
14. Rechts naast de video is een chat venster. In dit venster is de volgende tekst te zien: 'Wil jij spelen waar Babayan ook speelt? Speel hier met Nederlandse support in onze discord!'. Deze tekst wordt gevolgd door een link naar de website skyhills.com. 7
4  Bijlage 18474/01.341.316/01
5  Bijlage 18474/01.341.316/02
6  Bijlage 18474/01.341.316/02
7  Bijlage 18474/01.341.316/02
18 juni 2025
Kenmerk
15. [overtreder] zegt in zijn video: 'Ik doe de stream altijd gewoon even twaalf uur live laten staan. Daarna verwijder ik hem per direct man. Je weet hoe YouTube en Ksa is met mij, ik heb geen zin in hoofdpijn.' 8
16. Bij skyhills.com, de kansspelwebsite die in de video wordt getoond, worden diverse kansspelen aangeboden zoals slots, sportweddenschappen en live casinospelen. 9
17. Uit onderzoek naar skyhills.com is gebleken dat het mogelijk is om vanuit Nederland 10  een spelersaccount aan te maken 11 , een storting te verrichten 12  en deel te nemen aan kansspelen 13 . Er zijn geen technische maatregelen genomen om deelnemers vanuit Nederland de toegang tot de kansspelen te beletten.
18. De aanbieder van deze kansspelwebsite is niet in het bezit van een vergunning voor het aanbieden van online kansspelen in Nederland.
19. Naast de eerder genoemde video heeft de toezichthouder vastgesteld dat ook via andere media reclame-uitingen met betrekking tot onvergund kansspelaanbod worden aangeboden door [overtreder]. Hier heeft [overtreder] eerder waarschuwingsbrieven voor ontvangen. 14   15
20. De tijdens het onderzoek vastgelegde uitingen kwalificeren zich naar het oordeel van de raad van bestuur als bevorderen. In de video wordt doelbewust gespeeld op een kansspelwebsite zonder vergunning van de Kansspelautoriteit. Door deze site expliciet in beeld te brengen, het spelaanbod te tonen en de indruk te wekken dat deelname aantrekkelijk of zonder risico is, wordt de illegale aanbieder onder de aandacht gebracht van het publiek. Daarmee is sprake van het aanprijzen van een illegaal kansspelaanbod, wat zich kwalificeert als bevorderen. Dit is een overtreding van artikel 1, eerste lid, onder b, van de Wok. Het betreffende YouTube account heeft meer dan 53.000 abonnees.
8  Bijlage 18474/01.341.316/01
9  Bijlage 18474/01.341.316/04
10  Bijlage 18474/01.341.316/03
11  Bijlage 18474/01.341.316/05
12  Bijlage 18474/01.341.316/06
13  Bijlage 18474/01.341.316/07
14  Bijlage 18474/01.330.079
15  Bijlage 18474/01.324.050
Kansspelautoriteit
18 juni 2025
Kenmerk
18474/01.344.071
21. Tevens kwalificeert het handelen van [overtreder] zich als spelen op een illegale kansspelwebsite wetende dat deze geen vergunning heeft, hetgeen een overtreding is van artikel 1, eerste lid, onder c, van de Wok. De Kansspelautoriteit baseert dit op de feiten zoals beschreven onder punten 13, 14 en 15 in dit besluit. Bovendien is [overtreder] in eerdere waarschuwingsbrieven zeer nadrukkelijk gewezen op dergelijke onvergunde kansspelen en de mogelijke consequenties als hij zich niet daaraan zou onttrekken.
## 3.2 Overtreder
22. Voor de hiervoor beschreven reclame-uitingen op het YouTube kanaal 'LeftlanePapi' wordt [overtreder] (hierna: overtreder) verantwoordelijk gehouden. Op de Instagram pagina van 'LeftlanePapi' staat een bericht waarin wordt benoemd dat [overtreder] de eigenaar is van 'LeftlanePapi'. Op grond hiervan wordt [overtreder] als overtreder aangemerkt. 16
23. Overtreder is volgens GBA gevestigd [adres]. 17
## 4 Overtreding van de Wet op de kansspelen
24. Op grond van het voorgaande staat naar het oordeel van de Kansspelautoriteit vast dat overtreder doormiddel van het YouTube kanaal 'LeftlanePapi' reclameuitingen heeft gedaan voor websites die gelegenheid geven tot deelname aan kansspelaanbod waarvoor geen vergunning is verleend. Tevens neemt overtreder deel aan kansspelen op een website waarvoor geen vergunning is verleend. De Kansspelautoriteit heeft vastgesteld dat de dienstverlening van [overtreder] doormiddel van het YouTube kanaal 'LeftlanePapi' betrekking heeft op (het bevorderen van) deelneming aan illegale kansspelen.
25. Op grond van het voorgaande stelt de Kansspelautoriteit vast dat overtreder artikel 1, eerste lid, onder b, van de Wok heeft overtreden. Tevens heeft overtreder artikel 1, eerste lid, onder c, van de Wok overtreden.
16  Bijlage 18474/01.341.316/08
17  Bijlage 18474/01.341.316/09
## 5 Zienswijze
26. In de brief van 20 mei 2025 heeft de Kansspelautoriteit het voornemen tot het opleggen van een last onder dwangsom kenbaar gemaakt aan overtreder. Hiermee is de gelegenheid geboden om binnen twee weken na dagtekening van de brief een zienswijze, mondeling of schriftelijk, te geven op het voornemen.
27. Van deze gelegenheid is geen gebruik gemaakt.
## 6 Overwegingen tot oplegging last
28. Handhavend optreden tegen aanbieders van kansspelen waarvoor geen vergunning is verleend is noodzakelijk om de zwaarwegende belangen van de Wok, zoals hiervoor vermeld, te beschermen. De Kansspelautoriteit acht het gelet op deze belangen eveneens noodzakelijk dat partijen die het onvergunde kansspelaanbod bevorderen hun dienstverlening aan dergelijk kansspelaanbod staken en gestaakt houden, door hen een last onder dwangsom op te leggen. Gelet op het belang om betrokkene ertoe te brengen het bevorderen van kansspelen, waarvoor geen vergunning is verleend na te laten, acht de Kansspelautoriteit het opleggen van een last onder dwangsom ter voorkoming van herhaling noodzakelijk.
29. Blijkens jurisprudentie volstaat voor het opleggen van een last tot voorkoming van herhaling in beginsel het bestaan van een eerdere overtreding die herhaald of hervat kan worden. Verder moet er een 'voldoende mate van continuïteit' zijn (die wijst op een herhalingsrisico).
30. Uit de feiten genoemd in paragraaf 3.1 leiden wij voldoende mate van continuïteit af, om te kunnen stellen dat er gevaar bestaat dat u de overtreding zult herhalen.
31. Met het oog op het evenredigheidsbeginsel van artikel 3:4, tweede lid, van de Awb is de Kansspelautoriteit van oordeel dat de belangen van de betrokkenen in dit geval het belang van [overtreder] - derhalve niet onevenredig worden geschaad door dit besluit en het daarmee gediende belang.
Kansspelautoriteit
18 juni 2025
Kenmerk
18474/01.344.071
## 7 Hoogte van de dwangsom en begunstigingstermijn
32. Handhaving van de regels in de kansspelsector en voorkomen van illegaal kansspelaanbod is noodzakelijk, gelet op de belangen van een betrouwbaar spelaanbod en veilig betalingsverkeer. De kansspelsector is extra gevoelig voor fraude, bedrog en verslaving waarvan de consument de dupe kan worden. Het zijn deze te beschermen - en in beginsel geschonden - belangen die de Kansspelautoriteit heeft meegewogen bij de vaststelling van de hoogte van de dwangsom en de begunstigingstermijn.
## 7.1 Hoogte dwangsom
33. Ten aanzien van de hoogte van de dwangsom, bepaalt artikel 5:32b, derde lid van de Awb dat de hoogte ervan in redelijke verhouding dient te staan tot de zwaarte van het geschonden belang en tot de beoogde werking van de dwangsom. Daarnaast moet van de hoogte van de dwangsom voldoende (financiële) prikkel uitgaan voor de overtreder om de overtreding te beëindigen.
34. Bij de vaststelling van de hoogte van de dwangsom heeft de Kansspelautoriteit acht geslagen op het feit dat de verdiensten bij het maken van reclame voor illegale kansspelaanbieders hoog kunnen zijn en dat de reclame-uitingen in meerdere video's zijn aangetroffen.
## 7.2 Begunstigingstermijn
35. Omdat deze last ter voorkoming van herhaling een last tot nalaten inhoudt, is een begunstigingstermijn waarbinnen aan de last kan worden voldaan niet nodig. Daarnaast is het niet noodzakelijk om herstelmaatregelen op te nemen in deze beschikking. Immers, de huidige rechtmatige situatie dient in stand te worden gelaten.
## 8 Besluit
36. De Kansspelautoriteit legt overtreder de volgende last onder dwangsom op:
- a. Overtreder dient de verspreiding, promotie en het streamen of spelen van illegale kansspelen via YouTube en/of andere (sociale media) platforms per direct gestaakt te houden.
VERTROUWELIJK
Kansspelautoriteit
18 juni 2025
Kenmerk
18474/01.344.071
- b. Overtreder dient op straffe van verbeurte van een dwangsom van € 25.000,het overtreden van artikel 1, eerste lid, aanhef en onder b, en c van de Wok na te laten, tot een maximum van € 75.000,-.
's-Gravenhage, 18 juni 2025 Hoogachtend, De raad van bestuur van de Kansspelautoriteit, namens deze, w.g. mr. P.J.H. Benner hoofd afdeling Handhaving
9
## VERTROUWELIJK
## Bezwaar.
Dit is een besluit. Tegen dit besluit kunt u bezwaar maken. Dat doet u door een gemotiveerd bezwaarschrift in te dienen. Dit moet u doen binnen zes weken na de bekendmaking van deze beslissing (dat is: de datum van verzending van dit besluit).
U kunt uw bezwaarschrift sturen naar het volgende adres:
Kansspelautoriteit Afdeling Juridische Zaken &amp;amp; Vergunningen Postbus 298 2501 CG Den Haag
U kunt uw bezwaarschrift ook digitaal sturen. Dit kunt u doen door uw bezwaarschrift in PDF-formaat te mailen  naar griffie@kansspelautoriteit.nl.
Een bezwaarschrift kan ook door een gemachtigde worden ingediend. Als de gemachtigde geen advocaat is, moet bij het bezwaarschrift een machtiging worden bijgevoegd.
Zorg ervoor dat het bezwaarschrift in elk geval het volgende bevat:
- o Naam en adres van de bezwaarmaker;
- o De datum van het bezwaarschrift;
- o Een kopie van het besluit waartegen bezwaar wordt gemaakt;
- o De gronden van het bezwaar; en
- o Ondertekening door de bezwaarmaker of de gemachtigde.
Als een of meerdere onderdelen in uw bezwaarschrift, zoals bijvoorbeeld de gronden van het bezwaar, ontbreken, zullen wij u de kans geven om dit te herstellen. Mocht u dat niet of niet op tijd doen, kan uw bezwaar niet-ontvankelijk worden verklaard.
Let op: het instellen van bezwaar schort de werking van dit besluit niet op. Kunt u het besluit op uw bezwaarschrift niet afwachten omdat u een spoedeisend belang heeft? Dan kunt u bij de sector bestuursrecht van de rechtbank in uw arrondissement een verzoek om voorlopige voorziening indienen.
Voor meer informatie kunt u op www.rijksoverheid.nl de brochure 'Bezwaar en beroep tegen een beslissing van de overheid' downloaden.
## Kansspelautoriteit
18 juni 2025 Kenmerk 18474/01.344.071</t>
  </si>
  <si>
    <t>[...] omstandigheden kan geheel of gedeeltelijk van invordering worden afgezien. In het onderhavige geval is geen sprake van dergelijke bijzondere omstandigheden. ## 7 Besluit invordering 19. De Kansspelautoriteit heeft Techno Offshore Limited per brief van 11 december 2024 9 , 17 december 2024 10 en 20 december 2024 11 verzocht om de verbeurde dwangsommen te betalen. Omdat Techno Offshore Limited niet binnen zes weken heeft voldaan aan haar betalingsverplichting besluit de Kansspelautoriteit op grond van artikel 5:37 van de Awb over te gaan tot het invorderen van deze verbeurde dwangsommen. 20. Het bedrag van € [...]</t>
  </si>
  <si>
    <t>KSA__https___kansspelautoriteit.nl_sites_default_files_techo_offshore_limited_17393_invorderingsbesluit_20250526.txt::Besluitvormend Orgaan</t>
  </si>
  <si>
    <t>De raad van bestuur van de Kansspelautoriteit [8464:8509]</t>
  </si>
  <si>
    <t>de raad van bestuur van de Kansspelautoriteit [50:95]</t>
  </si>
  <si>
    <t>## VERTROUWELIJK &lt;!-- image --&gt; Besluit van de raad van bestuur van de Kansspelautoriteit als bedoeld in artikel 5:37 van de Algemene wet bestuursrecht tot invordering van verbeurde dwangsommen. Datum: 28 april 2025 Kenmerk: 17393/01.339.488 ## Invorderingsbesluit ## Samenvatting Bij besluit van 23 juli 2024 heeft de raad van bestuur van de Kansspelautoriteit een last onder dwangsom opgelegd aan Techno Offshore Limited. De Kansspelautoriteit stelt vast dat Techno Offshore Limited de opgelegde lastgeving heeft overtreden en dat van rechtswege dwangsommen zijn verbeurd ter hoogte van €840.000,-. Omdat de verbeurde dwangsommen niet zijn betaald, besluit de Kansspelautoriteit over te gaan tot invordering. ## 1 Inleiding 1. De raad van bestuur van de Kansspelautoriteit (hierna: de Kansspelautoriteit) is belast met het toezicht op de naleving van het bepaalde in de Wet op de kansspelen (hierna: Wok). 2. Zoals de Afdeling bestuursrechtspraak van de Raad van State (hierna: de Afdeling) eerder heeft overwogen (in onder meer de uitspraak van 13 juni 2018, ECLI:NL:RVS:2018:1968), moet bij een besluit tot invordering van een verbeurde dwangsom aan het belang van de invordering een zwaarwegend gewicht worden toegekend. Een andere opvatting zou afdoen aan het gezag dat moet uitgaan van een besluit tot oplegging van een last onder dwangsom. Steun voor dit uitgangspunt kan worden gevonden in de geschiedenis van de totstandkoming van artikel 5:37, eerste lid, van de Algemene wet bestuursrecht (hierna: Awb). 1 Hierin is vermeld dat een adequate handhaving vergt dat 1 Kamerstukken II 2003/04, 29 702, nr. 3, blz. 115. ## VERTROUWELIJK &lt;!-- image --&gt; Kansspelautoriteit 28 april 2025 Kenmerk 17393/01.339.488 opgelegde sancties ook worden geëffectueerd en dus dat verbeurde dwangsommen worden ingevorderd. Slechts in bijzondere omstandigheden kan geheel of gedeeltelijk van invordering worden afgezien. ## 2 Juridisch kader 3. Artikel 5:33 van de Awb bepaalt dat een verbeurde dwangsom wordt betaald binnen zes weken nadat zij van rechtswege is verbeurd. 4. Artikel 5:37, eerste lid, van de Awb bepaalt dat het bestuursorgaan, alvorens aan te manen tot betaling van de dwangsom, bij beschikking omtrent de invordering van een dwangsom beslist. ## 3 Besluit last onder dwangsom 5. De raad van bestuur van de Kansspelautoriteit heeft vastgesteld dat Techno Offshore Limited door middel van de websites simplecasino.com en nolimitbet.com gelegenheid geeft tot deelname aan een kansspel, terwijl voor dat laatstgenoemde aanbod geen vergunning is afgegeven op grond van de Wok. Uit onderzoek is gebleken dat het mogelijk is om op de hiervoor genoemde websites vanuit Nederland een spelersaccount aan te maken, een storting te verrichten en deel te nemen aan kansspelen. Er zijn geen technische maatregelen genomen om deelnemers vanuit Nederland de toegang tot de kansspelen te beletten. 6. Bij besluit van 23 juli 2024 heeft de Kansspelautoriteit vervolgens de volgende last onder dwangsom opgelegd aan Techno Offshore Limited (overtreder) wegens overtreding van artikel 1, eerste lid, onder a, van de Wok 2 : - a. Overtreder wordt op straffe van verbeurte van een dwangsom gelast uiterlijk binnen vier weken na dagtekening van dit besluit de overtreding(en) van artikel 1, eerste lid, onder a, van de Wok te staken en gestaakt te houden. 2 Bijlage 17393/01.320.704 ## VERTROUWELIJK &lt;!-- image --&gt; Kansspelautoriteit 28 april 2025 Kenmerk 17393/01.339.488 - b. Overtreder kan dit doen door alle gelegenheid om vanuit Nederland deel te nemen aan kansspelen op afstand, waarvoor geen vergunning ingevolge de Wok is verleend, te beëindigen en beëindigd te houden. Dit omvat het aanbieden van kansspelen via de door de Kansspelautoriteit onderzochte websites en alle andere websites die in eigendom/beheer zijn bij overtreder. Tevens omvat dit ook iedere andere activiteit (waaronder, maar niet uitsluitend, het aanbieden van kansspelapps) als gevolg waarvan het mogelijk is vanuit Nederland deel te nemen aan kansspelen op afstand en waarvoor geen vergunning ingevolge de Wok is verleend, te beëindigen en beëindigd te houden. - c. Na het verstrijken van de onder randnummer a genoemde begunstigingstermijn verbeurt overtreder een dwangsom van €280.000,- per week of gedeelte van de week of constatering van een overtreding van artikel 1, eerste lid, aanhef en onder a, van de Wok, tot een maximum van €840.000,-. 7. De begunstigingstermijn liep op 20 augustus 2024 af. 8. Techno Offshore Limited heeft geen bezwaar gemaakt tegen het besluit van 23 juli 2024 tot het opleggen van een last onder dwangsom. ## 4 Bevindingen hercontrole 9. Een toezichthouder van de Kansspelautoriteit heeft in het kader van het toezicht op de opgelegde last onder dwangsom op 3 december 2024 een hercontrole uitgevoerd. 3 10. Uit de hercontrole is gebleken dat het mogelijk is om op de website nolimitbet.com in te loggen met bestaande accountgegevens en deel te nemen aan een kansspel. Tijdens deze hercontrole is gebleken dat de overtreding niet is beëindigd. 3 Bijlage 17393/01.330.326 ## VERTROUWELIJK &lt;!-- image --&gt; Kansspelautoriteit 28 april 2025 Kenmerk 17393/01.339.488 11. Een toezichthouder van de Kansspelautoriteit heeft in het kader van het toezicht op de opgelegde last onder dwangsom op 9 december 2024 nogmaals een hercontrole uitgevoerd. 4 12. Uit de hercontrole is gebleken dat het mogelijk is om op de website nolimitbet.com in te loggen met bestaande accountgegevens en deel te nemen aan een kansspel. 13. Een toezichthouder van de Kansspelautoriteit heeft in het kader van het toezicht op de opgelegde last onder dwangsom op 16 december 2024 nogmaals een hercontrole uitgevoerd. 5 14. Uit de hercontrole is gebleken dat het mogelijk is om op de website nolimitbet.com in te loggen met bestaande accountgegevens en deel te nemen aan een kansspel. 15. Op basis van deze bevindingen wordt geconcludeerd dat Techno Offshore Limited door middel van de website nolimitbet.com gelegenheid geeft tot deelname aan een kansspel, terwijl voor dat laatstgenoemde geen vergunning is afgegeven op grond van de Wet op de kansspelen. Hiermee handelt Techno Offshore Limited in strijd met artikel 1, eerste lid, aanhef en onder a, van de Wok. De overtreding is niet beëindigd en beëindigd gehouden. Techno Offshore Limited heeft dan ook, na de in de last onder dwangsom genoemde termijn, de Wok overtreden. ## 5 Zienswijze 16. Bij brief van 4 maart 2025 6 heeft de Kansspelautoriteit een voornemen invorderingsbesluit 7 gestuurd naar Techno Offshore Limited. In deze brief is 4 Bijlage 17393/01.331.327 5 Bijlage 17393/01.331.682 6 Bijlage 17393/01.336.080 7 Bijlage 17393/01.336.084 ## VERTROUWELIJK &lt;!-- image --&gt; Kansspelautoriteit 28 april 2025 Kenmerk 17393/01.339.488 Techno Offshore Limited in de gelegenheid gesteld een zienswijze in te dienen. Hiervan is geen gebruik gemaakt. ## 6 Vaststelling verbeuring last 17. Het verbeuren van dwangsommen geschiedt van rechtswege. Gelet op het bovenstaande stelt de Kansspelautoriteit, onder verwijzing naar het besluit van 23 juli 2024 8 , vast dat Techno Offshore Limited niet heeft voldaan aan de lastgeving. Hiermee heeft Techno Offshore Limited in totaal €840.000,- aan dwangsommen verbeurd. 18. Slechts in bijzondere omstandigheden kan geheel of gedeeltelijk van invordering worden afgezien. In het onderhavige geval is geen sprake van dergelijke bijzondere omstandigheden. ## 7 Besluit invordering 19. De Kansspelautoriteit heeft Techno Offshore Limited per brief van 11 december 2024 9 , 17 december 2024 10 en 20 december 2024 11 verzocht om de verbeurde dwangsommen te betalen. Omdat Techno Offshore Limited niet binnen zes weken heeft voldaan aan haar betalingsverplichting besluit de Kansspelautoriteit op grond van artikel 5:37 van de Awb over te gaan tot het invorderen van deze verbeurde dwangsommen. 20. Het bedrag van €840.000,- dient binnen 6 weken na dagtekening van dit besluit te zijn overgemaakt op het rekeningnummer NL07ABNA0501634479, ABN-AMRO ten name van Kansspelautoriteit onder vermelding van het dossiernummer 17393 en kenmerk 01.339.488. 's-Gravenhage, 28 april 2024 8 Bijlage 17393/01.320.704 9 Bijlage 17393/01.330.323 10 Bijlage 17393/01.331.232 11 Bijlage 17393/01.331.681 ## VERTROUWELIJK Hoogachtend, De raad van bestuur van de Kansspelautoriteit, namens deze, &lt;!-- image --&gt; mr. P.J.H. Benner hoofd afdeling Handhaving &lt;!-- image --&gt; ## Kansspelautoriteit 28 april 2025 Kenmerk 17393/01.339.488 ## VERTROUWELIJK ## Bezwaar. Dit is een bes [...]</t>
  </si>
  <si>
    <t>KSA__https___kansspelautoriteit.nl_sites_default_files_techo_offshore_limited_17393_invorderingsbesluit_20250526.txt::Rechtshandeling</t>
  </si>
  <si>
    <t>invorderen</t>
  </si>
  <si>
    <t>invorderen [7970:7981]</t>
  </si>
  <si>
    <t>invorderen [7970:7980]</t>
  </si>
  <si>
    <t>[...] verbeurde dwangsommen te betalen. Omdat Techno Offshore Limited niet binnen zes weken heeft voldaan aan haar betalingsverplichting besluit de Kansspelautoriteit op grond van artikel 5:37 van de Awb over te gaan tot het invorderen van deze verbeurde dwangsommen. 20. Het bedrag van €840.000,- dient binnen 6 weken na dagtekening van dit besluit te zijn overgemaakt op het rekeningnummer NL07ABNA0501634479, ABN-AMRO ten name van Kansspelautoriteit on [...]</t>
  </si>
  <si>
    <t>## OPENBAAR
Besluit van de Raad van Bestuur van de Kansspelautoriteit als bedoeld in artikel 35 van de Wet op de kansspelen.
Datum: 20 november 2017 Kenmerk: 10880/01.019.593 Openbaarmaking onder kenmerk: 10880/01.022.483
## Besluit
## Samenvatting
De Kansspelautoriteit (hierna: de raad van bestuur) heeft vastgesteld dat Gaming Innovation Group Limited en haar dochteronderneming Innovation Labs Limited reclame maakt voor kansspelaanbieders terwijl voor het spelaanbod geen vergunning is afgegeven op grond van de Wet op de Kansspelen (hierna: Wok). Daarmee handelen Gaming Innovation Group Limited en haar dochteronderneming Innovation Labs Limited zelf ook in strijd met de Wok. De raad van bestuur legt Gaming Innovation Group Limited en Innovation Labs Limited een last onder dwangsom op om het maken van reclame voor kansspelen waarvoor geen vergunning ingevolge de Wok is verleend, te beëindigen en beëindigd te houden.
## Handhaving van de Wet op de kansspelen
1. De Kansspelautoriteit is belast met het toezicht op de naleving van het bepaalde in de Wok. In de Wok is onder andere bepaald dat het in Nederland verboden is gelegenheid te geven tot deelname aan kansspelen, tenzij daarvoor ingevolge de Wok vergunning is verleend (artikel 1, eerste lid, onder a Wok). Daarnaast is het ingevolge artikel 1, eerste lid, onder b, van de Wok eveneens verboden de deelneming aan een kansspel, waarvoor geen vergunning is verleend, te bevorderen.
## Kansspelautoriteit
## OPENBAAR
2. De Wok voorziet niet in de mogelijkheid vergunningen te verlenen voor kansspelen online. Binnen het huidige wettelijke kader kan voor kansspelen online onvoldoende vorm worden gegeven aan de doelstellingen van het kansspelbeleid: het voorkomen van kansspelverslaving, het beschermen van de consument en het tegengaan van mogelijke fraude en criminaliteit.
3. De Kansspelautoriteit acht het aanbieden van kansspelen online zonder daartoe strekkende vergunning als zeer ernstig. 1  De doelstellingen van het kansspelbeleid worden -door het zonder vergunning aanbieden van kansspelen online- omzeild. De kansspelsector is bovendien geen gewone economische sector maar extra gevoelig voor fraude, bedrog en verslaving waarvan de consument de dupe kan worden. Deelnemers aan dergelijke kansspelen lopen daarbij risico's omdat er geen garantie is dat het spel betrouwbaar is, het betalingsverkeer veilig verloopt en gewonnen prijzen daadwerkelijk worden uitgekeerd.
4. Naast aanbieders van kansspelen online hebben tussenpersonen, bevorderaars, ook een belangrijke rol bij de deelname van consumenten aan -en het in stand houden van- dit soort kansspelaanbod. Zonder hun diensten wordt het voor de kansspelaanbieders immers ook moeilijker om hun aanbod aan de consument aan te bieden en voor de consument om daaraan deel te nemen. De Kansspelautoriteit neemt daarom ook andere (indirecte) maatregelen om het kansspelaanbod online zonder vergunning te frustreren, bijvoorbeeld door het opwerpen van barrières bij tussenpersonen in het betalingsverkeer, binnen de reclamebranche en het internetverkeer. Doel hiervan is dat deze tussenpersonen hun diensten niet meer ter beschikking stellen aan aanbieders van kansspelen online zonder vergunning. Dit zorgt ervoor dat het voor deze aanbieders onaantrekkelijk en wellicht onmogelijk wordt om kansspelen aan te bieden en voor consumenten om bij deze aanbieders te spelen.
5. Het bestrijden van kansspelen online zonder vergunning vergt ook dat de Kansspelautoriteit bestuurlijk handhavend optreedt tegen het bevorderen van kansspelaanbod waarvoor geen vergunning is verleend. Artikel 1, eerste lid, onder b, van de Wok biedt daarvoor een grondslag.
1
Sanctiebesluiten genomen door de raad van bestuur van de Kansspelautoriteit. (zie:
[http://www.kansspelautoriteit.nl/besluiten/sanctiebesluiten)](http://www.kansspelautoriteit.nl/besluiten/sanctiebesluiten)
## OPENBAAR
6. Als onderdeel van haar toezichthoudende taak heeft de Kansspelautoriteit onderzoek gedaan naar partijen die illegale online kansspelen bevorderen in de vorm van het (doen) plaatsen van reclame-uitingen voor illegaal online kansspelaanbod. Genoemde partijen handelen daarmee in strijd met het in artikel 1, eerste lid, onder b, van de Wok bepaalde. De Kansspelautoriteit heeft zich daarbij in eerste instantie gericht op die bevorderaars die reclame maken voor kansspelaanbod online zonder vergunning waarvoor de Kansspelautoriteit reeds eerder een sanctie heeft opgelegd.
## Juridisch kader
7. Op grond van artikel 1, eerste lid, onder a, van de Wok is het verboden om gelegenheid te geven tot deelname aan een kansspel waarvoor geen vergunning ingevolge de Wok is verleend.
8. Eveneens is het verboden op grond van artikel 1, eerste lid, onder b, van de Wok, om de deelneming aan een kansspel waarvoor geen vergunning is verleend, te bevorderen.
9. Naar het oordeel van de Kansspelautoriteit staat buiten kijf dat het (doen) plaatsen van reclame-uitingen valt onder 'bevorderen' als bedoeld in artikel 1, eerste lid, onder b, van de Wok. Naar algemeen taalgebruik wordt onder bevorderen verstaan: vooruithelpen. In relatie tot het gelegenheid geven van deelname aan een kansspel zonder vergunning wordt onder bevorderen verstaan: het ontplooien van activiteiten die het organiseren van kansspelen zonder vergunning helpen, ondersteunen, vergemakkelijken of beter laten verlopen, daartoe bijdragen of daartoe voorzieningen aanbieden of beschikbaar stellen. Het (doen) plaatsen van reclame-uitingen vormt een wezenlijke activiteit voor het succesvol en winstgevend aanbieden en verkopen van (online) producten of diensten. Immers, door reclame worden (potentiële) afnemers geattendeerd op dat aanbod en gestimuleerd daaraan deel te nemen.
10. De Kansspelautoriteit ziet zich in haar oordeel gesterkt door de uitspraak van het Hof 's-Gravenhage van 19 november 1998, 2  waarin het Hof aangeeft dat onder 'bevorderen' als bedoeld in artikel 1, eerste lid, onder b, van de Wok ook wordt verstaan 'het voeren van reclame ( onderstreping Kansspelautoriteit ) en het
2  Hof 's-Gravenhage, 19 november 1998, NJ 1999, 679 (RO 4.2).
vergemakkelijken van de deelname en de betaling van de inzet door deelnemers.' Ook uit de behandeling van het thans aanhangige wetsvoorstel Kansspelen op afstand blijkt dat duidelijk is dat in ieder geval wervings- en reclamediensten ten behoeve van kansspelen onder het begrip 'bevorderen' vallen. 3
11. Op grond van artikel 33a van de Wok heeft de Kansspelautoriteit onder meer tot taak het toezicht op de naleving van de toepasselijke wet- en regelgeving en de vergunningen, alsmede de handhaving daarvan. De raad van bestuur van de Kansspelautoriteit is op grond van artikel 35 van de Wok bevoegd tot het opleggen van een last onder bestuursdwang wegens overtreding van de voorschriften van de Wok. Artikel 5:32, eerste lid van de Algemene wet bestuursrecht (hierna: Awb) bepaalt dat een bestuursorgaan dat bevoegd is een last onder bestuursdwang op te leggen, in plaats daarvan aan de overtreder een last onder dwangsom kan opleggen.
## Bevindingen
12. In het kader van het toezichtonderzoek naar bevorderaars van kansspelen online, waarvoor geen vergunning is verleend, heeft de Kansspelautoriteit onder meer onderzoek gedaan naar websites waarop reclame werd gemaakt voor het kansspelaanbod online en de daarbij betrokken websites.
13. Op 14 juni 2017 heeft een toezichthouder van de Kansspelautoriteit (hierna: toezichthouder) geconstateerd dat na het opvoeren van de domeinnaam en .nl extensie (lees: topcasinobonus.nl) in de daarvoor bestemde adresbalk van de browser, direct werd doorgeleid naar dezelfde domeinnaam maar met een andere extensie, te weten .nu (lees: topcasinobonus.nu). 4  Op de website topcasinobonus.nu werd onder meer reclame gemaakt voor online kansspelaanbieders.
14. Verder heeft een toezichthouder op 14 juni 2017 een onderzoek in de openbare bronnen op internet ingesteld naar [bedrijf 1] 5  Uit dit onderzoek kwam naar
3  Kamerstukken II, 2013/14, 33996, nr. 3, p. 74.
4  Dossierstuk 10880/01.011.871/001
5  Dossierstuk 10880/01.011.872
voren dat de website topcasinobonus.nl van [bedrijf 1] is overgenomen door Gaming Innovation Group Inc.
15. Uit een persbericht van 16 maart 2016, afkomstig van de website [bedrijf 1], werd onder meer het navolgende vermeld: 6
[persoon 1], the Managing Director and owner of [bedrijf 1] responded as follows the takeover: 'It has been a great journey for us to work on several Dutch lead generation websites in the online casino branche. It is known that online casino has become increasingly popular, with over 1 million Dutch people gambling on the internet. The regulation of online gaming will take place soon, but The Netherlands still will be a very imporant and interesting marketspace. We have full belief that the Gaming Innovation Group can bring the asset TopCasinoBonus.nl ( vetgedrukt en onderstreping Kansspelautoriteit ) further, empowering it with the latest technology, SEO standards and marketing intelligence that GiG has inhouse. We also look very much forward to work side-by-side on the 4 new projects we launched last year; with GiG's help we are sure to rise these projects to the top even faster than we aimed for. I want to thank my current team of professionals and my old partner [persoon 2] for their contribution. We are very proud of what we have achieved but this is not the end for us.
16. Eveneens bericht het persbureau Reuters hierover. Op hun website werd het navolgende vermeld: 7
2. Gaming Innovation Group Inc: * Says has agreed to acquire the affiliate assets from the Dutch based affiliate network company [bedrijf 1] * The assets are expected to contribute with revenues of minimum 2 million euros ($2.19 million) to Innovation Labs the next 12 months * GIG will pay a consideration of 4.2 million euros for [bedrijf 1], whereof 30 pct will be settled with 4,336,314 new GIG shares affiliate accounts with partnering operators, and the affiliate assets has
* Acquisition includes recurring revenues from the existing portfolio of generated a revenue of around 125,000 euros per month so far in 2016
6  Dossierstuk 10880/01.011.872/001
7  Dossierstuk 10880/01.011.872/002
17. Op basis van het onderzoek naar de bedrijfsstructuur van Gaming Innovation Group Inc constateert de Kansspelautoriteit het volgende: 8
- a) Gaming Innovation Group Inc is opgericht in de staat Delaware (US). Gaming Innovation Group Inc is een houdstermaatschappij waarbij alle commerciële activiteiten worden uitgevoerd door haar dochterondernemingen.
- b) Alle online activiteiten zijn gecentraliseerd in Ta Xbiex, Malta, GB Building, Penthouse, Watar Street (Malta).
- c) Gaming Innovation Group Limited is opgericht in Malta en een 100% dochteronderneming van de houdstermaatschappij (lees: Gaming Innovation Group Inc).
- d) Innovation Labs Limited is opgericht in Malta en 100% dochteronderneming van Gaming Innovation Group Limited. De activiteiten die Innovation Labs Limited ontplooid zijn te relateren aan affiliate marketing. Innovation Labs Limited heeft meerdere werknemers in dienst.
18. Gaming Innovation Group Inc is aandeelhouder van een dochter, de naar Maltese recht opgerichte en aldaar gevestigde Gaming Innovation Group Limited. 9  Gaming Innovation Group Limited is op haar beurt aandeelhouder van de naar Maltese recht opgerichte en aldaar gevestigde Innovation Labs Limited. 10
19. Eerder had de Kansspelautoriteit zich met zijn voornemen tot het opleggen van een last onder dwangsom gericht tot Gaming Innovation Group Inc. In reactie daarop is bij brief van 10 augustus 2017 namens Gaming Innovation Group Inc naar voren gebracht dat de Kansspelautoriteit zich echter diende te richten tot Innovation Labs Limited. 11  Naar het oordeel van de Kansspelautoriteit vormt deze reactie een bevestiging van de betrokkenheid van Innovation Labs Ltd. De Kansspelautoriteit houdt beide ondernemingen (gezien hun 100% moederdochter verhouding) verantwoordelijk voor overtreding van het in artikel 1, eerste lid, onder b, van de Wok bepaalde.
8  Dossierstuk 10880/01.013.913
9  Dossierstuk 10880/01.014.670
10  Dossierstuk 10880/01.014.415
11  Dossierstuk 10880/01.019.418
## OPENBAAR
20. Op 3 oktober 2017 heeft een toezichthouder hetzelfde geconstateerd zoals is beschreven onder randnummer 14. Bij het opvoeren van de domeinnaam en .nl extensie (lees: topcasinobonus.nl) in de daarvoor bestemde adresbalk van de browser werd er direct doorgeleid naar dezelfde domeinnaam maar met een andere extensie, te weten .nu (lees: topcasinobonus.nu). 12   Op de website topcasinobonus.nu werd onder meer reclame gemaakt voor online kansspelaanbieders.
## Overtreding van de Wet op de kansspelen
21. Op grond van het voorgaande staat naar het oordeel van de Kansspelautoriteit vast dat Gaming Innovation Group Limited en haar dochteronderneming Innovation Labs Limited reclame-uitingen heeft geplaatst voor kansspelaanbod online, voor welk aanbod geen vergunning op grond van de Wok is verleend. De Kansspelautoriteit heeft vastgesteld dat de dienstverlening van Gaming Innovation Group Limited en haar dochteronderneming Innovation Labs Limited betrekking heeft op (het bevorderen van) deelneming aan kansspelen waartoe online kansspelaanbieders gelegenheid geven.
22. Op grond van het voorgaande stelt de Kansspelautoriteit vast dat Gaming Innovation Group Limited en haar dochteronderneming Innovation Labs Limited artikel 1, eerste lid, onder b, van de Wok heeft overtreden.
## Weergave van de zienswijze
## Chronologisch
23. Chronologisch is tussen de Kansspelautoriteit en (namens) partijen de navolgende correspondentie gevoerd.
- a) Bij brief van 10 juli 2017 13  heeft de Kansspelautoriteit een voornemen tot het opleggen van een last onder dwangsom 14  gestuurd naar Gaming Innovations Group Limited te Malta. De Kansspelautoriteit was voornemens de last op te leggen aan de onderneming Gaming Innovation Group Inc.
12  Dossierstuk 10880/01.017.209
13  Dossierstuk 10880/01.011.874
14  Dossierstuk 10880/01.011.875
- b) Op 24 juli 2017 is namens de gemachtigde van de onderneming Gaming Innovation Group Limited op de last gereageerd, met het verzoek 14 dagen extra reactietijd op de last te verlenen. 15
- c) Bij brief van 26 juli 2017 16  heeft de Kansspelautoriteit de gemachtigde extra reactietijd gegeven tot 10 augustus 2017 23:59 uur.
- d) Bij brief van 10 augustus 2017 heeft deze gemachtigde gereageerd op de laatstgenoemde brief van 26 juli 2017. 17  De gemachtigde geeft aan dat de onderneming Gaming Innovations Group Limited niet bestaat. De gemachtigde geeft verder aan dat de last gericht zou moeten worden tot de onderneming Innovation Labs Limited.
- e) Bij brief van 7 september 2017 18  heeft de Kansspelautoriteit een voornemen 19  tot het opleggen van een last onder dwangsom gestuurd naar de ondernemingen Gaming Innovation Group Limited en haar dochteronderneming Innovation Labs Limited. Immers, de Kansspelautoriteit heeft vastgesteld dat Gaming Innovation Group Limited 100% van de aandelen van de onderneming Innovation Labs Limited bezit.
- f) Op 21 september 2017 heeft voornoemde gemachtigde een reactie gegeven op dit voornemen tot het opleggen van een last onder dwangsom van 7 september 2017. 20  Daarbij dringt gemachtigde -die daarbij kennelijk uitsluitend namens de onderneming Innovation Labs Limited optreedt- er op aan dat de (voorgenomen) last gericht zou moeten worden tot de juiste onderneming. Daarnaast geeft de gemachtigde aan dat er op dit moment geen onderneming genaamd Gaming Innovation Group Limited binnen de groepsstructuur 'van haar cliënt' bestaat.
24. Op grond van het voorgaande ontstond bij de Kansspelautoriteit onduidelijkheid welke onderneming(en) deze gemachtigde in onderhavige zaak vertegenwoordigt. De eerste reactie van deze gemachtigde volgde immers op een voornemen jegens Gaming Innovation Group Limited, op basis waarvan de Kansspelautoriteit mocht veronderstellen dat de gemachtigde namens die onderneming optrad. Uit de laatste reactie bleek deze onderneming echter 'niet
15  Dossierstuk 10880/01.013.771
16  Dossierstuk 10880/01.012.265
17  Dossierstuk 10880/01.019.418
18  Dossierstuk 10880/01.016.292
19  Dossierstuk 10880/01.016.293
20  Dossierstuk 10880/01.017.208
te bestaan in de groepsstructuur van haar cliënt'. Laatstgenoemde stelling kon deze gemachtigde alleen naar waarheid innemen indien deze gemachtigde een andere onderneming (in casu Gaming Innovation Ltd.) vertegenwoordigde. Derhalve verzocht de Kansspelautoriteit op 2 oktober 2017 aan de gemachtigde om uiterlijk voor 4 oktober september 2017, 23:59 uur om een schriftelijke machtiging aan de Kansspelautoriteit te overleggen waaruit bleek dat zij in onderhavige zaak bevoegd is tot het vertegenwoordigen van beide ondernemingen, te weten Gaming Innovation Group Limited en Innovation Labs Limited. 21
25. Bij e-mail van 3 oktober 2017 heeft de gemachtigde verzocht tot uitstel van het overleggen van de machtigingen tot en met 6 oktober 2017. 22  De Kansspelautoriteit heeft dit verzoek tot uitstel gehonoreerd. 23
26. Bij e-mail van 6 oktober 2017 heeft de gemachtigde een machtiging overlegd waaruit blijkt dat zij uitsluitend optreedt namens van Innovation Labs Limited. 24 Deze machtiging van Innovation Labs Limited was gedagtekend op 4 oktober 2017.
27. De gemachtigde heeft tijdens de gevoerde correspondentie geen zienswijze ingediend waarin wordt ingegaan op de feiten en bevindingen van de Kansspelautoriteit of op het voornemen tot het opleggen van de last.
## Beoordeling zienswijze
28. In randnummer 8 en verder heeft de Kansspelautoriteit reeds naar voren gebracht dat het (doen) plaatsen van reclame-uitingen ook onder het begrip 'bevorderen' in de zin van artikel 1, eerste lid, onder b van de Wok valt.
29. Gaming Innovation Group Limited en haar dochteronderneming Innovation Labs Limited hebben onvoldoende gedaan om de reclame voor onvergund kansspelaanbod volledig te verwijderen. Vastgesteld is immers dat op de website topcasinobonus.nu reclame wordt gemaakt voor illegaal kansspelaanbod. Deze website was tevens opgesteld in de Nederlandse taal. Gaming Innovation Group
21  Dossierstuk 10880/01.017.203
22  Dossierstuk 10880/01.017.206
23  Dossierstuk 10880/01.017.207
24  Dossierstuk 10880/01.017.527
Limited en haar dochteronderneming Innovation Labs Limited hebben dus nagelaten om in ieder geval één van de websites die zij in eigendom of in beheer hebben zodanig aan te passen dat zij daarmee niet meer onvergund kansspelaanbod online 'bevorderen' als bedoeld in artikel 1, eerste lid, onder b, van de Wok.
30. Mede doordat de website topcasinobonus.nu in de Nederlandse taal is opgesteld is er volgens de Kansspelautoriteit vast komen te staan dat er sprake is van gerichtheid op de Nederlandse markt.
## Overwegingen tot oplegging last
31. Handhavend optreden tegen aanbieders van kansspelen waarvoor geen vergunning is verleend, is noodzakelijk. Naast het opleggen van boetes aan dergelijke aanbieders, is het tevens noodzakelijk dat zij hun aanbod daadwerkelijk beëindigen. In combinatie met handhaving jegens de betreffende aanbieder acht de Kansspelautoriteit het noodzakelijk dat ook een partij die het kansspelaanbod zonder vergunning bevordert haar dienstverlening aan dergelijk kansspelaanbod beëindigd en beëindigd dient te houden.
32. Gelet op het belang om reclamemakers ertoe te brengen hun activiteiten tot bevordering van kansspelaanbod waarvoor geen vergunning is verleend daadwerkelijk te beëindigen, acht de Kansspelautoriteit het opleggen van een last onder dwangsom aan deze dienstverleners noodzakelijk. De Kansspelautoriteit biedt -in het geval van een overtreding en daaropvolgend handhaven door het opleggen van een last onder dwangsom- deze dienstverleners c.q. reclamemakers, zo ook Gaming Innovation Group Limited en haar dochteronderneming Innovation Labs Limited in dit geval, de mogelijkheid om binnen de begunstigingstermijn de overtreding te beëindigen en daarmee om het verbeuren van een dwangsom te voorkomen. Met het oog op het evenredigheidsbeginsel van artikel 3:4, tweede lid, van de Awb is de Kansspelautoriteit van oordeel dat de belangen van de betrokkenen -in dit geval het belang van Gaming Innovation Group Limited en haar dochteronderneming Innovation Labs Limited- derhalve niet onevenredig worden geschaad door dit besluit en het daarmee gediende belang.
## Hoogte van de dwangsom
33. Ten aanzien van de hoogte van de dwangsom, bepaalt artikel 5:32b, derde lid van de Awb dat de hoogte ervan in redelijke verhouding dient te staan tot de zwaarte van het geschonden belang en tot de beoogde werking van de dwangsom. Daarnaast moet van de hoogte van de dwangsom voldoende (financiële) prikkel uitgaan voor de overtreder om de overtreding te beëindigen.
34. Handhaving van de regels in de kansspelsector en voorkomen van illegaal kansspelaanbod is noodzakelijk, gelet op de belangen van een betrouwbaar spelaanbod en veilig betalingsverkeer. De kansspelsector is extra gevoelig voor fraude, bedrog en verslaving waarvan de consument de dupe kan worden. Het zijn deze te beschermen -en in beginsel geschonden- belangen die de Kansspelautoriteit heeft meegewogen bij de vaststelling van de hoogte van de dwangsom.
35. De raad van bestuur stelt de hoogte van de dwangsom vast op € 1500,- per dag met een maximum van € 21.000,-. Bij de vaststelling van dit bedrag heeft de raad van bestuur acht geslagen op het feit dat reclame is gemaakt voor een kansspelaanbieder aan wie eerder een sanctie is opgelegd en waarover de Kansspelautoriteit op zijn website heeft gecommuniceerd.
## Besluit
36. Namens de raad van bestuur legt de Kansspelautoriteit Innovation Labs Limited de volgende last onder dwangsom op:
2. -Innovation Labs Limited dient uiterlijk binnen twee weken na dagtekening van deze last de overtreding van artikel 1, eerste lid, onder b, van de Wok te staken.
3. -Dit kan Innovation Labs Limited doen door alle reclame- en wervingsuitingen voor kansspelen, waarvoor geen vergunning ingevolge de Wet op de kansspelen is verleend, te beëindigen en beëindigd te houden. Het gaat daarbij in ieder geval -maar niet uitsluitend- om de uitingen op de website www.topcasinobonus.nu.
4. -Voor iedere dag na ommekomst van de hiervoor genoemde begunstigingstermijn waarop Innovation Labs Limited haar
dienstverlening ten behoeve van kansspelen, waarvoor geen vergunning ingevolge de Wet op de kansspelen is verleend, voortzet, verbeurt Innovation Labs Limited een dwangsom van € 1500,- per dag, tot een maximum van € 21.000,-.
's-Gravenhage, 20 november 2017
De raad van bestuur van de Kansspelautoriteit, namens deze,
w.g.
- J.J.H. Suyver
## Voorzitter raad van bestuur van de Kansspelautoriteit
## OPENBAAR
## Bezwaar maken
U kunt tegen deze beslissing bezwaar maken door een gemotiveerd bezwaarschrift in te dienen binnen zes weken na bekendmaking van deze beslissing. U kunt uw bezwaarschrift sturen naar het volgende adres:
Kansspelautoriteit Afdeling Juridische Zaken en Ontwikkeling Postbus 298 2501 CG Den Haag
U kunt uw bezwaarschrift ook door uw gemachtigde laten indienen. Als de gemachtigde geen advocaat is, moet u een machtiging bijvoegen bij uw bezwaarschrift.
Zorg ervoor dat uw bezwaarschrift in elk geval het volgende bevat:
-  uw naam en adres;
-  de datum waarop u het bezwaarschrift schrijft;
-  een kopie van de beslissing;
-  de gronden van uw bezwaar;
-  uw handtekening of de handtekening van uw gemachtigde.</t>
  </si>
  <si>
    <t>Rijksoverheid__3_Besluit-op-subsidieverzoek-over-subsidie-duurzame-vernieuwing-technisch-fundament-en-duurzaam-beheer-open-source-Energietransitiemodel.txt::Ontvanger</t>
  </si>
  <si>
    <t>Rijksoverheid__3_Besluit-op-subsidieverzoek-over-subsidie-duurzame-vernieuwing-technisch-fundament-en-duurzaam-beheer-open-source-Energietransitiemodel.txt</t>
  </si>
  <si>
    <t>Quintel Intelligence B.V.</t>
  </si>
  <si>
    <t>quintel intelligence b.v</t>
  </si>
  <si>
    <t>Quintel Intelligence B.V. [74:99]</t>
  </si>
  <si>
    <t>~ &lt;!-- image --&gt; &amp;gt; Retouradres Postbus 20401 2500 EK Den Haag Quintel Intelligence B.V. Keizersgracht 639-H 1017 DT Amsterdam ## ~ f 7 NOV. 2025! Datum Betreft Subsidie duurzame vernieuwing van het technisch fundament en duurzaam beheer van het open source Energietransitiemodel verplichtingnumme [...]</t>
  </si>
  <si>
    <t>Rijksoverheid__3_Besluit-op-subsidieverzoek-over-subsidie-duurzame-vernieuwing-technisch-fundament-en-duurzaam-beheer-open-source-Energietransitiemodel.txt::Besluitvormend Orgaan</t>
  </si>
  <si>
    <t>De Minister van Klimaat en Groene Groei</t>
  </si>
  <si>
    <t>de minister van klimaat en groene groei</t>
  </si>
  <si>
    <t>De Minister van Klimaat en Groene Groei [14243:14283]</t>
  </si>
  <si>
    <t>[...] Alle correspondentie met betrekking tot deze subsidie dient u, met vermelding van bovenstaand verpllchtingnummer, te zenden naar: Ministerie van Klimaat en Groene Groei t.a.v. Postbus 20401 2500 EK Den Haag De Minister van Klimaat en Groene Groei, namens deze: Michel Heijdra Directeur-Generaal Klimaat en Energie Tegen dit besluit kan degene wiens belang rechtstreeks bij dit besluit is betrokken binnen zes weken na de dag van verzending van dit besluit [...]</t>
  </si>
  <si>
    <t>Rijksoverheid__3_Besluit-op-subsidieverzoek-over-subsidie-duurzame-vernieuwing-technisch-fundament-en-duurzaam-beheer-open-source-Energietransitiemodel.txt::Rechtshandeling</t>
  </si>
  <si>
    <t>verleen</t>
  </si>
  <si>
    <t>verleen [5082:5090]</t>
  </si>
  <si>
    <t>verleen [5082:5089]</t>
  </si>
  <si>
    <t>[...] eze achteraf kan controleren. Ik raad u aan de relevante documenten met betrekking tot deze subsidie gedurende deze periode te bewaren. ## 2. Besluit In het kader van mijn beleid gericht op energie en duurzaamheid verleen ik u hierbij, op grond van artikel 2, eerste lid, onderdeel a, van de Kaderwet EZ-, LVVN- en KGG-subsidies, subsidie voor de uitvoering van het beheer en doorontwikkeling van het rekenmodel ETM waarmee toekomstige scenar [...]</t>
  </si>
  <si>
    <t>Rijksoverheid__3_Besluit-op-subsidieverzoek-over-subsidie-duurzame-vernieuwing-technisch-fundament-en-duurzaam-beheer-open-source-Energietransitiemodel.txt::Rechtsobject</t>
  </si>
  <si>
    <t>subsidie [5198:5207]</t>
  </si>
  <si>
    <t>subsidie [5198:5206]</t>
  </si>
  <si>
    <t>[...] periode te bewaren. ## 2. Besluit In het kader van mijn beleid gericht op energie en duurzaamheid verleen ik u hierbij, op grond van artikel 2, eerste lid, onderdeel a, van de Kaderwet EZ-, LVVN- en KGG-subsidies, subsidie voor de uitvoering van het beheer en doorontwikkeling van het rekenmodel ETM waarmee toekomstige scenario's van het toekomstige energiesysteem kunnen worden doorgerekend. ## 2.1 Periode Het project dient te worden [...]</t>
  </si>
  <si>
    <t>Rijksoverheid__20_Besluit-subsidieverzoek-RIGOLETTO.txt::Ontvanger</t>
  </si>
  <si>
    <t>Rijksoverheid__20_Besluit-subsidieverzoek-RIGOLETTO.txt</t>
  </si>
  <si>
    <t>AXELERA AI B.V.</t>
  </si>
  <si>
    <t>axelera ai b.v</t>
  </si>
  <si>
    <t>AXELERA AI B.V. [53:68]</t>
  </si>
  <si>
    <t>&amp;gt; Retouradres: Postbus 93144, 2509 AC Den Haag AXELERA AI B.V. High Tech Campus 5 5656 AE EINDHOVEN 5656AE5 Datum 11 juli 2025 Betreft Besluit tot verlening subsidie voor het project 'RIGOLETTO' Geachte Met genoegen deel ik u mee dat op 5 december 2024 de Pu [...]</t>
  </si>
  <si>
    <t>Rijksoverheid__20_Besluit-subsidieverzoek-RIGOLETTO.txt::Besluitvormend Orgaan</t>
  </si>
  <si>
    <t>De Minister van Economische Zaken [9220:9253]</t>
  </si>
  <si>
    <t>[...] nmerk en de datum van de beslissing waartegen u bezwaar maakt. U vindt onze referentie en het briefkenmerk in de rechter kantlijn van deze brief. Ten slotte wens ik u veel succes met de uitvoering van het project. De Minister van Economische Zaken, namens deze: Procescoördinator Rijksdienst voor Ondernemend Nederland ## Bijlage 1: Begroting per deelnemer ## Projectnummer: CHIP251001 Op basis van de door u ingediende begroting en het bepaalde in artike [...]</t>
  </si>
  <si>
    <t>Rijksoverheid__20_Besluit-subsidieverzoek-RIGOLETTO.txt::Rechtshandeling</t>
  </si>
  <si>
    <t>OPENBAAR
## Kansspelautoriteit
Besluit  van  de Raad  van Bestuur  van  de Kansspelautoriteit  als  bedoeld  in  artikel 35a  van de Wet op de Kansspelen
Zaak: OA/2013/036 Kenmerk: 8432  / 00.033.131 Openbaarmaking  onder  kenmerk:  8432  / 00.033.584
## Besluit
## Samenvatting
Naar aanleiding  van een bericht in dagblad  Trouw van 7 december  2013  heeft de Kansspelautoriteit  een onderzoek  ingesteld naar de verloting van villa  Mountain View.
Uit het onderzoek  bleek dat via de websites www.winjouwdroomvilla.nl, www.winjouwdroomvilla.be,  www.traumvillagewinnen.at  en www.winyourdreamvilla.com,  een Facebook-account, Twitter en e-mailberichten  een loterij  werd georganiseerd,  waarmee  een villa  in Zuid-Afrika,  genaamd  Mountain View, gewonnen kon worden. Deze villa  was eigendom  van mevrouw  A.B. en de heer P. de P. Een ieder kon via de website loten bestellen. Op 31 mei  2014  is het winnende lotnummer  bekend  gemaakt.  De Kansspelautoriteit  kwalificeert deze verloting  als een kansspel.  Voor dit kansspel  was geen vergunning  afgegeven.
Mevrouw A.B. en de heer P. de P. hebben  in ieder  geval in de periode 12 december 2013  tot en met 8 mei  2014  een kansspel  (loterij)  aangeboden zonder vergunning.
De Kansspelautoriteit  legt hen daarvoor een boete op van € 80.000,-.
## 1 Inhoud
| Samenvatting ..................................................................................................   | Samenvatting ..................................................................................................   | 1                                                                                            |
|-------------------------------------------------------------------------------------------------------------------|-------------------------------------------------------------------------------------------------------------------|----------------------------------------------------------------------------------------------|
| 2                                                                                                                 | Inleiding                                                                                                         | .......................................................................................... 4 |
| 3                                                                                                                 | De website en de betrokkenen.............................................................                         | 4                                                                                            |
| 3.1                                                                                                               | De website.......................................................................................                 | 4                                                                                            |
| 3.2                                                                                                               | De betrokkenen ................................................................................                   | 5                                                                                            |
| 4                                                                                                                 | Het rapport ......................................................................................                | 5                                                                                            |
| 5                                                                                                                 | Zienswijze                                                                                                        | ....................................................................................... 5    |
| 6                                                                                                                 | Feitelijk kader                                                                                                   | .................................................................................. 6         |
| 6.1                                                                                                               | Eerste onderzoek website verloting villa op 12 december 2013..................                                    | 6                                                                                            |
| 6.2                                                                                                               | Onderzoek sociale media ..................................................................                        | 10                                                                                           |
| 6.2.1                                                                                                             | Facebook ..................................................................................                       | 10                                                                                           |
| 6.2.2                                                                                                             | Twitter .....................................................................................                     | 10                                                                                           |
| 6.3                                                                                                               | Radio-uitzending Eén Vandaag ..........................................................                           | 10                                                                                           |
| 6.4                                                                                                               | Tweede onderzoek website droomvilla op 18 maart 2014 .......................                                      | 11                                                                                           |
| 6.5                                                                                                               | Aanschrijvingen ..............................................................................                    | 11                                                                                           |
| 6.5.1                                                                                                             | Eerste brief van de Kansspelautoriteit van 21 maart 2014 .................                                        | 11                                                                                           |
| 6.5.2                                                                                                             | Tweede brief van de Kansspelautoriteit van 1 april 2014 ...................                                       | 12                                                                                           |
| 6.5.3                                                                                                             | Derde brief van de Kansspelautoriteit van 24 april 2014....................                                       | 14                                                                                           |
| 6.6                                                                                                               | Derde onderzoek website droomvilla op 6 mei 2014 ..............................                                   | 15                                                                                           |
| 6.7                                                                                                               | Aanbieding loten na 1 mei 2014 ........................................................                           | 16                                                                                           |
| 6.8                                                                                                               | Afronding van het onderzoek en opstellen van het rapport .....................                                    | 17                                                                                           |
| 7                                                                                                                 | Juridische beoordeling......................................................................                      | 18                                                                                           |
| 7.1                                                                                                               | De wettelijke bepalingen                                                                                          | .................................................................. 18                        |
| 7.2                                                                                                               | Bevoegdheid van de Kansspelautoriteit ...............................................                             | 18                                                                                           |
| 7.3                                                                                                               | Kansspel (loterij)                                                                                                | ............................................................................ 19              |
| 7.4                                                                                                               | Aanbieden van een kansspel zonder vergunning ...................................                                  | 19                                                                                           |
| 7.5                                                                                                               | Conclusie .......................................................................................                 | 20                                                                                           |
| 8                                                                                                                 | Overtreders                                                                                                       | ................................................................................... 20       |
14 augustus 2014
Ons kenmerk
9 Bestuurlijke boete  ........................................................................... 22 9.1 Inleiding  ........................................................................................ 22 9.2 Verwijtbaarheid .............................................................................. 23 9.3 Ernst en duur van de overtreding  ....................................................... 24 9.4 Boetevaststelling............................................................................. 26 9.5 Toerekening  ................................................................................... 26 10 Besluit .......................................................................................... 27
## 2 Inleiding
1. De Kansspelautoriteit  is belast met het toezicht op de naleving  van het bepaalde in de Wet op de Kansspelen  (hierna:  Wok). In de Wok is opgenomen  een verbod op het gelegenheid  geven tot deelname  aan kansspelen  zonder vergunning.
2. De kansspelmarkt  is geen gewone economische markt.  Omdat  financieel gewin kan optreden zonder dat daar tegenover een evenredige  inspanning  staat, is deze markt  extra gevoelig  voor fraude, bedrog en verslaving  waarvan de kansspelconsument  de dupe kan worden. Voorts is de wettelijke verplichting opgenomen  de opbrengst van het kansspel te bestemmen  voor doelen van charitatief, sportief, cultureel of een ander  maatschappelijk  belang. Aldus  wordt voorkomen  dat kansspelen  worden georganiseerd  ten behoeve van particulier profijt en de wijze waarop het kansspel  wordt aangeboden, georganiseerd  en gespeeld daardoor  wordt beïnvloed.
3. Genoemde  verplichting  is neergelegd  in artikel  3 van de Wok, waar bepaald wordt dat, om  voor een vergunning  in aanmerking  te kunnen  komen,  de opbrengst van een kansspel  een algemeen  belang moet dienen.
## 3 De website en de betrokkenen
## 3.1 De website
4. In de periode 12 december  2013 tot en met 8 mei  2014  is via diverse websites een loterij  voor een villa,  genaamd  'Mountain  View', in Zuid-Afrika  aangeboden. Geïnteresseerden  konden  meedoen  aan de verloting  van de betreffende villa door een of meer  van de maximaal  9999 loten te kopen, waarvan de prijs  maximaal € 99,- per lot bedroeg. 1
5. De websites winjouwdroomvilla.nl  en winjouwdroomvilla.be  waren gesteld in de Nederlandse  taal. De loterij  werd eveneens aangeboden door middel  van de websites winyourdreamvilla.com  en traumvillagewinnen.at  die respectievelijk  in de Engelse en Duitse  taal waren gesteld.
1  Stuk OA/2013/036/002/006, onder Hoe verloopt de verloting , p. 2.
OPENBAAR
Kansspelautoriteit
Datum
14 augustus 2014
Ons kenmerk
8432 / 00.033.584
6. Toezichthouders van de Kansspelautoriteit  hebben een onderzoek  ingesteld naar de verloting  van deze villa, aangezien aan die verloting  actief bekendheid  werd gegeven. De bevindingen  uit het onderzoek  zijn opgenomen  in hoofdstuk 5 van dit besluit.
## 3.2 De betrokkenen
7. Mevrouw A.B. (hierna:  betrokkene  1) en de heer P. de P. (hierna:  betrokkene  2, tezamen: betrokkenen)  zijn de aanbieders  van de loterij. 2 Zij zijn  tevens de eigenaren  van de te verloten villa. 3
8. De loterij  vond plaats door tussenkomst  van mevrouw  dr. C. K.-R., advocate, werkzaam  te Pöllau, Oostenrijk.
## 4 Het rapport
9. Het rapport is op 28 mei  2014  toegezonden aan de heer mr.  B. J., de gemachtigde van betrokkenen  (hierna:  gemachtigde).
10. In het rapport wordt geconstateerd dat betrokkenen  gelegenheid  hebben gegeven om mede te dingen naar prijzen  of premies,  waarvan de aanwijzing  der winnaars geschiedt door enige kansbepaling  waarop de deelnemers  in het algemeen  geen overwegende invloed  kunnen  uitoefenen, zonder dat zij over een daarvoor  vereiste vergunning  beschikken.
## 5 Zienswijze
11. Betrokkenen  zijn  bij brief van 19 juni  2014 uitgenodigd  een zienswijze op het rapport te geven. Daartoe was een hoorzitting gepland  op 4 juli  2014.  Ter hoorzitting  zijn gemachtigde  en de heer J. L. verschenen namens  betrokkenen.
12. Ter hoorzitting is onder  meer  het volgende  aangevoerd:
- a. Er is weinig  onderzoek  gedaan naar de rol  van mevrouw  C. K.-R.
- b. Het is aannemelijk  dat mevrouw  K.R.  de organisator  is van de loterij:  zij is gespecialiseerd  in internetloterijen  en verrichtte de trekking,  de
2  Stukken OA/2013/036/002 en OA/2013/036/012.
3  Stuk OA/2013/036/002/001.
OPENBAAR
Kansspelautoriteit
Datum
14 augustus 2014
Ons kenmerk
8432 / 00.033.584
- deelnamevoorwaarden  die in de Duitse  taal waren opgesteld golden  als leidend bij de verloting,  die overigens  geschiedde op grond van een Oostenrijkse vergunning.  In Oostenrijk  werd ook kansspelbelasting  afgedragen.
- c. Het onderzoek  van de Kansspelautoriteit  is niet objectief geweest. Gemachtigde wijst erop dat de trekking  van het winnende  nummer  niet in het onderzoek  was betrokken.  Gemachtigde  wijst er eveneens op dat zich in het dossier een opname van een radio-uitzending  bevindt waarvan de tekst niet volledig  is uitgetypt.
13. De Raad van Bestuur  van de Kansspelautoriteit  (hierna:  de Raad)  zal op de geëigende  plaats in het onderhavige  besluit ingaan op de zienswijze.
14. Van de hoorzitting  is een verslag gemaakt 4 dat op 8 juli  2014 aan gemachtigde  is toegezonden.
15. Op 16 juli  2014  is de reactie van gemachtigde  op het verslag  ontvangen. 5 Deze reactie is in het dossier gevoegd. In de reactie wordt opgemerkt  dat de door gemachtigde toegezonden link  naar opname  van de trekking  niet door de Kansspelautoriteit  is geopend, gedownload en toegevoegd. Dit is onjuist. De opname is op cd-rom gezet en als bijlage  1 bij het verslag gevoegd. 6 Voorts heeft gemachtigde aangegeven zijn overige opmerkingen  binnen  de gestelde termijn - dat wil zeggen: uiterlijk  24 juli  2014  - in te zullen  dienen. Er zijn  geen nadere opmerkingen  ontvangen. Evenmin  is ontvangen de toegezegde printscreen van de website/het youtubekanaal  waarop de opname  van de trekking  te zien is.
## 6 Feitelijk kader
## 6.1 Eerste onderzoek website verloting  villa  op 12 december 2013
16. Op 12 december 2013 heeft de Kansspelautoriteit  een melding  ontvangen over een verloting  van een villa. Het betrof een pagina uit het dagblad Trouw van 7 december 2013 waarin werd vermeld  dat betrokkenen  hun huis  in Zuid-Afrika verlootten. De website winjouwdroomvilla.nl  is op 12 december  2013  vastgelegd en onderzocht. 7
4  Stuk 8432/00.031.748.
5  Stuk 8432/00.032.294.
6  Stuk 8432/00.00.032.756 en stuk 8432/00.031.748.
7  Stuk OA/2013/036/002.
Datum
14 augustus 2014
Ons kenmerk
8432 / 00.033.584
17. Op de website stelden betrokkenen  zich voor en lieten weten dat ze besloten hadden om hun villa  te verloten.
18. Onder  de tekst Wat kunt U winnen? stond het volgende vermeld.
Als u de gelukkige  eigenaar wordt van het winnende  lot krijgt u:
1. DE VILLA  zoals beschreven onder 'De Villa'  en 'Inventarislijst'  dus een volledig,  voor 6 personen ingerichte luxe  villa met zwembad. …
2. TWEE RETOUR  VLIEGTICKETS  Economy Class vanuit een grote Europese luchthaven ( … ) naar Kaapstad.
3. EEN WEEK  VERBLIJF  in half pension  (ontbijt en diner) voor de winnaar en zijn of haar partner, in:
(a) het viersterren B&amp;amp;B  Ons Genot Country Lodge in Stellenbosch … of (b) een prachtige cottage op het Landgoed  'Mooi Bly' in Paarl. …
19. De website bevatte voorts onder andere een beschrijving  van de te winnen  villa, inclusief inventaris,  en van de procedure van de verloting. De loten konden  via de website worden gekocht. Er waren volgens de website maximaal  9999  loten beschikbaar.
20. Vastgesteld werd dat
- a) de website winjouwdroomvilla.nl  vanuit Nederland  bereikbaar  was;
- b) de website winjouwdroomvilla.nl  een .nl-extensie had;
- c) wanneer de website winjouwdroomvilla.nl  werd geopend, deze opende in de Nederlandse  taal;
- d) de Nederlandse  vlag werd getoond op de homepagina;
- e) op de website winjouwdroomvilla.nl  een villa in Zuid-Afrika  werd aangeboden, waarvoor loten konden  worden aangeschaft;
- f) de website winjouwdroomvilla.nl  voor een ieder toegankelijk  was en iedere persoon loten kon aanschaffen;
- g) via de website winjouwdroomvilla.nl  een ieder één of meer  loten voor de villa  in Zuid-Afrika  kon kopen  tegen betaling  van maximaal  € 99,-. 8
21. Op de website waren eveneens snelkoppelingen  aanwezig waarmee  het mogelijk was om direct in contact te treden met betrokkenen  of met mevrouw  K.R.
8  Stuk OA/2013/036/002/002, p. 2.
OPENBAAR Kansspelautoriteit Datum 14 augustus 2014 Ons kenmerk 8432 / 00.033.584
22. Onder  het kopje Hoe verloopt de loting? werd op de website winjouwdroomvilla.nl het volgende  vermeld: 9
- 1) U meldt  zich aan via het registratieformulier.
- 2) U vermeldt  hoeveel loten u wilt reserveren  en bestellen.
- 3) U ontvangt onmiddellijk  een email  met uw registratienummer  en betalingsgegevens.  Dit nummer  dient u zorgvuldig  te bewaren.
- 4) U doet uw bankoverschrijving  met vermelding  van uw registratienummer. Nadat de betaling verwerkt is, ontvangt U hiervan  zo spoedig mogelijk  een bevestiging via email.
- 5) Het registratienummer  is/zijn  NIET uw lotnummer(s).  De lotnummers worden toegekend ongeveer 14 dagen voor de trekkingsdatum.
- 6) De trekking  zal via het internet gevolgd kunnen  worden, en onmiddellijk  na de trekking  zal de notaris de winnaar  contacteren.
- 7) De trekking  is voorzien  op 31 mei  2014 of eerder, indien  alle loten besteld zijn.
- 8) Er zijn maximaal  9.999  loten beschikbaar  aan maximum  € 99,- per lot.
23. Op de website waren de deelnamevoorwaarden  opgenomen. 10   Deze vermeldden, voor zover hier relevant, het volgende.
- a) Onder  kopje II Object van de verloting werd vermeld  dat de verloting betrekking  had op de villa 'Mountain  View' gelegen op het Wijndomein 'Diemersfontein'.  De villa was ingericht voor zes personen en omgeven  door een tuin van ongeveer 2500 m²  groot.
- b) Onder  kopje III Trustkantoor (Beheer) sub 1 werd vermeld  dat de uitvoering en afwikkeling  van de verloting zouden plaatsvinden  onder toezicht van mevrouw  dr. C. K.-R., advocate en lid van de Treuhand  Revision  der Steiermärkischen  Rechtsanwalt Kammer,  [xxx]  (Oostenrijk).
- c) Onder  kopje III Trustkantoor (Beheer) sub 2 werd vermeld  dat als niet alle 9999  loten zouden zijn verkocht voor 31 mei  2014,  de eigenaar van het object kon besluiten om  de verloting  niet door te zetten.
- d) Onder  kopje IV Voorwaarden tot deelname sub 4 werd vermeld  dat bij  elke registratie een registratienummer  werd afgegeven, waarbij  ieder registratienummer  het recht gaf een of meer  loten te bestellen.
- e) Onder  kopje IV Voorwaarden tot deelname sub 5 werd vermeld  dat de lotnummers  ongeveer twee weken voor de trekking  willekeurig  werden toegekend.
9  Stuk OA//2013/036/002/006.
10  Stuk OA/2013/036/002/010.
Datum
14 augustus 2014
Ons kenmerk
8432 / 00.033.584
- f) Onder  kopje IV Voorwaarden tot deelname sub 9 werd vermeld  dat de trekking  in het openbaar zou plaatsvinden.
- g) Onder  kopje IV Voorwaarden tot deelname sub 10 werd vermeld  dat de trekking  eerder plaats zou vinden  als alle loten voor 31 mei  2014  besteld zouden zijn.
- h) Onder  kopje IV Voorwaarden tot deelname sub 12 werd vermeld  dat de trekking  zou plaatsvinden  door uit vier bokalen,  die ieder tien houdertjes bevatten met in iedere  individuele  houder  steeds een getal uit de reeks 0 tot en met 9, telkens één getal te trekken. Zowel de eigenares of een door haar gemachtigde persoon als mevrouw  K.-R. zou daarbij  aanwezig zijn. 11
- i) Onder  kopje IV Voorwaarden tot deelname sub 13 werd vermeld  dat mevrouw  K.-R. contact op zou nemen  met de winnaar  en dat het winnende lotnummer  op de website bekend zou worden gemaakt.
- j) Onder  kopje IV Voorwaarden tot deelname sub 14 werd vermeld  dat de winnaar  zijn prijs  binnen  twintig dagen na de trekking  in ontvangst diende te aanvaarden.
- k) Onder  kopje IV Voorwaarden tot deelname sub 19 werd vermeld  dat het in dit concrete geval ging  om  een eenmalige  verloting  door de objecteigenaar.
- l) Onder  kopje IV Voorwaarden tot deelname sub 20 werd vermeld  dat het totaal aantal loten maximaal  9999  was en de prijs  maximaal  € 99,- per lot bedroeg.
- m) Onder  kopje IV Voorwaarden tot deelname sub 21 werd vermeld  dat alleen de Duitstalige  'Verlosungsbedingungen'  rechtsgeldig waren.
24. Ten slotte waren er een Britse  en een Duitse vlag aanwezig op de website. Als men op de Britse vlag klikte,  verwees de website door naar winyourdreamvilla.com. 12 Die  website was een Engelstalige  kopie  van winjouwdroomvilla.nl.  Op dezelfde wijze verwees de Duitse vlag naar een Duitstalig  onderdeel  van de website winjouwdroomvilla.nl. 13
11 Uit de opname van de trekking blijkt dat de trekking afweek van hetgeen hier werd vermeld. Zo was er geen sprake van vier bokalen en evenmin was de eigenares aanwezig.
12  Stuk OA/2013/036/002/020.
13  Stuk OA/2013/036/002/019.
## 6.2 Onderzoek sociale  media
## 6.2.1 Facebook
25. Op de website facebook.nl was een account aangemaakt  onder de naam Winjouwdroomvilla. 14   Op dat account werd onder meer  verwezen naar de website winjouwdroomvilla.nl  en anderszins  aandacht gevraagd voor de verloting van de villa  'Mountain View'. Daarnaast  bevatte het account verwijzingen  naar artikelen  in de media  over de verloting van de villa.
## 6.2.2 Twitter
26. Een toezichthouder van de Kansspelautoriteit  heeft geconstateerd dat op het socialemediaplatform  Twitter een account was aangemaakt  onder de naam winjouwdroomvilla. 15   Op het Twitter-account werd onder meer  verwezen naar de website winjouwdroomvilla.nl.  Daarbij  werd ook bekendheid  gegeven aan de verloting  van de villa zoals beschreven onder randnummer  18.
## 6.3 Radio-uitzending  Eén Vandaag
27. Op 6 februari  2014 was betrokkene  2 te gast in de uitzending  van Eén Vandaag op Radio  1. 16 Tevens was de persvoorlichter  van de Kansspelautoriteit  aan het woord door middel  van een vooraf opgenomen  boodschap.
28. Betrokkene  2 vertelde tijdens de uitzending  onder  andere dat
- a) hij vijf jaar geleden ook een villa  had verloot op hetzelfde domein  (vanaf tijdstip 00:37);
- b) hij uitging  van een gemiddelde  verkoopprijs  van tussen de 80 en de 85 euro per lot (vanaf tijdstip 01:17);
- c) hij in Oostenrijk  kansspelbelasting  betaalde (vanaf tijdstip 05:17).
6. De persvoorlichter  van de Kansspelautoriteit  deelde in de radio-uitzending  onder
29. meer  het volgende - letterlijk  weergegeven - mee:
Als de lotverkoop gericht is op Nederland,  dan ben je gewoon vergunningplichtig  in Nederland  onder de Wet op de kansspelen .
14  Stuk OA/2013/036/002/021.
15  Stuk OA/2013/036/002/023.
16  Stuk OA/2013/036/003.
8432 / 00.033.584
OPENBAAR
Kansspelautoriteit
Datum
14 augustus 2014
Ons kenmerk
8432 / 00.033.584
## 6.4 Tweede onderzoek website droomvilla  op 18 maart 2014
30. Op 18 maart  2014 is de website winjouwdroomvilla.nl  opnieuw  vastgelegd en onderzocht. 17 De website bleek  nagenoeg identiek  te zijn  aan de versie zoals vastgelegd op 12 december  2013. Alleen  op het onderdeel  nieuwsflash  waren enkele  nieuwe berichten vermeld,  waaronder  de mededeling  dat de loting definitief door zou gaan en een verwijzing  naar een uitzending  van het TV-programma  Studio MAX Live waarin betrokkenen  over de verloting  werden geïnterviewd. Tevens werd de volgende tekst vermeld: Op de Emigratiebeurs in Houten (Nederland)  hebben we veel enthousiaste mensen mogen ontvangen . 18
31. Voorts is geconstateerd dat er een identieke website was met een .be-extensie: www.winjouwdroomvilla.be.
## 6.5 Aanschrijvingen
## 6.5.1 Eerste brief van de Kansspelautoriteit van 21 maart 2014
32. Op 21 maart  2014 heeft de Kansspelautoriteit  per e-mail  een brief gestuurd  aan betrokkenen. 19 De brief is tevens per post verzonden  naar het adres [yyy]. Bovendien  is de brief verzonden via het contactformulier op de website.
33. In de brief zijn betrokkenen  erop gewezen dat het in Nederland  niet is toegestaan om zonder vergunning  een loterij  te organiseren.  Betrokkenen  kregen  tot 4 april 2013  gelegenheid  om  de overtreding  van de Wok te staken door ervoor te zorgen dat de website zich niet langer op Nederland  zou richten dan wel een vergunning aan te vragen bij de Kansspelautoriteit.  De Kansspelautoriteit  heeft daarbij medegedeeld  dat de website niet meer  op Nederland  gericht zou zijn indien  de website niet meer  raadpleegbaar  is vanaf een Nederlands  IP-adres, en/of als men geen Nederlandse  klanten  meer  accepteerde. Tevens heeft de Kansspelautoriteit erop gewezen dat betrokkenen  de verkoop van de loten en de inning  van de gelden ongedaan dienden te maken.
17  Stuk OA/2013/036/004.
18  Zie ook stuk OA/2013/036/033.
19  Stuk OA/2013/036/007.
Datum
14 augustus 2014
Ons kenmerk
8432 / 00.033.584
34. Op 25 maart  2014 ontving de Kansspelautoriteit  via e-mail  een brief van mevrouw
2. dr. C. K.-R., 20 waarin zij onder andere  schreef dat
- a) zij de door de Kansspelautoriteit  verstuurde brief ontvangen had van betrokkenen;
- b) betrokkene  1 de organisator  van de loterij  was;
- c) de verloting  zou plaatsvinden in Oostenrijk  en daarom  Oostenrijks  recht op de verloting  van toepassing zou zijn;
- d) de website met extensie .nl met onmiddellijke  ingang gestopt was;
- e) er geen sprake was van reclame  op Nederlands  grondgebied  en
- f) haar cliënten volgens haar daarmee  hadden voldaan  aan de voorwaarde dat de in Nederland  wederrechtelijke  handelswijze  was beëindigd.
35. Op 31 maart  2014 heeft een medewerker  van de Kansspelautoriteit  vastgesteld dat de website winjouwdroomvilla  via de .nl extensie niet langer  bereikbaar  was. 21
36. Tevens werd vastgesteld dat websites winjouwdroomvilla.be, winyourdreamvilla.com  en traumvillagewinnen.at  wel bereikbaar  waren.
37. Genoemde  websites waren in de Nederlandse  taal te raadplegen  na het aanklikken van de Nederlandse  vlag en hadden dezelfde inhoud  en lay-out als winjouwdroomvilla.nl,  zoals vastgelegd op 18 maart  2014.
38. Eveneens op 31 maart  2014  is het account op Facebook als bedoeld  onder 6.2.1. vastgelegd. Daarop  was te lezen dat betrokkenen  aanwezig zouden zijn  op de emigratiebeurs  die op 8 en 9 februari  2014 plaatsvond te Houten. Op de exposantenlijst  van de emigratiebeurs  te Houten stond droomvilla  in Zuid-Afrika vermeld. 22
## 6.5.2 Tweede brief van de Kansspelautoriteit van 1 april 2014
39. Op 1 april  2014 heeft de Kansspelautoriteit  per e-mail  een tweede brief gestuurd aan mevrouw  K.-R.. 23 Daarin  heeft de Kansspelautoriteit  onder andere medegedeeld  dat
- a) betrokkenen  via diverse Nederlandse  media, 24 waaronder  radio en geprinte media,  sociale media  en een stand op de migratiebeurs  te Houten ruchtbaarheid  hebben gegeven aan de verloting;
20  Stuk OA/2013/36/008.
21  Stuk OA/2013/036/013.
22  Stuk OA/2013/036/033.
23  Stuk OA/2013/036/15.
- b) het hiervoor  gestelde een overtreding  oplevert van artikel  1, lid 1, onder b, van de Wok;
- c) de websites van betrokkenen  met de extensies .com, .be en .at en via klikken  op de Nederlandse  vlag naar de Nederlandstalige  website leidden;
- d) het nog steeds mogelijk  was om  loten te bestellen voor de loterij;
- e) Nederlandse  consumenten niet werden uitgesloten van deelname  aan de huizenloterij  en
- f) er nog steeds sprake was van een overtreding  van de Wok.
40. In de brief heeft de Kansspelautoriteit  er nogmaals  op gewezen dat de website niet toegankelijk  mocht zijn voor consumenten uit Nederland  en/of hen niet meer  te accepteren voor deelname  aan de loterij, hetgeen onder andere bereikt  kon worden door de websites te blokkeren  voor Nederlandse  IP-adressen, Nederlandse deelnemers  uit te sluiten van deelname  en aan Nederlandse  consumenten verkochte loten niet mee te nemen  in de trekking.
41. De Kansspelautoriteit  heeft betrokkenen  een nieuwe termijn  gesteld - uiterlijk 11 april  2014 - om  de overtredingen  van de Wok te beëindigen.  Daarvoor  dienden de volgende maatregelen  getroffen te worden.
- a) De websites met de extensies .be, .com en .at mochten consumenten  in Nederland  geen gelegenheid  geven om  aan de loterij  deel te nemen;
- b) De reeds aan Nederlanders  verkochte loten mochten niet meedoen  aan de trekking.
- c) Deelname  aan de loterij  mocht niet in Nederland  worden bevorderd.
De Kansspelautoriteit  verzocht om  uiterlijk  op 11 april  2014  aan haar te laten weten welke maatregelen  getroffen waren om de overtredingen  van de Wok te beëindigen.
42. Op diezelfde dag, 1 april  2014,  ontving de Kansspelautoriteit  een e-mail  van mevrouw  K.-R. waarin zij verzocht om  een Duitse vertaling. 25 Ook diezelfde dag heeft de Kansspelautoriteit  per e-mail  laten weten geen Duitse vertaling te sturen omdat betrokkenen  beiden de Nederlandse  taal machtig zijn. 26
43. Op 10 april  2014  ontving de Kansspelautoriteit  een brief van gemachtigde  waarin hij stelde dat betrokkenen  hem  verzocht hadden om  op te treden als advocaat en
24  Zie onder meer stuk OA/2013/036/002/005, 036/003 en 036/004/012.
25  Stuk OA/2013/036/018.
26  Stuk OA/2013/036/019.
Datum
14 augustus 2014
Ons kenmerk
8432 / 00.033.584
- gemachtigde.  Gemachtigde  verzocht om  uitstel zodat hij  uiterlijk  16 april  2014  kon reageren. 27
44. Per e-mail  van 14 april  2014  heeft de Kansspelautor</t>
  </si>
  <si>
    <t>verleen [605:613]</t>
  </si>
  <si>
    <t>verleen [605:612]</t>
  </si>
  <si>
    <t>[...] Executive Director heeft vervolgens met het mandaat van de Public Authorities Board overeenstemming bereikt over de JU Grant Agreement. Op grond van artikel 2, eerste lid onder b, van de Kaderwet EZK- en LNVsubsidies verleen ik subsidie voor de uitvoering van het Nederlandse aandeel in het project, zoals beschreven in de Annex 1 van de JU Grant Agreement. Deze annex maakt integraal onderdeel uit van deze beschikking. Het project wordt uitgev [...]</t>
  </si>
  <si>
    <t>Rijksoverheid__20_Besluit-subsidieverzoek-RIGOLETTO.txt::Rechtsobject</t>
  </si>
  <si>
    <t>subsidie [616:625]</t>
  </si>
  <si>
    <t>subsidie [616:624]</t>
  </si>
  <si>
    <t>[...] irector heeft vervolgens met het mandaat van de Public Authorities Board overeenstemming bereikt over de JU Grant Agreement. Op grond van artikel 2, eerste lid onder b, van de Kaderwet EZK- en LNVsubsidies verleen ik subsidie voor de uitvoering van het Nederlandse aandeel in het project, zoals beschreven in de Annex 1 van de JU Grant Agreement. Deze annex maakt integraal onderdeel uit van deze beschikking. Het project wordt uitgevoerd in het [...]</t>
  </si>
  <si>
    <t>Rijksoverheid__29_Gewijzigde-voucherbeschikkingen-pilot-ondernemingsplanaanpak-Gelderse-Vallei.txt::Besluitvormend Orgaan</t>
  </si>
  <si>
    <t>De Minister van Landbouw, Visserij, Voedselzekerheid en Natuur</t>
  </si>
  <si>
    <t>de minister van landbouw, visserij, voedselzekerheid en natuur</t>
  </si>
  <si>
    <t>De Minister van Landbouw, Visserij, Voedselzekerheid en Natuur [10620:10682]</t>
  </si>
  <si>
    <t>[...] u, met vermelding van bovenstaand verplichtingnummer, te zenden naar: Ministerie van Landbouw, Visserij, Voedselzekerheid en Natuur Regieorganisatie Transltie Landelijk Gebied Postbus 20401 2500 EK Den Haag De Minister van Landbouw, Visserij, Voedselzekerheid en Natuur, namens deze: Directeur Netwerkfaciliteit RTLG Als u het niet eens bent met deze beslissing kunt u binnen zes weken na verzending van deze brief een bezwaarschrift indienen. Stuur het ondertekende bezwaarschrif [...]</t>
  </si>
  <si>
    <t>Rijksoverheid__29_Gewijzigde-voucherbeschikkingen-pilot-ondernemingsplanaanpak-Gelderse-Vallei.txt::Rechtshandeling</t>
  </si>
  <si>
    <t>verstrekken</t>
  </si>
  <si>
    <t>verstrekken [6289:6301]</t>
  </si>
  <si>
    <t>verstrekken [6289:6300]</t>
  </si>
  <si>
    <t>## OPENBAAR Kansspelautoriteit
Besluit van de raad van bestuur van de Kansspelautoriteit als bedoeld in artikel 35 van de Wet op de kansspelen.
Kenmerk besluit: 17807/01.331.457 Openbaar onder kenmerk: 17807/01.339.976
## Besluit
## Samenvatting
De raad van bestuur van de Kansspelautoriteit heeft vastgesteld dat Starscream Limited door middel van de websites rantcasino.com, sugarcasino.com en allstarzcasino.com gelegenheid geeft tot deelname aan een kansspel, terwijl voor dat laatstgenoemde aanbod geen vergunning is afgegeven op grond van de Wet op de kansspelen. Daarmee handelt Starscream Limited in strijd met artikel 1, eerste lid, aanhef en onder a, van de Wet op de kansspelen. De raad van bestuur van de Kansspelautoriteit draagt Starscream Limited op het aanbieden van kansspelen waarvoor geen vergunning ingevolge de Wet op de kansspelen is verleend, te staken en gestaakt te houden door middel van het opleggen van een last onder dwangsom.
## 1 Inleiding
1. De raad van bestuur van de Kansspelautoriteit (hierna: de Kansspelautoriteit) is belast met het toezicht op de naleving van het bepaalde in de Wet op de kansspelen (hierna: Wok). In de Wok is onder andere bepaald dat het in Nederland verboden is gelegenheid te geven om mede te dingen naar prijzen of premies, indien de aanwijzing der winnaars geschiedt door enige kansbepaling waarop de deelnemers in het algemeen geen overwegende invloed kunnen uitoefenen, tenzij daarvoor ingevolge de Wok vergunning is verleend (artikel 1, eerste lid, aanhef en onder a Wok). Daarnaast is het ingevolge artikel 1, eerste lid, aanhef en onder b, van de Wok eveneens verboden de deelneming aan een
21 januari
2025
Kenmerk
17807/01.339.976
- kansspel, waarvoor geen vergunning is verleend, te bevorderen.
2. Sinds 1 april 2021 is het mogelijk om bij de Kansspelautoriteit een vergunning aan te vragen voor het aanbieden van kansspelen op afstand. 1  Met het verlenen van vergunningen voor kansspelen op afstand is toezicht op een verantwoord, betrouwbaar en controleerbaar aanbod mogelijk. De Kansspelautoriteit acht het aanbieden van kansspelen op afstand zonder daartoe strekkende vergunning zeer ernstig. 2  De doelstellingen van het kansspelbeleid, wetende het voorkomen van kansspelverslaving, het beschermen van de consument en het tegengaan van mogelijke fraude en criminaliteit, worden door het zonder vergunning aanbieden van kansspelen op afstand omzeild. De kansspelsector is immers geen gewone economische sector maar extra gevoelig voor fraude, bedrog en verslaving waarvan de consument de dupe kan worden. Deelnemers aan dergelijke kansspelen lopen daarbij risico's omdat er geen garantie is dat het spel betrouwbaar is, het betalingsverkeer veilig verloopt en gewonnen prijzen daadwerkelijk worden uitgekeerd.
3. Handhaving door de Kansspelautoriteit jegens illegale aanbieders van kansspelen op afstand is herhaaldelijk rechterlijk getoetst en door meerdere rechters en in verschillende instanties rechtmatig bevonden.
## 2 Juridisch kader
4. Op grond van artikel 1, eerste lid, aanhef en onder a, van de Wok is het verboden om gelegenheid te geven tot deelname aan een kansspel waarvoor geen vergunning ingevolge de Wok is verleend.
5. Op grond van artikel 33b van de Wok heeft de Kansspelautoriteit onder meer tot taak het toezicht op de naleving van de toepasselijke wet- en regelgeving en de vergunningen, alsmede de handhaving daarvan.
6. De Kansspelautoriteit is op grond van artikel 35 van de Wok bevoegd tot het opleggen van een last onder bestuursdwang wegens overtreding van de voorschriften van de Wok. Artikel 5:32, eerste lid van de Algemene wet
1  Kansspelen op afstand zijn kansspelen waaraan de speler met elektronische communicatiemiddelen en
zonder fysiek contact met (het personeel van) de organisator van de kansspelen, of een derde die ten
behoeve van de deelname aan de kansspelen een ruimte en middelen ter beschikking stelt, deelneemt.
2  Alle sanctiebesluiten zijn te vinden op http://www.kansspelautoriteit.nl.
Kansspelautoriteit
21 januari
2025
Kenmerk
17807/01.339.976
bestuursrecht (hierna: Awb) bepaalt dat een bestuursorgaan dat bevoegd is een last onder bestuursdwang op te leggen, in plaats daarvan aan de overtreder een last onder dwangsom kan opleggen.
## 3 Bevindingen onderzoek
## Aanbod van kansspelen zonder vergunning
Website sugarcasino.com
7. Op 3 juni 2024 heeft een toezichthouder van de Kansspelautoriteit (hierna: toezichthouder) de website sugarcasino.com (hierna: de website) onderzocht. De toezichthouder heeft onderzocht of er gelegenheid werd gegeven om vanuit Nederland deel te nemen aan kansspelen.
8. Uit het onderzoek is gebleken dat het mogelijk is om vanuit Nederland een spelersaccount aan te maken, een storting te verrichten en deel te nemen aan kansspelen. Er zijn geen technische maatregelen genomen om deelnemers vanuit Nederland de toegang tot de kansspelen te beletten.
## Registratie
9. Op 3 juni 2024 heeft een toezichthouder zich vanuit Nederland (met een Nederlands IP-adres 3 ) geregistreerd als nieuwe speler op de website. Hiervoor heeft de toezichthouder een voor- en achternaam, gebruikersnaam, e-mail, wachtwoord, telefoonnummer en adresgegevens ingevuld. Daarop volgde een verificatiecode die naar het betreffende telefoonnummer werd verstuurd. De toezichthouder heeft de ontvangen verificatiecode ingevoerd. Hierna was de registratie voltooid. 4
10. Bij de registratie is gebruik gemaakt van de bevoegdheid als bedoeld in artikel 34c van de Wok. 5
## Storting
11. Op 3 juni 2024 heeft een toezichthouder een storting verricht op de website. De toezichthouder heeft de betaalmethode iDeal via MyFinity als (betaal)optie geselecteerd. Na het selecteren van de betaalmethode werd de toezichthouder doorgeleid naar een Nederlandse bank.
3  Bijlage 17807/01.318.949/1a
4  Bijlage 17807/01.318.949/3a
5  Bijlage 17807/01.319.488
12. Er is vanuit de Nederlandse bank en betaalrekening een storting van €10,00 op de spelersrekening verricht. De instructies over de betaling waren in de Nederlandse taal. Na de storting heeft de toezichthouder geconstateerd dat het saldo van het spelersaccount was opgehoogd met het stortingsbedrag. 6
## Deelname aan kansspelen
13. Op 4 juni 2024 heeft een toezichthouder onderzocht of er vanuit Nederland (met een Nederlands IP-adres 7 ) kan worden deelgenomen aan kansspelen op de website.
14. De toezichthouder heeft een spel nader onderzocht, te weten 'the Dog House' (hierna: het spel). Hieruit bleek dat het spel de weergave had van een virtuele versie van een slotmachine. 8
15. De toezichthouder heeft het bedrag bij 'BET' verlaagd naar €0,20; de laagst mogelijke inzet. Naast 'BET' was ook het saldo 'CREDIT' op het scherm te zien, dit bedrag was €10,00. De toezichthouder heeft vervolgens op de knop 'AUTOPLAY' geklikt, waarna gekozen is voor het minimum aantal van tien spins. Vervolgens heeft de toezichthouder op de 'START AUTOPLAY' knop gedrukt. Na het klikken op 'START AUTOPLAY' werden er automatisch tien spins uitgevoerd. Nadat de spins waren uitgevoerd, was het saldo 'CREDIT' onderaan de pagina veranderd in €8,04. De toezichthouder constateerde dat de uitkomst van het spel niet door de speler te beïnvloeden was. De toezichthouder constateerde vervolgens dat het bedrag op de spelersrekening was gewijzigd van €10,00 naar €8,04. 9
16. Op 18 september 2024 heeft de toezichthouder nogmaals succesvol deelgenomen aan het spel. 10
17. Naast deelname aan een kansspel bleek het gelegenheid geven tot het mededingen naar prijzen of premies onder andere uit de Terms and Conditions. In hoofdstuk 4 van de Terms and Conditions staat informatie over de uitbetaling. Hieruit blijkt dat er geldprijzen in euro te winnen zijn. 11
6  Bijlage 17807/01.318.949/4a
7  Bijlage 17807/01.318.949/1b
8 Stcrnt, 1996, 92.
9  Bijlage 17807/01.318.949/5a
10  Bijlage 17807/01.318.949/8a
11  Bijlage 17807/01.318.949/6a
## Website rantcasino.com
18. Op 4 juni 2024 heeft een toezichthouder van de Kansspelautoriteit (hierna: toezichthouder) de website rantcasino.com (hierna: de website) onderzocht. De toezichthouder heeft onderzocht of er gelegenheid werd gegeven om vanuit Nederland deel te nemen aan kansspelen.
19. Uit het onderzoek is gebleken dat het mogelijk is om vanuit Nederland een spelersaccount aan te maken, een storting te verrichten en deel te nemen aan kansspelen. Er zijn geen technische maatregelen genomen om deelnemers vanuit Nederland de toegang tot de kansspelen te beletten.
## Registratie
20. Op 4 juni 2024 heeft een toezichthouder zich vanuit Nederland (met een Nederlands IP-adres 12 ) geregistreerd als nieuwe speler op de website. Hiervoor heeft de toezichthouder een voor- en achternaam, gebruikersnaam, e-mail, wachtwoord, telefoonnummer en adresgegevens ingevuld. Daarop volgde een verificatiecode die naar het betreffende telefoonnummer werd verstuurd. De toezichthouder heeft de ontvangen verificatiecode ingevoerd. Hierna was de registratie voltooid. 13
21. Bij de registratie is gebruik gemaakt van de bevoegdheid als bedoeld in artikel 34c van de Wok. 14
## Storting
22. Op 4 juni 2024 heeft een toezichthouder een storting verricht op de website. De toezichthouder heeft de betaalmethode iDeal via MyFinity als (betaal)optie geselecteerd. Na het selecteren van de betaalmethode werd de toezichthouder doorgeleid naar een Nederlandse bank.
23. Er is vanuit de Nederlandse bank en betaalrekening een storting van €10,00 op de spelersrekening verricht. De instructies over de betaling waren in de Nederlandse taal. Na de storting heeft de toezichthouder geconstateerd dat het saldo van het spelersaccount was opgehoogd met het stortingsbedrag. 15
12  Bijlage 17807/01.318.949/1b
13  Bijlage 17807/01.318.949/3b
14  Bijlage 17807/01.319.488
15  Bijlage 17807/01.318.949/4b
16
## Deelname aan kansspelen
24. Op 4 juni 2024 heeft een toezichthouder onderzocht of er vanuit Nederland kan worden deelgenomen aan kansspelen op de website.
25. De toezichthouder heeft een spel nader onderzocht, te weten 'Buffalo King' (hierna: het spel). Hieruit bleek dat het spel de weergave had van een virtuele versie van een slotmachine. 16
26. De toezichthouder heeft het bedrag bij 'BET' verlaagd naar €0,20; de laagst mogelijke inzet. Naast 'BET' was ook het saldo 'CREDIT' in het scherm te zien, dit bedrag was €10,00. De toezichthouder heeft vervolgens op de knop 'AUTOPLAY' geklikt, waarna gekozen is voor het minimum aantal van tien spins. Vervolgens heeft de toezichthouder op de 'START AUTOPLAY' knop gedrukt. Na het klikken op 'START AUTOPLAY' werden er automatisch tien spins uitgevoerd. Nadat de spins waren uitgevoerd, was het saldo (CREDIT) onderaan de pagina veranderd in €10,56. De toezichthouder constateerde dat de uitkomst van het spel niet door de speler te beïnvloeden was. De toezichthouder constateerde vervolgens dat het bedrag op de spelersrekening was gewijzigd van €10,00 naar €10,56. 17
27. Op 18 september 2024 heeft de toezichthouder nogmaals deelgenomen aan het spel. 18
28. Naast deelname aan een kansspel bleek het gelegenheid geven tot het mededingen naar prijzen of premies uit de homepage. Hier staan de 'RECENT WINNERS' staan aangegeven waaruit blijkt dat er geldprijzen in euro te winnen zijn. 19
## Hercontrole
29. Op 12 december 2024 heeft een toezichthouder een hercontrole uitgevoerd op de websites rantcasino.com en sugarcasino.com. De toezichthouder heeft onderzocht of er gelegenheid werd gegeven om vanuit Nederland deel te nemen aan kansspelen.
30. Uit het onderzoek is gebleken dat het niet mogelijk is om vanuit Nederland een spelersaccount aan te maken, een storting te verrichten en deel te nemen aan
Stcrnt,
1996, 92.
17  Bijlage 17807/01.318.949/5b
18  Bijlage 17807/01.318.949/8b
19  Bijlage 17807/01.318.949/2b
21 januari
2025
Kenmerk
17807/01.339.976
- kansspelen. Er zijn technische maatregelen genomen om deelnemers vanuit Nederland de toegang tot de kansspelen te beletten. 20
31. Op 12 december 2024 heeft een toezichthouder de website allstarzcasino.com, een andere website van de aanbieder, onderzocht. Uit het onderzoek is gebleken dat het mogelijk is om vanuit Nederland een spelersaccount aan te maken, een storting te verrichten en deel te nemen aan kansspelen. Er zijn geen technische maatregelen genomen om deelnemers vanuit Nederland de toegang tot de kansspelen te beletten.
## Registratie
32. Op 12 december 2024 heeft een toezichthouder zich vanuit Nederland (met een Nederlands IP-adres) 21  geregistreerd als nieuwe speler op de website. Hiervoor heeft de toezichthouder een voor- en achternaam, gebruikersnaam, e-mail, wachtwoord, telefoonnummer en adresgegevens ingevuld. Daarop volgde een verificatielink die naar het betreffende e-mailadres werd verstuurd. De toezichthouder heeft op de link in de mail geklikt. Hierna was de registratie voltooid. 22
## Storting
33. Op 12 december 2024 heeft een toezichthouder een storting verricht op de website. De toezichthouder heeft de betaalmethode Mastercard als (betaal)optie geselecteerd. Na het selecteren van de betaalmethode werd de toezichthouder doorgeleidt naar een Nederlandse bank.
34. Er is vanuit de Nederlandse bank en betaalrekening een storting van €10,00 op de spelersrekening verricht. Na de storting heeft de toezichthouder geconstateerd dat het saldo van het spelersaccount was opgehoogd met het stortingsbedrag. 23
## Deelname aan kansspelen
35. Op 12 december 2024 heeft een toezichthouder onderzocht of er vanuit Nederland kan worden deelgenomen aan kansspelen op de website.
20  Bijlage 17807/01.331.715
21  Bijlage 17807/01.331.457/01
22  Bijlage 17807/01.331.457/02
23  Bijlage 17807/01.331.457/03
21 januari 2025
Kenmerk
17807/01.339.976
36. De toezichthouder heeft een spel nader onderzocht, te weten 'The Dog House' (hierna: het spel). Hieruit bleek dat het spel de weergave had van een virtuele versie van een slotmachine. 24
37. De toezichthouder heeft het bedrag bij 'BET' verlaagd naar €0,20; de laagst mogelijke inzet. Naast 'BET' was ook het saldo 'CREDIT' in het scherm te zien, dit bedrag was €10,00. De toezichthouder heeft vervolgens op de knop 'AUTOPLAY' geklikt, waarna gekozen is voor het minimum aantal van tien spins. Vervolgens heeft de toezichthouder op de 'START AUTOPLAY' knop gedrukt. Na het klikken op 'START AUTOPLAY' werden er automatisch tien spins uitgevoerd. Nadat de spins waren uitgevoerd, was het saldo 'CREDIT' onderaan de pagina veranderd in €9,32. De toezichthouder constateerde dat de uitkomst van het spel niet door de speler te beïnvloeden was. De toezichthouder constateerde vervolgens dat het bedrag op de spelersrekening was gewijzigd van €10,00 naar €9,32. 25
38. Naast het feit dat er geen technische maatregelen zijn genomen om deelname vanuit Nederland aan de kansspelen te beletten heeft de toezichthouder andere kenmerken aangetroffen waaruit (in onderlinge samenhang bezien) blijkt dat de website (mede) gericht is op de Nederlandse markt. Deze kenmerken zijn, naast de overige bevindingen van het onderzoek, verwerkt in onderstaand overzicht.
## Overzicht onderzoek overtreding
39. Hieronder volgt een schematisch overzicht van de bevindingen van het onderzoek van de toezichthouder naar het vanuit Nederland deelnemen aan kansspelen op de websites sugarcasino.com, rantcasino.com en allstarzcasino.com.
| Onderzoek   | Onderzoek                             | Bijlage                                                       | Opmerkingen   |
|-------------|---------------------------------------|---------------------------------------------------------------|---------------|
| A.          | Website vanuit Nederland te benaderen | 01.318.949/1 t/m 01.318.949/8 01.331.457/01 t/m 01.331.457/04 |               |
## Kansspelautoriteit
21 januari 2025
Kenmerk
17807/01.339.976
| B.   | Aanmaken account, storten en deelnemen aan een kansspel                           | 01.318.949/3a 01.318.949/3b 01.318.949/4a 01.318.949/4b 01.318.949/5a 01.318.949/5b 01.318.949/8a 01.318.949/8b 01.331.457/02 01.331.457/03 01.331.457/04   | 01.318.949/3a aanmaken account 01.318.949/3b aanmaken account 01.318.949/4a storten 01.318.949/4b storten 01.318.949/5a deelname kansspel 01.318.949/5b deelname kansspel 01.318.949/8a deelname kansspel 01.318.949/8b deelname kansspel 01.331.457/02 aanmaken account 01.331.457/03 storten 01.331.457/04 deelname kansspel   |
|------|-----------------------------------------------------------------------------------|-------------------------------------------------------------------------------------------------------------------------------------------------------------|----------------------------------------------------------------------------------------------------------------------------------------------------------------------------------------------------------------------------------------------------------------------------------------------------------------------------------|
| C.   | Informatie over prijzen/winsten                                                   | 01.318.949/6a 01.318.949/6b                                                                                                                                 | In hoofdstuk 4 van de Terms &amp; Conditions is vermeld dat er geldprijzen in de valuta euro te winnen zijn.                                                                                                                                                                                                                         |
| D.   | Website bevat de Engelse taal                                                     | 01.318.949/2 t/m 01.318.949/8 01.331.457/02 t/m 01.331.457/04                                                                                               | Websites bevatten de Engelse taal.                                                                                                                                                                                                                                                                                               |
| E.   | Valuta euro als betaalmiddel en/of uitkering prijzen                              | 01.318.949/6a 01.318.949/6b                                                                                                                                 | In hoofdstuk 3 van de Terms &amp; Conditions is vermeld dat de valuta euro als betaalmiddel gebruikt kan worden. Hoofdstuk 4 van de Terms &amp; Conditions beschrijft de uitkering van prijzen in de valuta euro.                                                                                                                        |
| F.   | Betaalmethode iDEAL of andere betaalmethode die doorgeleidt naar Nederlandse bank | 01.318.949/4a 01.318.949/4b 01.331.457/03                                                                                                                   | (01.318.949/4a, 01.318.949/4b) Bij het storten wordt gebruik gemaakt van de betaalmethode MyFinity met daarnaast het logo van iDeal. (01.331.457/03). Bij het storten wordt gebruik gemaakt van de betaalmethode Mastercard met het rekeningnummer van een Nederlandse bank.                                                     |
| G.   | Nederlandstalige of Engelstalige klantenservice                                   | 01.318.949/7a 01.318.949/7b 01.331.457/06                                                                                                                   | Rantcasino.com en allstarzcasino.com bevatten een live-chatfunctie die in het Nederlands wordt beantwoord.                                                                                                                                                                                                                       |
## Kansspelautoriteit
21 januari 2025
Kenmerk
17807/01.339.976
| H.   | Nederland is niet benoemd als uitgesloten land in de T&amp;C         | 01.318.949/6a 01.318.949/6b 01.331.457/05   | In artikel 2.8 van de Terms &amp; Conditions staat Nederland niet weergeven in de lijst met uitgesloten landen.                                    |
|------|------------------------------------------------------------------|---------------------------------------------|------------------------------------------------------------------------------------------------------------------------------------------------|
| I.   | Overige kenmerken waaruit (mede) gerichtheid op Nederland blijkt | 01.318.949/3a 01.318.949/3b 01.331.457/02   | Tijdens het aanmaken van het spelersaccount op de websites verscheen automatisch het netnummer +31 en 'Netherlands' in de in te vullen velden. |
## Overtreder
40. Voor het hiervoor beschreven kansspelaanbod wordt Starscream Limited (hierna: overtreder) verantwoordelijk gehouden omdat in de footer van de websites zij als licentiehouder van de websites genoemd wordt, evenals in de Terms and Conditions 26 . Op grond hiervan wordt deze onderneming als overtreder aangemerkt.
41. Overtreder is volgens de website starscreamcasinos.com gevestigd te 10 Manuelstreet, Castries te Santa Lucia. 27
42. Overtreder is niet in het bezit van een vergunning voor het aanbieden van online kansspelen in Nederland. 28
## 4 Overtreding van de Wet op de kansspelen
43. Op grond van het voorgaande staat naar het oordeel van de Kansspelautoriteit vast dat overtreder gelegenheid geeft tot deelname aan een kansspel waarvoor geen vergunning is verleend.
44. Op grond van het voorgaande stelt de Kansspelautoriteit vast dat overtreder artikel 1, eerste lid, aanhef en onder a, van de Wok heeft overtreden.
26  Bijlage 17807/01.331.457/05, bijlage 17807/01.318.949/6a, bijlage 17807/01.318.949/6b
27  Bijlage 17807/01.318.949/9
28  Een overzicht van alle vergunninghouders is te vinden op https://kansspelautoriteit.nl.
## 5 Zienswijze
45. In de brief van 29 oktober 2024 heeft de Kansspelautoriteit het voornemen tot het opleggen van een last onder dwangsom kenbaar gemaakt aan overtreder. Hiermee is de gelegenheid geboden om binnen vier weken na dagtekening van de brief een zienswijze, mondeling of schriftelijk, te geven op het voornemen.
46. Van deze gelegenheid is geen gebruik gemaakt.
## 6 Overwegingen tot oplegging last
47. Handhavend optreden tegen aanbieders van kansspelen waarvoor geen vergunning is verleend is noodzakelijk om de overtreding te doen beëindigen, en beëindigd te houden, en de zwaarwegende belangen van de Wok zoals hierboven vermeld, te beschermen. Naast het opleggen van boetes, kan de Kansspelautoriteit ook handhaven door middel van het opleggen van een last onder dwangsom.
48. Met het oog op het evenredigheidsbeginsel van artikel 3:4, tweede lid, van de Awb is de Kansspelautoriteit van oordeel dat de belangen van overtreder derhalve niet onevenredig worden geschaad door dit besluit en het daarmee gediende belang.
## 7 Hoogte dwangsom en begunstigingstermijn
49. Zoals in dit besluit toegelicht is handhaving van de regels in de kansspelsector en voorkomen van illegaal kansspelaanbod noodzakelijk. De kansspelsector is extra gevoelig voor fraude, bedrog en verslaving waarvan de consument de dupe kan worden. Het zijn deze te beschermen - en in beginsel geschonden belangen die de Kansspelautoriteit heeft meegewogen bij de vaststelling van de hoogte van de dwangsom en de begunstigingstermijn.
## Hoogte dwangsom
50. Ten aanzien van de hoogte van de dwangsom, bepaalt artikel 5:32b, derde lid van de Awb dat de hoogte ervan in redelijke verhouding dient te staan tot de zwaarte van het geschonden belang en tot de beoogde werking van de
17807/01.339.976
- dwangsom. Daarnaast moet van de hoogte van de dwangsom voldoende (financiële) prikkel uitgaan voor de overtreder om de overtreding te beëindigen.
51. Bij de vaststelling van de hoogte van de dwangsom heeft de Kansspelautoriteit acht geslagen op het feit dat uit de praktijk blijkt dat van een last van deze omvang een zodanige prikkel uitgaat dat de last zal worden nagekomen. Daar komt bij dat een vergunde aanbieder van online kansspelen zeer hoge kosten maakt. Niet alleen voor het vergund toetreden tot de Nederlandse speelmarkt, maar ook voor het blijvend voldoen aan de voorwaarden waarvoor de vergunning is afgegeven gedurende de vergunningsperiode. De initiële lasten per vergunninghouder zijn berekend op circa € 800.000,- en de structurele jaarlijkse lasten bedragen eveneens circa € 800.000,- 29 . Daarbij merkt de Kansspelautoriteit op dat het haar ambtshalve bekend is dat met het aanbieden van kansspelen op afstand een aanzienlijk financieel gewin kan worden behaald. Hiermee staat de maximale dwangsom in verhouding tot het minimale financiële voordeel dat een overtreder kan behalen bij het niet naleven van de regels en derhalve zou ook hiervan een zodanige prikkel moeten uitgaan dat de overtreding wordt beëindigd.
52. De Kansspelautoriteit weegt de belangen van verslavingspreventie, kwetsbare groepen, zoals minderjarigen, een betrouwbaar spelaanbod, veilig betalingsverkeer en het tegengaan van illegaliteit en criminaliteit, mee bij de vaststelling van de hoogte van de dwangsom.
## Begunstigingstermijn
53. Volgens vaste jurisprudentie van de Afdeling bestuursrechtspraak van de Raad van State 30  geldt bij het bepalen van de lengte van de begunstigingstermijn als uitgangspunt dat deze termijn niet wezenlijk langer mag worden gesteld dan noodzakelijk is om de overtreding te kunnen opheffen. Een begunstigingstermijn mag ook niet wezenlijk korter worden gesteld dan noodzakelijk is om de overtreding te kunnen opheffen.
54. De Kansspelautoriteit houdt bij de vaststelling van de begunstigingstermijn rekening met het feit dat de gelegenheid om vanuit Nederland deel te nemen aan kansspelen op afstand zeer snel kan worden beëindigd.
29  Nota van Toelichting op het besluit op de Kansspelen op afstand, Staatsblad 2021/37, paragraaf 3.
30  ECLI:NL:RVS:2018:2196 en ECLI:NL:RVS:2015:3891.
Kansspelautoriteit 21 januari 2025 Kenmerk 17807/01.339.976
55. Dit is onder andere gebleken uit het feit dat diverse illegale aanbieders eind september 2021 naar aanleiding van het nieuwe handhavingsbeleid van de Kansspelautoriteit 31  binnen enkele dagen het aanbod aan Nederlandse consumenten hebben gestaakt.
## 8 Besluit
56. De Kansspelautoriteit legt aan overtreder de volgende last onder dwangsom op:
- a. Overtreder wordt op straffe van verbeurte van een dwangsom gelast uiterlijk binnen vier weken na dagtekening van dit besluit de overtreding(en) van artikel 1, eerste lid, onder a, van de Wok te staken en gestaakt te houden.
- b. Overtreder kan dit doen door alle gelegenheid om vanuit Nederland deel te nemen aan kansspelen op afstand, waarvoor geen vergunning ingevolge de Wok is verleend, te beëindigen en beëindigd te houden. Dit omvat het aanbieden van kansspelen via de door de Kansspelautoriteit onderzochte website en alle andere websites die in eigendom/beheer zijn bij overtreder. Tevens omvat dit ook iedere andere activiteit (waaronder, maar niet uitsluitend, het aanbieden van kansspelapps) als gevolg waarvan het mogelijk is vanuit Nederland deel te nemen aan kansspelen op afstand en waarvoor geen vergunning ingevolge de Wok is verleend, te beëindigen en beëindigd te houden.
- c. Na het verstrijken van de onder a genoemde begunstigingstermijn verbeuren overtreders ieder een dwangsom van €280.000,- per week of gedeelte van de week of constatering van een overtreding van artikel 1, eerste lid, aanhef en onder a, van de Wok tot een maximum van €840.000,-.
's-Gravenhage, 21 januari 2025 w.g.
De raad van bestuur van de Kansspelautoriteit, namens deze, mr. P.J.H. Benner hoofd afdeling Handhaving
31  Handhavingsbeleid, Prioritering van handhavingsonderzoeken, Stcrnt. 2021/44765.
## Bezwaar maken
U kunt tegen deze beslissing bezwaar maken door een gemotiveerd bezwaarschrift in te dienen binnen zes weken na bekendmaking van deze beslissing. U kunt uw bezwaarschrift sturen naar het volgende adres:
Kansspelautoriteit Afdeling Juridische Zaken en Vergunningen Postbus 298 2501 CG  Den Haag
U kunt uw bezwaarschrift ook digitaal indienen, door het in PDF-formaat te e-mailen naar griffie@kansspelautoriteit.nl.
U kunt uw bezwaarschrift ook door uw gemachtigde laten indienen. Als de gemachtigde geen advocaat is, moet u een machtiging bijvoegen bij uw bezwaarschrift.
Zorg ervoor dat uw bezwaarschrift in elk geval het volgende bevat:
- uw naam en adres;
- de datum waarop u het bezwaarschrift schrijft;
- een kopie van de beslissing;
- de gronden van uw bezwaar;
- uw handtekening of de handtekening van uw gemachtigde.
Let wel: het instellen van bezwaar schort de werking van dit besluit niet op. Kunt u de beslissing op uw bezwaarschrift niet afwachten vanwege een spoedeisend belang? Dan kunt u bij de sector bestuursrecht van de rechtbank in uw arrondissement een verzoek om voorlopige voorziening indienen.
## Kansspelautoriteit
21 januari 2025 Kenmerk 17807/01.339.976</t>
  </si>
  <si>
    <t>[...] e van Landbouw, VisserlJ, Voedselzekerheid en Natuur een voucher kunt aanvragen, waarmee u een gesubsidieerde adviesdienst kunt ontvangen. Ik heb het besluit genomen om u middels deze beschikking een subsid1evoucher te verstrekken ten behoeve van het opstellen van een ondernemingsplan, om dit ondernemingsplan vervolgens te laten toetsen bij gezamenlijke betrokken overheden in het kader van de pilot ondernemingsplanaanpak in de Gelderse Vallei. Mi [...]</t>
  </si>
  <si>
    <t>Rijksoverheid__29_Gewijzigde-voucherbeschikkingen-pilot-ondernemingsplanaanpak-Gelderse-Vallei.txt::Rechtsobject</t>
  </si>
  <si>
    <t>subsid1evoucher</t>
  </si>
  <si>
    <t>subsid1evoucher [6270:6286]</t>
  </si>
  <si>
    <t>subsid1evoucher [6270:6285]</t>
  </si>
  <si>
    <t>[...] u bij het ministerie van Landbouw, VisserlJ, Voedselzekerheid en Natuur een voucher kunt aanvragen, waarmee u een gesubsidieerde adviesdienst kunt ontvangen. Ik heb het besluit genomen om u middels deze beschikking een subsid1evoucher te verstrekken ten behoeve van het opstellen van een ondernemingsplan, om dit ondernemingsplan vervolgens te laten toetsen bij gezamenlijke betrokken overheden in het kader van de pilot ondernemingsplanaanpak in de Gelde [...]</t>
  </si>
  <si>
    <t>Rijksoverheid__34_Besluit-subsidiewijziging-Programmabureau-Maritiem-Masterplan-2024-2025-onderdeel-Human-Capital.txt::Ontvanger</t>
  </si>
  <si>
    <t>Stichting Nederland Maritiem Land</t>
  </si>
  <si>
    <t>stichting nederland maritiem land</t>
  </si>
  <si>
    <t>Stichting Nederland Maritiem Land [52:85]</t>
  </si>
  <si>
    <t>&amp;gt; Retouradres Postbus 20901 2500 EX Den Haag Stichting Nederland Maritiem Land T.a.v. Boompjes 40 3011 XB ROTTERDAM - Datum 20 december 2024 Subsidiewijziging inzake Programmabureau Maritiem Masterplan 2024-2025 - onderdeel Human Capital Betreft Geachte , Bij brief van 25 april, [...]</t>
  </si>
  <si>
    <t>Rijksoverheid__34_Besluit-subsidiewijziging-Programmabureau-Maritiem-Masterplan-2024-2025-onderdeel-Human-Capital.txt::Besluitvormend Orgaan</t>
  </si>
  <si>
    <t>DE MINISTER VAN INFRASTRUCTUUR EN WATERSTAAT</t>
  </si>
  <si>
    <t>de minister van infrastructuur en waterstaat</t>
  </si>
  <si>
    <t>DE MINISTER VAN INFRASTRUCTUUR EN WATERSTAAT [11469:11513]</t>
  </si>
  <si>
    <t>## VERTROUWELIJK
&lt;!-- image --&gt;
Besluit van de raad van bestuur van de Kansspelautoriteit als bedoeld in artikel 5:37 van de Algemene wet bestuursrecht tot invordering van verbeurde dwangsommen.
Datum: 28 april 2025 Kenmerk: 17393/01.339.488
## Invorderingsbesluit
## Samenvatting
Bij besluit van 23 juli 2024 heeft de raad van bestuur van de Kansspelautoriteit een last onder dwangsom opgelegd aan Techno Offshore Limited. De Kansspelautoriteit stelt vast dat Techno Offshore Limited de opgelegde lastgeving heeft overtreden en dat van rechtswege dwangsommen zijn verbeurd ter hoogte van €840.000,-. Omdat de verbeurde dwangsommen niet zijn betaald, besluit de Kansspelautoriteit over te gaan tot invordering.
## 1 Inleiding
1. De raad van bestuur van de Kansspelautoriteit (hierna: de Kansspelautoriteit) is belast met het toezicht op de naleving van het bepaalde in de Wet op de kansspelen (hierna: Wok).
2. Zoals de Afdeling bestuursrechtspraak van de Raad van State (hierna: de Afdeling) eerder heeft overwogen (in onder meer de uitspraak van 13 juni 2018, ECLI:NL:RVS:2018:1968), moet bij een besluit tot invordering van een verbeurde dwangsom aan het belang van de invordering een zwaarwegend gewicht worden toegekend. Een andere opvatting zou afdoen aan het gezag dat moet uitgaan van een besluit tot oplegging van een last onder dwangsom. Steun voor dit uitgangspunt kan worden gevonden in de geschiedenis van de totstandkoming van artikel 5:37, eerste lid, van de Algemene wet bestuursrecht (hierna: Awb). 1  Hierin is vermeld dat een adequate handhaving vergt dat
1  Kamerstukken II 2003/04, 29 702, nr. 3, blz. 115.
## VERTROUWELIJK
&lt;!-- image --&gt;
Kansspelautoriteit 28 april 2025 Kenmerk
17393/01.339.488
opgelegde sancties ook worden geëffectueerd en dus dat verbeurde dwangsommen worden ingevorderd. Slechts in bijzondere omstandigheden kan geheel of gedeeltelijk van invordering worden afgezien.
## 2 Juridisch kader
3. Artikel 5:33 van de Awb bepaalt dat een verbeurde dwangsom wordt betaald binnen zes weken nadat zij van rechtswege is verbeurd.
4. Artikel 5:37, eerste lid, van de Awb bepaalt dat het bestuursorgaan, alvorens aan te manen tot betaling van de dwangsom, bij beschikking omtrent de invordering van een dwangsom beslist.
## 3 Besluit last onder dwangsom
5. De raad van bestuur van de Kansspelautoriteit heeft vastgesteld dat Techno Offshore Limited door middel van de websites simplecasino.com en nolimitbet.com gelegenheid geeft tot deelname aan een kansspel, terwijl voor dat laatstgenoemde aanbod geen vergunning is afgegeven op grond van de Wok. Uit onderzoek is gebleken dat het mogelijk is om op de hiervoor genoemde websites vanuit Nederland een spelersaccount aan te maken, een storting te verrichten en deel te nemen aan kansspelen. Er zijn geen technische maatregelen genomen om deelnemers vanuit Nederland de toegang tot de kansspelen te beletten.
6. Bij besluit van 23 juli 2024 heeft de Kansspelautoriteit vervolgens de volgende last onder dwangsom opgelegd aan Techno Offshore Limited (overtreder) wegens overtreding van artikel 1, eerste lid, onder a, van de Wok 2 :
- a. Overtreder wordt op straffe van verbeurte van een dwangsom gelast uiterlijk binnen vier weken na dagtekening van dit besluit de overtreding(en) van artikel 1, eerste lid, onder a, van de Wok te staken en gestaakt te houden.
2  Bijlage 17393/01.320.704
## VERTROUWELIJK
&lt;!-- image --&gt;
Kansspelautoriteit 28 april 2025 Kenmerk
17393/01.339.488
- b. Overtreder kan dit doen door alle gelegenheid om vanuit Nederland deel te nemen aan kansspelen op afstand, waarvoor geen vergunning ingevolge de Wok is verleend, te beëindigen en beëindigd te houden. Dit omvat het aanbieden van kansspelen via de door de Kansspelautoriteit onderzochte websites en alle andere websites die in eigendom/beheer zijn bij overtreder. Tevens omvat dit ook iedere andere activiteit (waaronder, maar niet uitsluitend, het aanbieden van kansspelapps) als gevolg waarvan het mogelijk is vanuit Nederland deel te nemen aan kansspelen op afstand en waarvoor geen vergunning ingevolge de Wok is verleend, te beëindigen en beëindigd te houden.
- c. Na het verstrijken van de onder randnummer a genoemde begunstigingstermijn verbeurt overtreder een dwangsom van €280.000,- per week of gedeelte van de week of constatering van een overtreding van artikel 1, eerste lid, aanhef en onder a, van de Wok, tot een maximum van €840.000,-.
7. De begunstigingstermijn liep op 20 augustus 2024 af.
8. Techno Offshore Limited heeft geen bezwaar gemaakt tegen het besluit van 23 juli 2024 tot het opleggen van een last onder dwangsom.
## 4 Bevindingen hercontrole
9. Een toezichthouder van de Kansspelautoriteit heeft in het kader van het toezicht op de opgelegde last onder dwangsom op 3 december 2024 een hercontrole uitgevoerd. 3
10. Uit de hercontrole is gebleken dat het mogelijk is om op de website nolimitbet.com in te loggen met bestaande accountgegevens en deel te nemen aan een kansspel. Tijdens deze hercontrole is gebleken dat de overtreding niet is beëindigd.
3  Bijlage 17393/01.330.326
## VERTROUWELIJK
&lt;!-- image --&gt;
Kansspelautoriteit 28 april 2025 Kenmerk 17393/01.339.488
11. Een toezichthouder van de Kansspelautoriteit heeft in het kader van het toezicht op de opgelegde last onder dwangsom op 9 december 2024 nogmaals een hercontrole uitgevoerd. 4
12. Uit de hercontrole is gebleken dat het mogelijk is om op de website nolimitbet.com in te loggen met bestaande accountgegevens en deel te nemen aan een kansspel.
13. Een toezichthouder van de Kansspelautoriteit heeft in het kader van het toezicht op de opgelegde last onder dwangsom op 16 december 2024 nogmaals een hercontrole uitgevoerd. 5
14. Uit de hercontrole is gebleken dat het mogelijk is om op de website nolimitbet.com in te loggen met bestaande accountgegevens en deel te nemen aan een kansspel.
15. Op basis van deze bevindingen wordt geconcludeerd dat Techno Offshore Limited door middel van de website nolimitbet.com gelegenheid geeft tot deelname aan een kansspel, terwijl voor dat laatstgenoemde geen vergunning is afgegeven op grond van de Wet op de kansspelen. Hiermee handelt Techno Offshore Limited in strijd met artikel 1, eerste lid, aanhef en onder a, van de Wok. De overtreding is niet beëindigd en beëindigd gehouden. Techno Offshore Limited heeft dan ook, na de in de last onder dwangsom genoemde termijn, de Wok overtreden.
## 5 Zienswijze
16. Bij brief van 4 maart 2025 6  heeft de Kansspelautoriteit een voornemen invorderingsbesluit 7  gestuurd naar Techno Offshore Limited. In deze brief is
4  Bijlage 17393/01.331.327
5  Bijlage 17393/01.331.682
6  Bijlage 17393/01.336.080
7  Bijlage 17393/01.336.084
## VERTROUWELIJK
&lt;!-- image --&gt;
Kansspelautoriteit 28 april 2025 Kenmerk
17393/01.339.488
Techno Offshore Limited in de gelegenheid gesteld een zienswijze in te dienen. Hiervan is geen gebruik gemaakt.
## 6 Vaststelling verbeuring last
17. Het verbeuren van dwangsommen geschiedt van rechtswege. Gelet op het bovenstaande stelt de Kansspelautoriteit, onder verwijzing naar het besluit van 23 juli 2024 8 , vast dat Techno Offshore Limited niet heeft voldaan aan de lastgeving. Hiermee heeft Techno Offshore Limited in totaal €840.000,- aan dwangsommen verbeurd.
18. Slechts in bijzondere omstandigheden kan geheel of gedeeltelijk van invordering worden afgezien. In het onderhavige geval is geen sprake van dergelijke bijzondere omstandigheden.
## 7 Besluit invordering
19. De Kansspelautoriteit heeft Techno Offshore Limited per brief van 11 december 2024 9 , 17 december 2024 10  en 20 december 2024 11  verzocht om de verbeurde dwangsommen te betalen. Omdat Techno Offshore Limited niet binnen zes weken heeft voldaan aan haar betalingsverplichting besluit de Kansspelautoriteit op grond van artikel 5:37 van de Awb over te gaan tot het invorderen van deze verbeurde dwangsommen.
20. Het bedrag van €840.000,- dient binnen 6 weken na dagtekening van dit besluit te zijn overgemaakt op het rekeningnummer NL07ABNA0501634479, ABN-AMRO ten name van Kansspelautoriteit onder vermelding van het dossiernummer 17393 en kenmerk 01.339.488.
's-Gravenhage, 28 april 2024
8  Bijlage 17393/01.320.704
9  Bijlage 17393/01.330.323
10  Bijlage 17393/01.331.232
11  Bijlage 17393/01.331.681
## VERTROUWELIJK
Hoogachtend,
De raad van bestuur van de Kansspelautoriteit, namens deze,
&lt;!-- image --&gt;
mr. P.J.H. Benner hoofd afdeling Handhaving
&lt;!-- image --&gt;
## Kansspelautoriteit
28 april 2025 Kenmerk
17393/01.339.488
## VERTROUWELIJK
## Bezwaar.
Dit is een besluit. Tegen dit besluit kunt u bezwaar maken. Dat doet u door een gemotiveerd bezwaarschrift in te dienen. Dit moet u doen binnen zes weken na de bekendmaking van deze beslissing (dat is: de datum van verzending van dit besluit).
U kunt uw bezwaarschrift sturen naar het volgende adres:
Kansspelautoriteit Afdeling Juridische Zaken &amp;amp; Vergunningen Postbus 298 2501 CG Den Haag
U kunt uw bezwaarschrift ook digitaal sturen. Dit kunt u doen door uw bezwaarschrift in PDF-formaat te mailen  naar griffie@kansspelautoriteit.nl.
Een bezwaarschrift kan ook door een gemachtigde worden ingediend. Als de gemachtigde geen advocaat is, moet bij het bezwaarschrift een machtiging worden bijgevoegd.
Zorg ervoor dat het bezwaarschrift in elk geval het volgende bevat:
Naam en adres van de bezwaarmaker; De datum van het bezwaarschrift; Een kopie van het besluit waartegen bezwaar wordt gemaakt; De gronden van het bezwaar; en
Ondertekening door de bezwaarmaker of de gemachtigde.
Als een of meerdere onderdelen in uw bezwaarschrift, zoals bijvoorbeeld de gronden van het bezwaar, ontbreken, zullen wij u de kans geven om dit te herstellen. Mocht u dat niet of niet op tijd doen, kan uw bezwaar niet-ontvankelijk worden verklaard.
Let op: het instellen van bezwaar schort de werking van dit besluit niet op. Kunt u het besluit op uw bezwaarschrift niet afwachten omdat u een spoedeisend belang heeft? Dan kunt u bij de sector bestuursrecht van de rechtbank in uw arrondissement een verzoek om voorlopige voorziening indienen.
Voor meer informatie kunt u op www.rijksoverheid.nl de brochure 'Bezwaar en beroep tegen een beslissing van de overheid' downloaden.
&lt;!-- image --&gt;
Kansspelautoriteit
28 april 2025 Kenmerk
17393/01.339.488</t>
  </si>
  <si>
    <t>[...] er vermelding van 5000006799. ## Heeft u vragen? Voor vragen over deze beschikking kunt u contact opnemen met uw contactpersoon: . Ik wens u veel succes met de uitvoering van de activiteiten. Hoogachtend, DE MINISTER VAN INFRASTRUCTUUR EN WATERSTAAT, namens deze, DE PLV. DIRECTEUR-GENERAAL LUCHTVAART EN MARITIEME ZAKEN, &lt;!-- image --&gt; mevr. mr. B.C.M. Gijsbers Voor nadere informatie over dit besluit kunt u terecht bij de hierboven genoemde contactpersoon. [...]</t>
  </si>
  <si>
    <t>Rijksoverheid__34_Besluit-subsidiewijziging-Programmabureau-Maritiem-Masterplan-2024-2025-onderdeel-Human-Capital.txt::Rechtshandeling</t>
  </si>
  <si>
    <t>wijzig</t>
  </si>
  <si>
    <t>wijzig [1198:1205]</t>
  </si>
  <si>
    <t>wijzig [1198:1204]</t>
  </si>
  <si>
    <t>[...] tal, als onderdeel van het Maritiem Masterplan. Daarnaast vraagt u om de termijn voor het uitvoeren van de activiteiten waarvoor subsidie is verleend, te verlengen. ## Besluit Ik ga akkoord met uw verzoek. Hiermee wijzig ik de volgende punten van mijn beschikking: De herziende verleende subsidie bedraagt maximaal € 1.074.000,- (€ 840.000,plus € 234.000,-). Dit bedrag is inclusief alle eventuele voor uw rekening blijvende belastingen, [...]</t>
  </si>
  <si>
    <t>Rijksoverheid__50_Verleningsbrief-Subsidie-emissieloze-touringcars-Autobusbedrijf-Doornbos.txt::Ontvanger</t>
  </si>
  <si>
    <t>Rijksoverheid__50_Verleningsbrief-Subsidie-emissieloze-touringcars-Autobusbedrijf-Doornbos.txt</t>
  </si>
  <si>
    <t>Autobusbedrijf Doornbos B.V.</t>
  </si>
  <si>
    <t>Autobusbedrijf Doornbos B.V.\n</t>
  </si>
  <si>
    <t>autobusbedrijf doornbos b.v</t>
  </si>
  <si>
    <t>Autobusbedrijf Doornbos B.V. [51:79]</t>
  </si>
  <si>
    <t>Autobusbedrijf Doornbos B.V.\n [51:79]</t>
  </si>
  <si>
    <t>&amp;gt; Retouradres: Postbus 10073, 8000 GB ZWOLLE Autobusbedrijf Doornbos B.V. &lt;!-- image --&gt; Datum 8 november 2024 Betreft Besluit aanvraag STOUR2024-03757698 Geachte Op 15 oktober 2024 heb ik uw aanvraag ontvangen voor STOUR2024-03757698 van de Subsidie emissieloze touringca [...]</t>
  </si>
  <si>
    <t>Rijksoverheid__50_Verleningsbrief-Subsidie-emissieloze-touringcars-Autobusbedrijf-Doornbos.txt::Besluitvormend Orgaan</t>
  </si>
  <si>
    <t>De Minister van Infrastructuur en Waterstaat</t>
  </si>
  <si>
    <t>De Minister van Infrastructuur en Waterstaat [6925:6969]</t>
  </si>
  <si>
    <t>[...] met ons op www.rvo.nl/contact. Of bel ons op: 088 042 42 42 (lokaal tarief). Uw aanvraag is bekend onder referentienummer STOUR2024-03757698. Gebruik dit nummer als u contact met ons heeft. Met vriendelijke groet, De Minister van Infrastructuur en Waterstaat, namens deze: Dit bericht is automatisch gegenereerd en bevat daarom geen handtekening. ## Bijlagen: - Betaalschema van de voorschotten Rijksdienst voor Ondernemend Nederland Onze referentie STOUR2024-037 [...]</t>
  </si>
  <si>
    <t>Rijksoverheid__50_Verleningsbrief-Subsidie-emissieloze-touringcars-Autobusbedrijf-Doornbos.txt::Rechtshandeling</t>
  </si>
  <si>
    <t>verlenen [361:369]</t>
  </si>
  <si>
    <t>[...] esluit aanvraag STOUR2024-03757698 Geachte Op 15 oktober 2024 heb ik uw aanvraag ontvangen voor STOUR2024-03757698 van de Subsidie emissieloze touringcars (STour). ## Beslissing Ik heb besloten u subsidie te verlenen. Het totaal verleende subsidiebedrag bedraagt: Subsidiebedrag € 124.800 U krijgt 70% als voorschot uitbetaald. In bijlage 1 vindt u het betaalschema van het voorschot. ## Toegewezen subsidie voor touringcar [...]</t>
  </si>
  <si>
    <t>Rijksoverheid__50_Verleningsbrief-Subsidie-emissieloze-touringcars-Autobusbedrijf-Doornbos.txt::Rechtsobject</t>
  </si>
  <si>
    <t>subsidie [349:358]</t>
  </si>
  <si>
    <t>subsidie [349:357]</t>
  </si>
  <si>
    <t>[...] Betreft Besluit aanvraag STOUR2024-03757698 Geachte Op 15 oktober 2024 heb ik uw aanvraag ontvangen voor STOUR2024-03757698 van de Subsidie emissieloze touringcars (STour). ## Beslissing Ik heb besloten u subsidie te verlenen. Het totaal verleende subsidiebedrag bedraagt: Subsidiebedrag € 124.800 U krijgt 70% als voorschot uitbetaald. In bijlage 1 vindt u het betaalschema van het voorschot. ## Toegewezen subsidie voor [...]</t>
  </si>
  <si>
    <t>Rijksoverheid__51_Verleningsbrief-Subsidie-emissieloze-touringcars-Qbuzz.txt::Ontvanger</t>
  </si>
  <si>
    <t>Rijksoverheid__51_Verleningsbrief-Subsidie-emissieloze-touringcars-Qbuzz.txt</t>
  </si>
  <si>
    <t>Qbuzz</t>
  </si>
  <si>
    <t>~
&lt;!-- image --&gt;
&amp;gt; Retouradres Postbus 20401 2500 EK Den Haag
Quintel Intelligence B.V. Keizersgracht 639-H 1017 DT Amsterdam
## ~ f 7  NOV.  2025!
Datum Betreft
Subsidie duurzame vernieuwing van het technisch fundament en duurzaam beheer van het open source Energietransitiemodel verplichtingnummer:  2300050334.
Geachte
en
## 1. Aanvraag
Op  11 september 2025 ontving ik uw brief van  11 september 2025, kenmerk 20250025-2, waarin u subsidie aanvraagt voor Subsidie duurzame vernieuwing van het technisch fundament en duurzaam beheer van het open source Energietransitiemodel. U heeft daarbij een  projectplan  en begroting aan mij overgelegd.
## 1.  1.  Procesverloop
In de aanloop naar  de beoordeling van uw aanvraag zijn gesprekken gevoerd over de inhoud van de aanvraagbrief en  de bijgeleverde begroting.  Daarin is ook gesproken over het proces en  wat u kunt verwachten als ook de omzetting naar een nog te vormen stichting waar uiteindelijk het Energietransitiemodel komt te hangen. Tegelijkertijd zijn er ook gesprekken gevoerd met Netbeheer Nederland die als medepartij uw Energietransitie-model co-financiert.
## 1.2 Beoordeling van uw aanvraag
Het project zoals beschreven in uw aanvraag past binnen het kader van het beleid om de energietransitie in Nederland te verduurzamen. De kern van dit beleid is de energiemix van het Nederlands energiesysteem te verduurzamen en hernieuwbaar t e maken met verschillende impulsen. Uw opensource rekenmodel waarmee toekomstige scenario's voor het toekomstige energiesysteem van Nederland kunnen worden berekend en wat draagvlak geniet van vele stakeholders in Nederland ( en  daar buiten) is van cruciaal belang en is passend  binnen ons beleid.
## 1.  3  Europeesrechtelijke aspecten
Op grond van artikel 7 van de Kaderwet EZ-, LVVN- en KGG-subsidies verleen ik geen subsidie als dit naar mijn oordeel leidt tot het verlenen van ongeoorloofde staatssteun in  de zin van artikel  107 van het Verdrag betreffende de werking van de Europese Unie (hierna: VWEU).
Op basis van uw aanvraag kom ik tot  het oordeel dat de subsidie verstrekt kan worden op grond van verordening (EU) nr. 651/2014 van de Commissie van  17
&lt;!-- image --&gt;
Klimaat en groene Groei
## Bezoekadres
Bezu1denhoutseweg 73 2594 AC Den Haag
Postadres Postbus 2040 1 2500 EK Den Haag
Overheidsidentificatienr 00000003952069570000
T 070  379 8911 (algemeen) F  070 378 6100 (algemeen) www.rlJksoverheld.nl/kgg
Behandeld door
,@minezk.nl
Ons kenmerk KGG/ 101342902
Uw kenmerk 20250025·2
Bijlage(n) 2
juni 2014 waarbij bepaalde categorieën  op grond van de artikelen 107 en  108 van het Verdrag met de interne markt verenigbaar worden verklaard (Pb EU, L 187  /1), met name artikel 49 is van toepassing. De geleverde diensten die direct verband houden met de revisie van het ETM  passen onder de strekking van artikel 49 waarin steun voor studies of consultancydiensten onder voorwaarden kan worden verleend.
Artikel 49 verklaart steun voor studies of consultancydiensten,  met inbegrip van energieaudits, die rechtstreeks verband houden met op grond van dit deel voor steun in  aanmerking komende investeringen, verenigbaar  met de interne markt in de zin van artikel 107, lid 3, van het Verdrag en  is vrijgesteld van  de voorgenoemde aanmeldingsverplichting uit artikel 108, derde lid VWEU,  mits wordt voldaan aan de voorwaarden conform de leden 2 tot en met 5 van artikel 49, alsmede aan de voorwaarden uit het hoofdstuk I  van Verordening (EU) nr. 651/2014.
Ik heb geconstateerd dat Quintel Intelligence B.V. geen onderneming in moeilijkheden is als bedoeld in artikel 1, vierde lid, onderdeel c, van verordening (EU) nr, 651/2014. Ik heb verder geconstateerd dat er tegen Quintel Intelligence B.V.  geen bevel tot terugvordering uitstaat als bedoeld in artikel 1, vierde lid, onderdeel a, van verordening (EU) nr. 651/2014. Voorts heb ik vastgesteld dat met de uitvoering van dit projectplan niet is begonnen dan na uw subsidie­ aanvraag van 8 augustus 2025. Er gaat derhalve - onder meer om deze reden een stimulerend effect uit van deze subsidieverlening aan  Quintel Intelligence B.V.
Beknopte informatie over deze subsidieverlening is op grond van artikel 9, eerste lid, van verordening (EU)  nr. 651/2014 gemeld aan de Europese Commissie.  De volledige tekst van de onderhavige beschikking wordt gepubliceerd op de staatssteunwebsite op het internet. Artikel 9, eerste lid, van verordening (EU) nr. 651/2014, bevat de verplichting aan de lidstaten om de steun boven de transparantiedrempel en de in dit artikel genoemde gegevens te publiceren in de State Aid Transparancy Award Module.
## 1.  4  Bewaartermijn boekhouding
Ik wijs u erop dat de Europese Commissie nog gedurende tien jaar na de verstrekking van deze subsidie, deze achteraf kan controleren. Ik raad u aan de relevante documenten met betrekking tot deze subsidie gedurende deze periode te bewaren.
## 2. Besluit
In het kader van mijn beleid gericht op energie en duurzaamheid verleen ik u hierbij, op grond van artikel 2, eerste lid, onderdeel a, van de Kaderwet EZ-, LVVN- en KGG-subsidies, subsidie voor de uitvoering van het beheer en doorontwikkeling van het rekenmodel ETM waarmee toekomstige scenario's van het toekomstige energiesysteem kunnen worden doorgerekend.
## 2.1 Periode
Het project dient te worden uitgevoerd in de periode van  1 december 2025 tot 31
december 2029.
Klimaat en groene Groei
ons kenmerk KGG /  101342902
## 2.2 Subsidiebedrag
Het subsidiebedrag zal 50% van de volgende subsidiabele kosten bedragen, met dien verstande dat, indien ter zake van de subsidiabele kosten of een  deel daarvan reeds uit anderen hoofde vanwege een bestuursorgaan of de Europese Commissie subsidie is verstrekt, slechts een zodanig bedrag aan subsidie wordt verstrekt, dat het totale bedrag aan subsidies niet meer bedraagt dan 100% van de subsidiabele kosten. Het subsidiebedrag  kan niet meer bedragen dan toegestaan volgens de toepasselijke Europese steunkaders.
De subsidie wordt ten hoogste vastgesteld op 50% van de subsidiabele kosten. De maximale subsidie wordt derhalve vastgesteld op €2.000.000, - exclusief BTW gelet op de gegevens opgenomen in uw aanvraag en  berekend volgens de bij uw aanvraag gevoegde begroting. Deze subsidievaststelling blijft daarmee binnen de in artikel 49, derde lid, geldende grenzen voor het toekennen van deze subsidie. In dat specifieke lid kan de steunintensiteit maximaal 60% bedragen.
## 2.3 Subsidiabele kosten
De volgende, rechtstreeks aan het project toe te rekenen kosten, daadwerkelijk gemaakt in de voornoemde periode en die betaald zijn vóór 31 december 2029 worden door mij subsidiabel geacht. Deze kosten zijn conform uw begroting gebaseerd op een interne kostenberekening op basis van de vaste-uurtarief­ systematiek, waarbij  wordt uitgegaan van een uurtarief van €100,  dat lager ligt dan een uurtarief dat in  de markt gebruikelijk is. De  materiële  kosten zijn geraamd op basis van de door u opgestelde begroting.
De vóór indiening van de aanvraag gemaakte kosten komen niet voor subsidie in aanmerking.
Voor de toepassing van de hierboven genoemde punten geldt, dat winstopslagen bij  transacties binnen een groep alleen in aanmerking zijn genomen voor zover het gebruikelijk is om die winstopslagen ook bij soortgelijke transacties buiten de groep in rekening te brengen.
## 2.4 BTW
U heeft mij opgegeven dat u BTW-plichtig bent. Aangezien u de BTW met de fiscus kunt verrekenen, is het subsidiebedrag exclusief alle belastingen waaronder de BTW.
Klimaat en groene Groei
Ons kenmerk KGG /  101342902
## 2.5 Subsidiabele kosten voor dit project
Op grond van uw projectplan en begroting raam ik de subsidiabele kosten voor dit project Op:
1
| #      | Werkpakket                  | Totaal begrote kosten   |
|--------|-----------------------------|-------------------------|
| lA     | Algemeen beheer en overhead | € 327.600,-             |
| 1B     | Vaste overheadkosten        | € 72.400,-              |
| 2      | Data technisch              | € 200.000,-             |
| 3      | Data inhoudelijk            | € 800.000,-             |
| 4      | Rekenmethodes               | € 900.000,-             |
| 5      | Gebruikersinterfaces        | € 600.000,-             |
| 6      | Model features              | € 200.000,-             |
| 7      | Technische infrastructuur   | € 500.000,-             |
| 8      | Bug fixes                   | € 400.000,-             |
| Totaal |                             | € 4.000.000,-           |
## 2.6 Verplichtingen
Aan de subsidie zijn de volgende verplichtingen verbonden:
1. U dient het project volledig uit te voeren overeenkomstig de aanvraag en binnen de onder paragraaf 2.1 genoemde tijdsduur.
2. U dient mij onverwijld een schriftelijke melding te doen zodra aannemelijk is dat de activiteiten waarvoor de subsidie is verleend niet, niet tijdig of niet geheel zullen worden verricht of dat niet, niet geheel of niet tijdig aan de subsidie verbonden verplichtingen zal worden voldaan.
3. U dient voor elke essentiële  wijziging in  de aard of de uitvoering van het plan mijn voorafgaande schriftelijke toestemming te vragen. Geen toestemming is vereist voor een wijziging van de in de subsidieverlening gespecificeerde kostenposten indien als gevolg van deze wijzing de omvang van een kostenpost niet meer dan 15% wijzigt. Aan  mijn toestemming kan ik nadere verplichtingen verbinden.
4. U dient mij schriftelijk verslag uit te brengen over de voortgang van het project. In dit verslag dient duidelijk inzicht te worden gegeven in de voortgang van het project in vergelijking met de voorziene tijdsduur en kosten zoals opgenomen in het door u ingediende projectplan. Het eerste verslag brengt u uit  over de periode van zes maanden na de datum van de beschikking; de volgende verslagen steeds over de daarop volgende periode van twaalf maanden. Alle verslagen dienen binnen twee maanden na afloop van de betrokken periode bij mij ingediend te zijn.
5. De inrichting van uw administratie dient zodanig te zijn dat deze aansluit bij de door u ingediende begroting en daaruit te allen t ijden op eenvoudige en  duidelijke wijze de rechtstreeks aan het project te rekenen kosten kunnen worden afgelezen. Ter zake van de loonkosten dient door middel van een urenadministratie vastgestelde urenverantwoording aanwezig te zijn.
6. Op mijn verzoek dient u inlichtingen te verschaffen omtrent de voortgang of resultaten van het project.  U bent verplicht om op mijn verzoek medewerking te verlenen aan een evaluatie van het beleid op grond waarvan deze subsidie is verstrekt. Deze verplichtingen gelden tot vijf  jaar na de datum van de beschikking tot subsidievaststelling.
7. U doet mij onverwijld schriftelijke mededeling van de indiening bij de rechtbank van een verzoek tot het op u van toepassing verklaren van de
Klimaat en groene Groei
Ons kenmerk KGG /  101342902
schuldsaneringsregeling natuurlijke personen, tot verlening van surseance van betaling aan u of tot faillietverklaring van u.
8. Uiterlijk binnen  13 weken na de in deze beschikking genoemde einddatum dient u bij mij schriftelijk een verzoek om subsidievaststelling in. Dit verzoek dient vergezeld te gaan van:
- a. Een eindrapport waarin verloop en eindresultaten van het gesubsidieerde project zijn vastgelegd;
- b. Een gespecificeerde opgave van alle rechtstreeks aan het project toe te rekenen werkelijk gemaakte kosten, opgesteld conform de door u ingediende begroting;
- c. Een controleverklaring conform het in bijlage 1 van deze beschikking opgenomen controleprotocol.
U voert het project uit in overeenstemming met de verplichtingen, opgenomen in artikel 49 van de Algemene groepsvrijstellingsverordening, de leden 2 tot en met 5. Dit houdt, onder meer, in dat indien slechts een deel van de studie of de consultancydienst betrekking heeft op investeringen die op grond van dit deel voor steun in aanmerking komen, zijn de in aanmerking komende kosten de kosten van het deel van de studie of de consultancydienst dat met die investeringen verband houdt. Daarnaast wordt de subsidie toegekend, ongeacht of de bevindingen van de studie of de consultancydienst worden gevolgd door een investering die op grond van dit deel voor steun in aanmerking komt.
9. In het geval er activiteiten door een derde of  derden worden uitgevoerd, dient opdrachtverlening aan deze derde(n) plaats te vinden op basis van transparante criteria en marktconforme tarieven.
## 2. 7 Subsidievaststelling
De beschikking tot subsidievaststelling zal ik geven binnen  13 weken na ontvangst van uw aanvraag daartoe dan wel nadat de voor het indienen ervan geldende termijn genoemd in verplichting 8 is verstreken. Indien de beschikking niet binnen 13 weken kan worden gegeven zal  ik u daarvan in kennis stellen en daarbij een redelijke termijn noemen waarbinnen de beschikking tegemoet gezien kan worden.
## 2.8 Voorschot
Ik verleen u bij deze een voorschot van het genoemde subsidiebedrag € 2.000.000,-, zijnde €250.000,-.  Het voorschot zal worden betaald binnen zes weken na de dag van verzending van deze beschikking op uw bankrekeningnummer: NL03RABO0152187472 ten name van Quintel Intelligence B.V.
Verder worden de volgende voorschotten overgemaakt per:
- 01-03-2026 en wel ter hoogte van onderscheidenlijk €500.000,- euro.
- 01-03-2027 en wel ter hoogte van onderscheidenlijk €500.000,- euro.
- 01-03-2028 en wel ter hoogte van onderscheidenlijk €350.000,- euro.
Tot slot wordt het restant bij de vaststelling uitbetaald.
Klimaat en groene Groei
Ons kenmerk KGG /  101342902
## 2. 9 Advies
Om eventuele problemen met de accountantscontrole op uw financiële verantwoording te voorkomen adviseer ik u om uw accountant zo vroeg mogelijk
te betrekken. Klimaat en groene Groei
## 3. Correspondentie
Alle correspondentie met betrekking tot deze subsidie dient u, met vermelding van bovenstaand verpllchtingnummer, te zenden  naar:
Ministerie van Klimaat en Groene Groei t.a.v. Postbus 20401 2500 EK  Den  Haag
De Minister van  Klimaat en Groene Groei, namens deze:
Michel Heijdra
Directeur-Generaal Klimaat en Energie
Tegen dit besluit kan degene wiens belang rechtstreeks bij dit besluit  is betrokken binnen zes weken na de dag van verzending van dit besluit een gemotiveerd bezwaarschrift indienen bij de  Minister van Klimaat en Groene Groei, directie Wetgeving en Juridische Zaken, Postbus 20401, 2500 EK Den Haag. Dit besluit is verzonden op de in de aanhef van deze  brief vermelde datum.
Ons kenmerk KGG /  101342902
## Bijlage 1
Controleprotocol beschikking tot (incidentele) subsidieverlening van de ministeries van Economische Zaken (EZ), Klimaat en Groene Groei (KGG) en Landbouw, Visserij, Voedselzekerheid en Natuur (LVVN)
## 1. Uitgangspunten
## 1.1. Doelstelling
Dit protocol heeft als doel het geven van aanwijzingen over de reikwijdte en de diepgang van de controle aan de accountant, belast met de controle van de door de subsidieontvanger bij  het ministerie van Economische Zaken en Klimaat (EZ), ministerie van Klimaat en Groene Groei (KGG) en Landbouw, Visserij, Voedselzekerheid en Natuur (LWN) in te dienen financieel verslag opgenomen in de aanvraag om subsidievaststelling. Financië le afrekening door EZ, KGG of LVVN vindt  plaats op basis van de in de aanvraag tot subsidievaststelling opgenomen financieel  verslag als bedoeld in  artikel 50 van het Kaderbesluit nationale EZK- en LNV-subsidies, voorzien van een controleverklaring van de accountant.
## 1.2. Definities
- Accountant: een registeraccountant of Accountant-Administratieconsulent als bedoeld in artikel 393. eerste lid. van Boek 2 van het Burgerlijk Wetboek aan wie de subsidieontvanger de opdracht heeft toegekend de aanvraag tot subsidievaststelling te controleren.
- Subsidieontvanger: een natuurlijke of rechtspersoon of diens gemachtigde aan wie namens EZ, KGG of LVVN een subsidie is verstrekt.
- Object van controle: financiële  verantwoording
- Controleverklaring: een schriftelijke verklaring van de accountant inhoudende een oordeel over de naleving van de verplichtingen en voorwaarden in de individuele beschikking tot subsidieverlening (en wijzigingen daarin) door de subsidieontvanger en voor zover die een financieel effect op de financiële  verantwoording hebben.
## 1.3. Wet- en regelgeving
Voor de controle van het financiële  verantwoording is de volgende wet- en regelgeving van toepassing voor zover deze financiële  verantwoording als onderdeel van het verzoek tot subsidievaststelling van de subsidieontvanger betreffen:
- de voorwaarden en verplichtingen die in de (bijlagen bij) de beschikking tot subsidieverlening, voor zover die een financieel effect op de financiële verantwoording hebben;
- indien de subsidieontvanger een aanbestedende dienst is volgens artikel 1.1 van de Aanbestedingswet 2012: de Aanbestedingswet 2012, het Aanbestedingsbesluit en  de Gids Proportionaliteit.
De controle van de financië le verantwoording moet voldoen aan de controlestandaarden die onderdeel zijn van de nadere voorschriften Controle- en overige standaarden (NV COS), die door de Koninklijke Nederlandse Beroepsorganisatie van Accountants (NBA) zijn vastgesteld en aan de aanwijzingen zoals opgenomen in dit protocol. De controle van de financiële verantwoording is een opdracht die wordt uitgevoerd op basis van Standaard 800 Controles van financiële  overzichten die zijn opgesteld in overeenstemming met stelsels voor bijzondere doeleinden en Standaard 805 Bijzondere overwegingen controles van enkel financieel overzicht en controles van specifieke elementen, rekeningen of posten van een financieel overzicht.
Klimaat en groene Groei
Ons kenmerk KGG /  101342902
## 2. Controleaanpak
De controle van de financië le verantwoording moet voldoen aan  de controlestandaarden die onderdeel zijn van de Nadere voorschriften controle- en overige standaarden (NV COS), die door de Koninklijke Nederlandse Beroepsorganisatie van Accountants (NBA) zijn vastgesteld en aan de aanwijzingen zoals opgenomen in dit protocol. De controle van de financiële verantwoording is een opdracht die wordt uitgevoerd op basis van Standaard 800 'Bijzondere overwegingen - controles van financiële  overzichten die zijn opgesteld in overeenstemming met de stelsels voor bijzondere doeleinden' en Standaard 805 'Bijzondere overwegingen - controles van enkel financieel overzicht en controles van specifieke elementen, rekeningen of posten van een  financieel overzicht'.
- Bij de uitvoering van  de controle stelt de accountant vast  dat:
- a.  de informatie in de financiële  verantwoording geen afwijkingen van materieel belang bevat;
- b.  in de financiële  verantwoording:
- 1  °. geen kosten als subsidiabel zijn opgenomen die niet voor subsidie in
- aanmerking komen;
- 2°. uitsluitend kosten als subsidiabel zijn opgenomen die zijn gemaakt binnen de subsidiabele periode en voor rekening komen van de subsidieontvanger;
- 3°. ingeval interne kosten als subsidiabele kosten zijn aangemerkt:
- voor personeel, de verantwoorde uren te relateren zijn aan de prestatie,
- aansluiten op de urenregistratie en er voldoende waarborgen zijn dat geen uren van andere projecten onder het gesubsidieerde project zijn geschoven;
- voor het gebruik van specifieke apparatuur, de gehanteerde (uur)tarieven voor
- het gebruik van apparatuur gebruikelijk zijn binnen de onderneming en  geen kosten bevatten die ook separaat in rekening zijn gebracht.
De accountant dient voldoende en geschikte controle-informatie te verkrijgen om de juistheid van  de verantwoorde interne kosten (personeelskosten en  interne kosten voor het gebruik van specifieke apparatuur) vast te kunnen stellen. De accountant bepaalt zelf, op basis van onder andere zijn risicoanalyse, aanwijzingen vanuit de jaarrekeningcontrole of andere onderzoeken, hoe hij zijn controle inricht en op welke wijze hij voldoende en geschikte controle-informatie verzamelt. Daarbij wordt de Handleiding subsidiecontroles van de Subsidy Audits Community (SAC) gehanteerd.
De accountant mag er van uitgaan dat de subsidieverstrekker zich ervan bewust is
dat bij interne kosten (personeelskosten en  interne kosten voor het gebruik van specifieke apparatuur) een tolerantie van 2% niet altijd toepasbaar is maar dat naar mate het aandeel van deze kosten in de verantwoording groter is de diepgang van de controle door de accountant groter wordt.
- c.  ingeval de subsidie strekt tot uitvoering van een  project, kosten en opbrengsten aantoonbaar zijn gemaakt en in overeenstemming en vergelijkbaar zijn met de informatie verstrekt ten behoeve van de beschikking tot subsidieverlening, zoals het projectplan met bijbehorende projectbegroting. Daarbij  geldt dat vastgesteld moet worden dat de prestatie aantoonbaar is geleverd maar dat niet beoordeeld wordt of het gewenste resultaat is bereikt;
- d.  de subsidieontvanger - ter voorkoming van dubbelfinanciering - opgave heeft gedaan van alle opbrengsten, waaronder subsidies (ook die van het subsidieverstrekkend departement), waarmee het programma/de activiteit waarop de subsidie betrekking heeft, mede is gefinancierd;
- e.  ingeval de subsidieontvanger een aanbestedende dienst is, kosten aantoonbaar zijn gemaakt in overeenstemming met aanbestedingswet- en regelgeving. Voor de controle wordt de Handleiding subsidiecontroles van de SAC gehanteerd.
Klimaat en groene Groei
Ons kenmerk
KGG /  101342902
## 3. Betrouwbaarheid en materialiteit
Betrouwbaarheid betreft de mate van zekerheid. Materialiteit of tolerantie betreft
de vereiste nauwkeurigheid die de accountant hierbij moet hanteren. Bij zijn oordeelsvorming over de naleving van de subsidievoorwaarden streeft de accountant naar een redelijke mate van zekerheid. Indien dit begrip voor het gebruik van statistische technieken gekwantificeerd moet worden, wordt een betrouwbaarheid van 95 procent gehanteerd.
Een  controleverklaring met een goedkeurende strekking impliceert dat, gegeven eerder genoemde betrouwbaarheid, de som van de afwijking en de onzekerheid niet groter is dan twee procent van het totaalbedrag aan subsidiabele kosten dat in de financiële  verantwoording wordt verantwoord. De hierna vermelde materialiteitsgrenzen zijn in dit kader van toepassing voor de bepaling van de strekking van de af te geven controleverklaring.
| Materialiteitstab el                                                              | Goedkeurende controleverkla rin g   | Verklarin g met beperking   | Verklaring van oordeelonthouding / Afkeurende verklaring   |
|-----------------------------------------------------------------------------------|-------------------------------------|-----------------------------|------------------------------------------------------------|
| ~u~n (afwijkingen) in de financiële verantwoording en onzekerheden in de controle | S2%                                 | &gt; 2% en s 4%                | &gt; 4%                                                       |
## 4. Verslaglegging
De accountant legt de uitkomsten van de controle vast in een controleverklaring. Hiervoor wordt de meest actuele NBA-voorbeeldtekst als basis gehanteerd.
## 5. Reviewbeleid
De minister van Economische Zaken en Klimaat en de minister van Landbouw, Natuur en Voedselkwaliteit hebben als subsidieverstrekker altijd de mogelijkheid een review uit te voeren of te laten uitvoeren bij de accountant belast met het onderzoek naar de informatie opgenomen in de aanvraag tot subsidievaststelling, teneinde na te gaan of het onderzoek met inachtneming van de relevante regelgeving van de NBA en dit controleprotocol is uitgevoerd. Deze reviews komen niet in de plaats van  andere controles dan wel reviews uitgevoerd door de Algemene Rekenkamer.
De accountant die belast is met het onderzoek en verantwoordelijk is voor het verstrekken van het accountantsproduct bij de aanvraag tot subsidievaststelling stemt er mee in dat de onderzoeksdossiers ten behoeve van bovengenoemde reviews integraal aan de reviewers ter inzage worden gegeven. Voorts zal de accountant, schriftelijk dan wel mondeling, alle gevraagde gegevens verstrekken die in het kader van voornoemde reviews worden opgevraagd. In dit kader wordt verwezen naar de bepalingen in hoofdstuk 6, paragraaf 1, van de Comptabiliteitswet 2016.
Klimaat en groene Groei
Ons kenmerk KGG /  101342902
## Bijlage  2: Rapport van feitelijke bevindingen
Het rapport van feitelijke bevindingen bedoeld in de beschikking tot subsidieverlening wordt opgesteld in overeenstemming met de Nederlandse Standaard 4400N "Opdrachten tot het verrichten van overeengekomen specifieke werkzaamheden". In het rapport van feitelijke bevindingen rapporteert de accountant over de hieronder genoemde aspecten en aandachtspunten van de integrale kostensystematiek.
1.  Beschrijving integrale kostensystematiek
## Opzet systematiek
- 1.1 Welke kostendragers gebruikt de organisatie in de integrale kostensystematiek?
- 1.2 Hoe worden de indirecte kosten toegerekend aan de kostendragers?
- 1.3 Worden de jaarlijkse tarieven op basis van de integrale kostensystematiek voorcalculatorisch vastgesteld? Als de subsidieontvanger  jaarlijks vooraf de tarieven vaststelt, is aan het begin van het  jaar duidelijk wat de tarieven van dat  jaar zijn. Deze tarieven worden gehanteerd bij begroting en ook bij de vaststelling van projecten. Als de subsidieontvanger niet met voorcalculatorische tarieven werkt dan toelichten.
- 1.4 Hoe worden de uitgangscijfers bepaald die voor de jaarlijkse berekening van de tarieven gebruikt worden?
- 1.5 Sinds wanneer wordt deze integrale kostensystematiek door de organisatie toegepast?
- 1.6 Is er een wijziging van de integrale kostensystematiek gepland en zo ja wanneer?
## Over personeelskosten
1.  7 I s het personeel ingedeeld in tariefgroepen? Zo ja, welke?
- 1.8 Hoe wordt het aantal direct productieve uren per voltijd werknemer berekend en wat is het aantal direct productieve uren per voltijd werknemer? Is dit aantal gelijk voor alle personen? Zo nee, licht toe.
## Over machines en apparatuur
- 1.9 Zijn de kosten voor machines en apparatuur onderdeel van de integrale kostensystematiek? Zo ja, geldt dat  voor alle machines en apparatuur of zijn er ook machines en apparaten die in projecten als aparte post worden begroot?
2.  Basisvoorwaarden integrale kostensystematiek
- 2.1 De toerekeningssystematiek en  -principes (verdeelsleutels en  -mechanismen van indirecte kosten;  normen voor percentages, etc.) worden in de hele organisatie stelselmatig toegepast.
- 2.2 Kosten worden op een bedrijfseconomische aanvaardbare en  stelselmatige wijze aan kostendragers toegerekend. Deze toerekening is transparant en controleerbaar.
- 2.3 Specifieke indirecte kosten van bepaalde activiteiten worden niet toegerekend aan andere activiteiten. Bijvoorbeeld: specifieke indirecte kosten van onderwijsactiviteiten
Klimaat en groene Groei
Ons kenmerk KGG /  101342902
Klimaat en groene Groei
Ons kenmerk KGG /  101342902
worden niet toegerekend aan onderzoeksactiviteiten en specifieke indirecte kosten van de marketingafdeling worden niet toegerekend aan R&amp;amp;O activiteiten.
- 2.4 Toerekenbare indirecte kosten worden evenredig omgeslagen over de activiteiten.
- 2.5 Directe kosten worden niet nogmaals meegenomen in de indirecte kosten.
- 2.6 In de systematiek zijn geen winstopslagen opgenomen 1
2.  7 In de systematiek zijn geen toeslagen voor risico's opgenomen.
1 Winstopslagen bij transacties binnen een  groep worden wel in aanmerking genomen, maar alleen voor zover het gebruikelijk is die winstopslagen ook bij soortgelijke transacties buiten de groep in rekening te brengen (art.  10, vijfde lid, van het Kaderbesluit nationale EZK- en  LNV-subsidies).
3.  Niet in de integrale kostensystematiek op te nemen kostencomponenten
- 3.1 Kosten van algemene research. 1
- 3.2 Kosten die al door de overheid of derden zijn of worden gefinancierd. Bijvoorbeeld afschrijvingskosten van reeds gefinancierde gebouwen, installaties en apparatuur.
- 3.3 Kosten die het gevolg zijn van buitensporige of roekeloze uitgaven. 2
- 3.4 Kosten die door crediteuren in  rekening  worden gebracht bij te laat betalen.
- 3.5 Kosten van incourante voorraden.
- 3.6 Kosten van vaste activa als gevolg van leegstand buiten de normale bezetting.
3.  7 Kosten van externe subsidie-adviseurs voor zover deze specifiek betrokken zijn bij de aanvraag van individuele projecten.
- 3.8 Voorzieningen en  reserveringen voor verliezen en schulden 3 .
- 3.9 Alle indirecte belastingen, waaronder BTW, voor zover die kunnen worden teruggevorderd of verrekend.
- 3.10 Bemiddelingskosten, transactiekosten en provisies bij het afsluiten van leningen.
- 3.11 Bemiddelingskosten, transactiekosten en  provisies bij het beleggen van geld.
- 3.12 Rentekosten, met uitzondering van rente voor gebouwen en technische installaties, mits toerekenbaar aan de subsidiabele activiteiten.
## 3.13 Rekenrente op met eigen vermogen gefinancierde activa 4
## 3.14 Wisselkoersverliezen.
1 Onder algemene research valt basisonderzoek, waaronder het eerste geldstroom onderzoek van universiteiten. De directe kosten van algemene research mogen niet zonder meer deel uitmaken van de integrale kostensytematiek. De indirecte kosten die aan algemene research zijn verbonden kunnen wel deel uitmaken van de systematiek, mits deze kosten evenredig worden omgeslagen over alle activiteiten.
2 Van buitensporige uitgaven is sprake als subsidie-ontvanger beduidend meer betaalt voor producten, diensten of personeel dan tegen de gangbare markttarieven, waardoor een vermijdbaar verlies wordt geleden of een vermijdbare hoge prijs wordt betaald. Roekeloze uitgaven betreft het onzorgvuldig omgaan met het selecteren van producten, diensten of personeel waardoor eveneens een vermijdbaar verlies wordt geleden of een vermijdbare hoge prijs wordt  betaald.
3 Deze uitsluiting betreft reserveringen en voorzieningen die niet rechtstreeks aan kosten voor normale bedijfsuitoefening verbonden zijn. Overlopende activa en passiva zijn dus niet uitgesloten.
4 Voor universiteiten geldt hier een  uitzondering, voor zover activa van universiteiten beslag  leggen op eigen vermogen en voor zover die activa toerekenbaar zijn aan de subsidiabele activiteiten. Als rekenrente moet dan de 10jaars rente van de Bank Nederlandse Gemeenten per primo van een betreffend jaar gehanteerd worden.
Klimaat en groene Groei
Ons kenmerk
KGG /  101342902</t>
  </si>
  <si>
    <t>qbuzz</t>
  </si>
  <si>
    <t>Qbuzz [51:56]</t>
  </si>
  <si>
    <t>&amp;gt; Retouradres: Postbus 10073, 8000 GB ZWOLLE Qbuzz &lt;!-- image --&gt; Datum 8 november 2024 Betreft Besluit aanvraag STOUR2024-03757428 Geachte Op 15 oktober 2024 heb ik uw aanvraag ontvangen voor STOUR2024-03757428 van de Subsidie emissieloze touringcars [...]</t>
  </si>
  <si>
    <t>Rijksoverheid__51_Verleningsbrief-Subsidie-emissieloze-touringcars-Qbuzz.txt::Besluitvormend Orgaan</t>
  </si>
  <si>
    <t>De Minister van Infrastructuur en Waterstaat [7482:7526]</t>
  </si>
  <si>
    <t>[...] ons op www.rvo.nl/contact. Of bel ons op: 088 042 42 42 (lokaal tarief). Uw aanvraag is bekend onder referentienummer STOUR2024-03757428. Gebruik dit nummer als u contact met ons heeft. Met vriendelijke groet, De Minister van Infrastructuur en Waterstaat, namens deze: &lt;!-- image --&gt; Dit bericht is automatisch gegenereerd en bevat daarom geen handtekening. Rijksdienst voor Ondernemend Nederland Onze referentie STOUR2024-03757428 Datum 8 november 2024 Bi [...]</t>
  </si>
  <si>
    <t>Rijksoverheid__51_Verleningsbrief-Subsidie-emissieloze-touringcars-Qbuzz.txt::Rechtshandeling</t>
  </si>
  <si>
    <t>verlenen [337:345]</t>
  </si>
  <si>
    <t>[...] Besluit aanvraag STOUR2024-03757428 Geachte Op 15 oktober 2024 heb ik uw aanvraag ontvangen voor STOUR2024-03757428 van de Subsidie emissieloze touringcars (STour). - ## Beslissing Ik heb besloten u subsidie te verlenen. Het totaal verleende subsidiebedrag bedraagt: Subsidiebedrag € 450.000 U krijgt 70% als voorschot uitbetaald. In bijlage 1 vindt u het betaalschema van het voorschot. ## Toegewezen subsidie voor touringcar [...]</t>
  </si>
  <si>
    <t>Rijksoverheid__51_Verleningsbrief-Subsidie-emissieloze-touringcars-Qbuzz.txt::Rechtsobject</t>
  </si>
  <si>
    <t>subsidie [325:334]</t>
  </si>
  <si>
    <t>subsidie [325:333]</t>
  </si>
  <si>
    <t>[...] Betreft Besluit aanvraag STOUR2024-03757428 Geachte Op 15 oktober 2024 heb ik uw aanvraag ontvangen voor STOUR2024-03757428 van de Subsidie emissieloze touringcars (STour). - ## Beslissing Ik heb besloten u subsidie te verlenen. Het totaal verleende subsidiebedrag bedraagt: Subsidiebedrag € 450.000 U krijgt 70% als voorschot uitbetaald. In bijlage 1 vindt u het betaalschema van het voorschot. ## Toegewezen subsidie voor [...]</t>
  </si>
  <si>
    <t>&amp;gt; Retouradres: Postbus 93144, 2509 AC Den Haag
AXELERA AI B.V.
High Tech Campus 5 5656 AE EINDHOVEN
5656AE5
Datum
11 juli 2025
Betreft
Besluit tot verlening subsidie voor het project 'RIGOLETTO'
Geachte
Met genoegen deel ik u mee dat op 5 december 2024 de Public Authorities Board positief heeft besloten over financiering van het project 'RIGOLETTO'. De Executive Director heeft vervolgens met het mandaat van de Public Authorities Board overeenstemming bereikt over de JU Grant Agreement.
Op grond van artikel 2, eerste lid onder b, van de Kaderwet EZK- en LNVsubsidies verleen ik subsidie voor de uitvoering van het Nederlandse aandeel in het project, zoals beschreven in de Annex 1 van de JU Grant Agreement. Deze annex maakt integraal onderdeel uit van deze beschikking. Het project wordt uitgevoerd in het kader van de Verordening (EU) 2021/2085 van de Raad van 19 november 2021 betreffende de oprichting van de "gemeenschappelijke ondernemingen onder Horizon Europe".
## Voor dit project geldt het volgende:
- -De subsidie is maximaal € 916.769.
- -De subsidiabele projectkosten voor de Nederlandse deelnemers zijn € 3.298.267. In bijlage 1 vindt u een overzicht van de projectkosten en een toelichting op eventuele correcties op de door u ingediende begroting.
- -Indien reeds door een bestuursorgaan of de Europese Commissie¹ subsidie is verstrekt voor de subsidiabele kosten of een deel daarvan, wordt slechts een zodanig bedrag aan subsidie verstrekt dat het totale bedrag aan subsidies niet meer bedraagt dan het bedrag dat kan worden verstrekt overeenkomstig de eligibility criteria.
- -Met betrekking tot de subsidiabele kosten zijn de artikelen 10 tot en met 14 van het Kaderbesluit nationale EZK- en LNV-subsidies, alsmede de artikelen 1.2, 1.4, 1.5 en 3.1.1 van de Regeling nationale EZK- en LNV-subsidies van overeenkomstige toepassing.
- -De projectkosten zijn subsidiabel vanaf 1 juli 2025, de startdatum van het project.
- -Het project moet uiterlijk op 30 juni 2028 zijn uitgevoerd. Kosten die na deze datum worden gemaakt, komen niet meer voor subsidie in aanmerking.
- -U voert de activiteiten waarvoor u subsidie hebt aangevraagd uit in samenwerking met Stichting IMEC Nederland. Dit betreft feitelijk een samenwerkingsverband; ik beschouw AXELERA AI B.V als penvoerder van dit
¹ Anders dan de bijdrage van de Europese Commissie die via de CHIPS Joint Undertaking aan het project is toegekend.
&lt;!-- image --&gt;
## Rijksdienst voor Ondernemend Nederland
Rijksdienst voor Ondernemend Nederland
Prinses Beatrixlaan 2 2595 AL Den Haag Postbus 93144 2509 AC Den Haag www.rvo.nl
Contactpersoon
Projectnaam RIGOLETTO
Referentienummer
CHIP251001
Ons kenmerk ECSEL250FZCQXU
Bijlage(n)
3.
- samenwerkingsverband voor deze subsidieaanvraag. AXELERA AI B.V en Stichting IMEC Nederland zijn aan te merken als subsidieontvangers.
- -Voorschotten worden verstrekt overeenkomstig artikel 45 van het Kaderbesluit nationale EZK- en LNV-subsidies, met dien verstande dat in totaal maximaal 90% van het verleende subsidiebedrag als voorschot kan worden verstrekt. Het voorschot wordt elk kwartaal automatisch verstrekt gedurende de looptijd van het project. De voorschotten zullen in termijnen aan de deelnemers worden betaald.
- -In bijlage 3 treft u een overzicht van de verschillende voorschotten en betaaldata aan. De voorschotten zullen binnen twee weken na de betreffende voorschotdatum verstrekt worden. De voorschotten zullen worden overgemaakt op de bankrekeningnummers zoals genoemd in deze bijlage.
- -Wellicht ten overvloede wijs ik u erop dat al uw ingehuurd personeel opgevoerd moet worden onder de post 'Aan derden verschuldigde kosten'. Voor ingehuurd personeel geldt het tarief dat u daadwerkelijk betaald heeft aan de partij waar u personeel bij inhuurt. Er mag geen opslag voor algemene kosten berekend worden voor ingehuurd personeel.
Op deze subsidieverlening zijn van toepassing de 'Verplichtingen van de subsidieontvanger', die zijn opgenomen in de bij deze brief behorende bijlage 2, alsmede de eligibility criteria. Met name wil ik uw aandacht vragen voor de meldingsplicht uit verplichting 2.
Voor de subsidievaststelling moet u na afloop van het project een verzoek indienen volgens verplichting 12 in de bijlage 2. Uw verzoek zal vervolgens binnen 13 weken na ontvangst worden afgehandeld.
De eligibility criteria, Kaderbesluit nationale EZK- en LNV-subsidies en Regeling nationale EZK- en LNV-subsidies zijn te vinden op de websites: https://www.rvo.nl/subsidies-financiering/chips-ju/afwijzingsgronden en Chips Joint Undertaking (Chips JU) | RVO.nl.
## Europeesrechtelijke aspecten:
De subsidie mag niet leiden tot het verlenen van ongeoorloofde staatssteun in de zin van artikel 107 van het Verdrag betreffende de werking van de Europese Unie. Hierbij geldt dat staatssteun in beginsel verboden is. Een steunmaatregel kan echter verenigbaar zijn met de interne markt, indien deze valt binnen de juridische kaders van de Europese Commissie of door haar is goedgekeurd.
Op basis van het projectplan zie ik geen aanleiding om tot het oordeel te komen dat de verlening van subsidie voor de activiteiten van het project die worden uitgevoerd door de Stichting IMEC Nederland en waarvan de subsidiabele kosten zijn opgenomen in Bijlage 1 (bij deze beschikking) leiden tot staatssteun, mits door deze onderzoeksorganisatie aan de volgende voorwaarden wordt voldaan:
·
paragraaf 1.3, onderdeel ff (elementen waardoor deze
onderzoeksorganisatie(s) een onderzoeksorganisatie zijn en blijven) en paragraaf 2.1.1 van de Kaderregeling betreffende staatssteun voor onderzoek, ontwikkeling en innovatie (PbEU C(2022) 7388) (hierna: Kaderregeling O&amp;amp;O&amp;amp;I) randnummers 19 tot en met 21 en randnummers 28 tot en met 30.
Op de subsidie bestemd voor de aan het project deelnemende bedrijven waarvan de subsidiabele kosten eveneens zijn opgenomen in de hiervoor genoemde Bijlage 1 is de Verordening (EU) nr. 651/2014 van de Commissie van 17 juni 2014 per deelnemende bedrijf van toepassing waarbij bepaalde categorieën steun op grond van de artikelen 107 en 108 van het Verdrag met de interne markt verenigbaar worden verklaard (de algemene groepsvrijstellingsverordening), PbEU 2014, L 187 (hierna: AGVV). Het betreft steun ten behoeve van industrieel onderzoek zoals bedoeld in artikel 25, tweede lid, onderdeel b, en experimentele ontwikkeling zoals bedoeld in artikel 25, tweede lid, onderdeel c, van de AGVV.
Artikel 25 van de algemene groepsvrijstellingsverordening verklaart steun voor onderzoeks- en ontwikkelingsprojecten verenigbaar met de interne markt en vrijgesteld van de voorgenoemde aanmeldingsverplichting uit artikel 108, derde lid , VWEU, mits wordt voldaan aan de voorwaarden van het desbetreffende artikel, alsmede aan de voorwaarden uit het hoofdstuk I van Verordening (EU) nr. 651/2014.
Ingevolge artikel 11 van de AGVV wordt deze beschikking (volledige tekst) op het internet bekend gemaakt en wordt deze beschikking aan de Europese Commissie kennisgegeven.
Binnen zes maanden na de datum van deze beschikking maak ik, om te voldoen aan de verplichting zoals opgenomen in artikel 9 van Verordening (EU) nr. 651/2014, de gegevens, bedoeld bijlage III van Verordening (EU) nr. 651/2014, bekend op een website van de Europese Commissie (https://webgate.ec.europa.eu/competition/transparency/public?lang=nl). De gegevens blijven voor ten minste tien jaar openbaar beschikbaar.
De hiervoor genoemde voorwaarden heb ik ook als verplichtingen toegevoegd aan deze beschikking.
Het subsidiebedrag zal ten hoogste het percentage van de subsidiabele kosten bedragen zoals per deelnemer aangegeven in de begroting (bijlage 1), met dien verstande dat, indien ter zake van de subsidiabele kosten of een deel daarvan reeds uit anderen hoofde vanwege een bestuursorgaan of de Europese Commissie een subsidie is verstrekt, slechts een zodanig bedrag aan subsidie aan de aan het project deelnemende bedrijven wordt verstrekt, dat het totale bedrag aan subsidies niet meer bedraagt dan de steunintensiteiten vermeld in artikel 25, leden 5 en 6 van de AGVV, van de totale in aanmerking komende kosten over de periode waarvoor subsidie is verleend. Hierbij wordt tevens artikel 8, tweede lid, van de AGVV in acht genomen.
Uw aanvraag is bij Rijksdienst voor Ondernemend Nederland bekend onder referentienummer CHIP251001. Ik verzoek u dit nummer te vermelden bij verdere correspondentie. Uw contactpersoon voor het project is .
Als u het niet eens bent met deze beslissing, kunt u binnen zes weken na verzending van deze brief schriftelijk een bezwaarschrift indienen. De datum bovenaan deze brief is de verzenddatum. U stuurt het ondertekende bezwaarschrift naar de Rijksdienst voor Ondernemend Nederland, afdeling Juridische Zaken, Postbus 40219, 8004 DE Zwolle.
Vermeld in uw bezwaarschrift in ieder geval onze referentie, het briefkenmerk en de datum van de beslissing waartegen u bezwaar maakt. U vindt onze referentie en het briefkenmerk in de rechter kantlijn van deze brief.
Ten slotte wens ik u veel succes met de uitvoering van het project.
De Minister van Economische Zaken, namens deze:
Procescoördinator Rijksdienst voor Ondernemend Nederland
## Bijlage 1: Begroting per deelnemer
## Projectnummer: CHIP251001
Op basis van de door u ingediende begroting en het bepaalde in artikel 4 van het Besluit zijn de subsidiabele kosten als volgt vastgesteld:
| Naam organisatie                                                   |     | AXELERA AI B.V. Onderzoek en ontwikkeling   | Stichting IMEC Nederland Onderzoek en ontwikkeling   | Totaal Onderzoek en ontwikkeling   |
|--------------------------------------------------------------------|-----|---------------------------------------------|------------------------------------------------------|------------------------------------|
| 1. Loonkosten                                                      |     |                                             |                                                      |                                    |
| Loonkosten direct personeel                                        | EUR | 1.196.026                                   | 1.187.228                                            | 2.383.254                          |
| Kosten van arbeid, anders dan loonkosten                           | EUR | 0                                           | 0                                                    | 0                                  |
| Totaal                                                             | EUR | 1.196.026                                   | 1.187.228                                            | 2.383.254                          |
| 2. Opslag voor algemene kosten: 50% van de onder 1 genoemde kosten | EUR | 598.013                                     | 0                                                    | 598.013                            |
| 3. Kosten van machines en apparatuur:                              |     |                                             |                                                      |                                    |
| Uitsluitend voor het project aangeschaft                           | EUR | 30.000                                      | 0                                                    | 30.000                             |
| Niet uitsluitend voor het project aangeschaft                      | EUR | 0                                           | 0                                                    | 0                                  |
| Totaal                                                             | EUR | 30.000                                      | 0                                                    | 30.000                             |
| 4. Kosten van verbruikte materialen en hulpmiddelen                | EUR | 0                                           | 250.000                                              | 250.000                            |
| 5. Aan derden verschuldigde kosten                                 | EUR | 20.000                                      | 17.000                                               | 37.000                             |
| Totale projectkosten                                               | EUR | 1.844.039                                   | 1.454.228                                            | 3.298.267                          |
| Subsidiepercentage                                                 |     | 30%                                         | 25%                                                  |                                    |
| Totaal toegekende subsidie                                         | EUR | 553.212                                     | 363.557                                              | 916.769                            |
Bovenstaande begroting wijkt niet af van de herziene begroting die door mevrouw E. Euan Diaz per mail is verzonden op 7 maart 2025 aan de heer V.Raghoebarsing (RVO).
## Bijlage 2: Verplichtingen van de subsidie ontvanger
1. U dient (uw deel van) het project volledig uit te voeren overeenkomstig Annex 1 van de JU Grant Agreement van het project en binnen de daarin voorziene tijdsduur. Wijzigingen van Annex 1 van de JU Grant Agreement en de begroting en daarmee van het project, dienen tot stand te komen in overleg met de Joint Undertaking en de Rijksdienst voor Ondernemend Nederland. De door de Joint Undertaking verleende toestemming geldt dan eveneens als mijn toestemming voor afwijking van deze beschikking. Aan de toestemming kunnen nadere voorschriften worden verbonden. Op de subsidieverlening zijn tevens de artikelen 38, 40 en 41 van het Kaderbesluit nationale EZK- en LNVsubsidies van overeenkomstige toepassing.
2. De subsidieontvanger meldt aan Rijksdienst voor Ondernemend Nederland indien de subsidiabele kosten in een kalenderjaar meer dan 25% afwijken van de begroting. Dit geldt in ieder geval voor:
- verschuivingen tussen kostenposten (zoals tussen loonkosten en materiaalkosten);
- verschuivingen tussen verschillende deelnemers.
3. U dient het onderzoeksproject in Nederland uit te voeren, tenzij ik voorafgaande schriftelijke toestemming heb gegeven voor gedeeltelijke uitvoering buiten Nederland.
4. Stichting IMEC Nederland dient - ingevolge van paragraaf 2.1.1 van de Kaderregeling O&amp;amp;O&amp;amp;I - in haar administratie een onderscheid te maken naar economische en niet-economische activiteiten, evenals naar de kosten, de financiering en de inkomsten van deze activiteiten. Economische en niet economische activiteiten en het gebruik van de onderzoekinfrastructuur voor economische en niet-economische activiteiten en de kosten en financiering en inkomsten ervan dienen duidelijk te worden onderscheiden. Een correcte toerekening van de kosten, financiering en inkomsten dient te worden aangetoond met een controleverklaring, die bij het verzoek om vaststelling van de subsidie moet worden meegezonden.
5. Stichting IMEC Nederland dient paragraaf 1.3 onder ff (elementen waardoor u een onderzoeksorganisatie bent in het kader van de Kaderregeling O&amp;amp;O&amp;amp;I) in acht te nemen. Deze staan vermeld in paragraaf 1.3 onder ff: 'organisatie voor onderzoek en kennisverspreiding' of 'onderzoeksorganisatie': een entiteit (zoals universiteiten of onderzoeksinstellingen, agentschappen voor technologieoverdracht, innovatie-intermediairs, entiteiten voor fysieke of virtuele onderzoeksgerichte samenwerking), ongeacht haar rechtsvorm (publiek- of privaatrechtelijke organisatie) of financieringswijze, die zich in
.
8. U doet mij onverwijld schriftelijk mededeling van de indiening bij de rechtbank van een verzoek tot het op u van toepassing verklaren van de schuldsaneringsregeling natuurlijke personen, tot verlening van surseance van betaling aan of tot faillietverklaring van één van de leden van het samenwerkingsverband.
9. U dient een administratie te voeren die zodanig is ingericht dat daaruit te allen tijde op eenvoudige en duidelijke wijze alle rechtstreeks aan het onderzoeksproject toe te rekenen kosten kunnen worden afgelezen. U dient een tijdverantwoording bij te houden van alle bij de onderzoeksprojecten betrokken personen.
10. U dient mij een maal per jaar, schriftelijk verslag uit te brengen over de voortgang van het project. In dit verslag dient duidelijk financieel inzicht te worden gegeven in de voortgang van het project in vergelijking met de
hoofdzaak bezighoudt met het onafhankelijk verrichten van fundamenteel onderzoek, industrieel onderzoek of experimentele ontwikkeling, of met het breed verspreiden van de resultaten van die activiteiten door middel van onderwijs, publicaties of kennisoverdracht. Wanneer dit soort entiteit ook economische activiteiten uitoefent, moet met betrekking tot de financiering van, de kosten van en de inkomsten uit die economische activiteiten een gescheiden boekhouding worden gevoerd. Ondernemingen die een beslissende invloed op dit soort entiteit kunnen uitoefenen in hun hoedanigheid van bijvoorbeeld aandeelhouder of lid van de organisatie, mogen geen preferente toegang tot de door deze entiteit verkregen onderzoeksresultaten genieten. U dient paragraaf 2.2.2 (voorwaarden die gelden bij de samenwerking tussen onderzoeksorganisaties en ondernemingen) in acht te nemen. Deze voorwaarden worden vermeld onder de randnummers 28 tot en met 30 van de Kaderregeling O&amp;amp;O&amp;amp;I.
6. U voert het project uit in overeenstemming met de verplichtingen, opgenomen in artikel 25 van de algemene groepsvrijstellingsverordening.
7. a.  U dient zorg te dragen voor een verantwoord gebruik van de uit het innovatieproject voortvloeiende resultaten, waaronder het intellectuele eigendom, dat is voortgevloeid uit het innovatieproject, evenals voor de exploitatie van deze resultaten overeenkomstig de subsidieaanvraag. Voorts dient u te zorgen voor de bescherming van octrooieerbare kennis.
- b.  Indien kennis en andere resultaten door één van de subsidieontvangers aan derden worden overgedragen, dan vindt dit plaats op basis van marktconforme voorwaarden.
- c.  U dient mij voorafgaand over een transactie in zin van het lid b. te informeren.
5. voorziene tijdsduur en kosten zoals opgenomen in Annex 1 van de JU Grant Agreement.
11. U bent verplicht, op verzoek van de Minister, inlichtingen te verschaffen omtrent de voortgang of resultaten van het project. Tevens bent u verplicht, op verzoek van de Minister, uw medewerking te verlenen aan een evaluatie van het beleid op grond waarvan deze subsidie is verstrekt.
12. Uiterlijk binnen 13 weken na de in de subsidieverlening genoemde einddatum dient u bij mij een schriftelijk verzoek om subsidievaststelling in. Een formulier wordt via de website ter beschikking gesteld. Dit verzoek dient vergezeld te gaan van:
- a. Een eindrapportage met de resultaten van het project voor de Nederlandse deelnemers;
- b. Een gespecificeerde opgave van alle rechtstreeks aan uw gedeelte van het project toe te rekenen werkelijk gemaakte en betaalde kosten, opgesteld conform de in bijlage 1 vermelde begroting;
- c. Een controleverklaring conform BIJLAGE 1.3, BEHORENDE BIJ ARTIKEL 1.5 VAN DE REGELING NATIONALE EZK- EN LNV-SUBSIDIES;
- d. Indien er gebruikt wordt gemaakt van integrale kosten systematiek, zoals bedoeld in artikel 12 van het Kaderbesluit nationale EZK- en LNVsubsidies, een rapport van feitelijke bevindingen conform BIJLAGE 1.1, BEHORENDE BIJ ARTIKEL 1.2, EERSTE LID, VAN DE REGELING NATIONALE EZK- EN LNV-SUBSIDIES.
Bijlage 3: Overzicht bevoorschotting
Naam AXELERA AI B.V. Stichting IMEC Nederland
Betaaldatum
15-7-2025 EUR 41.529 27.292
1-10-2025 EUR 41.487 27.264
1-1-2026 EUR 41.487 27.264
1-4-2026 EUR 41.487 27.264
1-7-2026 EUR 41.487 27.264
1-10-2026 EUR 41.487 27.264
1-1-2027 EUR 41.487 27.264
1-4-2027 EUR 41.487 27.264
1-7-2027 EUR 41.487 27.264
1-10-2027 EUR 41.487 27.264
1-1-2028 EUR 41.487 27.264
1-4-2028 EUR 41.491 27.269
Totaal per deelnemer
497.890
327.201
IBAN NL08ABNA0101770391 NL20INGB0669265322</t>
  </si>
  <si>
    <t>Rijksoverheid__60_Besluit-op-subsidieverzoek-over-project-Kosten-Baten-Analyse-Transitie-Melkveehouderij-(KBA-TMVH).txt::Besluitvormend Orgaan</t>
  </si>
  <si>
    <t>De Minister van Landbouw, Visserij, Voedselzekerheid en Natuur [22394:22456]</t>
  </si>
  <si>
    <t>&amp;gt; Retouradres Postbus 20401 2500 EK Den Haag
Datum
\_=,
r J �AART  -02 ., 5 .
Betreft
Ophoging Gesubsidieerde adviesdienst t.b.v.  pilot ondernemingsplansaanpak
## Besluit
Geachte
## 1. Aanvraag
Op  16 oktober  2024 ontving ik van de stichting Vallei  Horstee de aangepaste versie van het projectplan van 9 september 2024, kenmerk 2446,  waarin namens u tevens een subsidie is aangevraagd voor het opstellen van een ondernemingsplan in het kader van de pilot ondernemingsplanaanpak Gelderse Vallei. Op  20 december heeft de stichting Vallei  Horstee,  naar aanleiding van de beschikking  op  9 december 2024 met kenmerk  DG RTLG / 85856042, een verzoek tot  wijziging  van uw voucherbeschikking Ingediend.
Met deze hernieuwde beschikking wordt de beschikking van 9 december 2024 ingetrokken.
## 1.1 Toelichting
Uw aanvraag ziet toe op het volgende:  het ontvangen van een gesubsidieerde adviesdienst,  waarmee u als agrarisch ondernemer ondersteuning kunt krijgt van een adviseur bij het opstellen van een ondernemingsplan.  Het opstellen van dit ondernemingsplan vindt plaats ten behoeve van de toetsing door de gezamenlijke betrokken overheden, in het kader van de pilot ondernemingsplanaanpak in de Gelderse Vallei,
Voor verlening van de gesubsidieerde adviesdienst dienen vouchers verleend te worden aan de agrarisch ondernemers. Deze vouchers kunnen ingeleverd worden bij de Stichting Vallei Horstee,  zodat de geleverde adviesdienst vergoed kan worden.
U  bent  één van de agrarisch ondernemers die een  voucher ontvangt waarmee u aanspraak kunt maken bij de Stichting Vallei  Horstee op een gesubsidieerde adviesdienst.
&lt;!-- image --&gt;
Directoraat-generaal Regieorganisatie Transitie Landelijke Gebied
## Bezoekadres
Bezuldenhoutseweg 73 2594 AC Den Ha  g
Postadres Postbus 2040 l 2500 EK Den Haag
## Overheldsldentlflcatlenr
00000001003214369000
T  070 379 8911 (algemeen) F  070 378 6011  (algemeen) www.rijksoverheid.nl/lvvn
Behandeld door
Ons kenmerk DGRTLG / 899414 38
I'
&lt;!-- image --&gt;
## 1.2 Omschrijving van uw activiteiten in het kader van de pilot
Als agrarisch ondernemer bent u betrokken bij de pilot ondernemingsplaanpak in de Gelderse Vallei.  Kern van deze pilot is dat u een ondernemingsplan opstelt, om deze vervolgens te laten toetsen bij de gezamenliJke betrokken overheden.
De pilot bestaat in uit een aantal verschillende activiteiten, te weten 'subsidiabele activiteit' en de 'overige activiteiten' in het kader  van deze pilot.  Als 'subsldia�ele activiteit' stelt u een ondernemingsplan op met ondersteuning en advies van een gesubsidieerde adviesdienst.  De overige activiteiten bestaan onder andere uit de gezamenlijke toetsing van dit ondernemingsplan door de betrokken overheden, die deze beoordelen in het kader van toekomstperspectief van uw onderneming.
Deze beschikking die u van ons ontvangt is een voucher waarmee u aanspraak kunt maken op een gesubsidieerde adviesdienst bij de Stichting Vallei  Horstee. Middels deze voucher worden de kosten vergoed van het gebruik van de adviesdiensten ten behoeve van het opstellen van het ondernemingsplan,  Dit staat nader omschreven In 2.1.
## 1,3  Europeesrechtelijke aspecten
Op grond van artikel  7 van de Kaderwet EZK- en  LNV-subsidies verleen ik geen subsidie als dit naar mijn oordeel leidt tot het verlenen van ongeoorloofde staatssteun in de zin van artikel 107 van het Verdrag betreffende de werking van de Europese Unie (hierna: VWEU).
Op basis van uw aanvraag kom ik tot het oordeel dat de subsidie voor de individuele  adviesdiensten  verstrekt kan worden op grond van verordening  (EU) nr.  2472/2022 van de  Commissie van  14 december 2022 waarbij  bepaalde categorieën steun in de landbouw- en de bosbouwsector en In plattelandsgebieden op grond van de artikelen 107 en 108 van het Verdrag betreffende de werking van de Europese Unie met de interne markt verenigbaar worden verklaard (PbEU 2022,  L 327), met name artikel 22.
Dit artikel verklaart steun voor adviesdiensten verenigbaar met de interne markt en is vrijgesteld van de voorgenoemde aanmeldingsverplichting uit artikel  108, derde lid , VWEU, mits het advies verband houdt met ten minste één specifieke doelstelling van artikel 6 van Verordening (EU) 2021/2115 en betrekking heeft op ten minste één van de elementen a. t/m i.  uit lid 3 van het desbetreffende artikel, alsmede aan de voorwaarden uit het hoofdstuk I van Verordening  (EU) nr. 2472/2022.
Ik heb geconstateerd dat geen onderneming in moeilijkheden is zoals bedoeld In artikel 2, onder punt 59, van Verordening (EU) nr. 2472/2022.  Ik heb verder geconstateerd dat er tegen u geen bevel tot terugvordering uitstaat als bedoeld in artikel 1, vierde lid, onderdeel a,  van Verordening (EU) nr.  2472/2022. Voorts heb ik vastgesteld dat met de uitvoering van dit projectplan niet is begonnen dan na de aanvraag van 16 oktober 2024.  Er gaat derhalve - onder meer om deze reden · een stimulerend effect uit van deze subsidieverlening aan
Directoraat-generaal Regieorganisatie Transitie Landelijke Gebied
DG�TLG / 89941438
r  · .
&lt;!-- image --&gt;
Beknopte informatie over deze subsidieverlening is op grond van artikel 9,  eerste lid,  van Verordening  (EU) nr.  2472/2022 gemeld aan de Europese Commissie.  De volledige tekst van de onderhavige beschikking wordt gepubliceerd op de staatssteunwebsite op het internet.
Artikel 9,  eerste lid,  van verordening (EU)  nr.  2472/2022, bevat de verplichting aan de lidstaten om de steun boven de transparantiedrempel en de in dit artikel genoemde gegevens te publiceren in de State Aid Transparancy Award Module.
## 1.4 Bewaartermijn boekhouding
Ik wijs u erop dat de Europese Commissie nog gedurende tien jaar na de verstrekking van deze subsidie, deze achteraf kan controleren.  Ik raad u aan de relevante documenten met betrekking tot deze subsidie gedurende deze periode te bewaren.
## 2,  Besluit
Stichting Vallei Horstee heeft u geïnformeerd dat u bij het ministerie van Landbouw, VisserlJ, Voedselzekerheid en Natuur een voucher kunt aanvragen, waarmee u een gesubsidieerde adviesdienst kunt ontvangen.  Ik heb het besluit genomen om u middels deze beschikking een subsid1evoucher te verstrekken ten behoeve van het opstellen van een ondernemingsplan, om dit ondernemingsplan vervolgens te laten toetsen bij gezamenlijke betrokken overheden in het kader van de pilot ondernemingsplanaanpak in de Gelderse Vallei.  Middels deze voucher kunt u de kosten als genoemd onder 2.3 vergoed krijgen, overeenkomstig hetgeen in 2.2 is opgenomen.
## 2.1  Periode
De activiteiten dienen te worden uitgevoerd in de periode van  1 november 2024 tot  1 juli 2025.
## 2.2 Gegevens betreffende uw voucher
U kunt deze voucher inwisselen biJ de Stichting Vallei Horstee.  Hiermee kunt u 100% van de advieskosten die worden gemaakt in het kader van het opstellen van het ondernemingsplan vergoed krijgen, indien u als individuele deelnemer een ondernerningsplaf1  opstelt.
U ontvangt een voucher waarmee u aanspraak kunt maken tot een maximum van C  17.500,- aan gesubsidieerde adviesdiensten.
Dit doet u middels een bewijsstuk en deze voucher te overleggen aan de Stichting Vallei  Horstee,  waarmee u de daadwerkelijk gemaakte kosten in het kader van bovenstaande overlegt. ..
De kosten die via deze voucher worden vergoed, worden door de Stichting Vallei Horstee direct aan de aanbieder van de adviesdiensten uitbetaald,  zodra de adviesdienst aan u is geleverd.
Oirectoraat·generaal Regieorganisatie Transitie Landelijke Gebied
DGRTLG / 89941438
,.
1
1
## 2.3 Subsidiabele kosten:
De volgende, rechtstreeks aan de activiteiten toe te rekenen kosten, daadwerkelijk gemaakt en die betaald zijn vóór  1  oktober 2025 worden door mij subsidiabel geacht:
- aan derden verschuldigde kosten die direct voor de subsidiabele activiteiten worden gemaakt,  waaronder ook door uitbesteding van een deel van de subsidiabele activiteit en kosten van voor de subsidiabele activiteit geleverde goederen en diensten.
## 2.4 Verplichtingen
Aan de subsidie zijn de volgende verplichtingen verbonden:
1. U  dient de activiteiten volledig uit te voeren overeenkomstig het bij de aanvraag ingediende plan en binnen de daarin voorziene tijdsduur.
2. U  dient mij onverwijld een schriftelijke melding te doen zodra aannemelijk Is dat de activiteiten waarvoor de subsidie is verleend niet, niet tijdig of niet  geheel  zuilen  worden verricht of dat  niet,  niet  geheel  of niet  tijdig  aan de aan de subsidie verbonden verplichtingen zal  worden voldaan.
3. U  dient de Stichting Vallei Horstee schrifteliJk verslag uit te brengen over de voortgang van het opstellen van het ondernemingsplan.  In dit verslag dient duidelijk inzicht te worden gegeven in de voortgang van uw activiteiten.  Het eerste verslag brengt u uit  2 weken nadat u met de adviesdienst bent begonnen aan het opstellen van uw ondernemingsplan; het tweede verslag brengt u uit zodra de totstandkoming van het ondernemingsplan is afgerond.
4. U  deelt na de totstandkoming van uw ondernemingsplan dit ondernemingsplan met de samenwerkende overheden.
5. De inrichting van uw administratie dient zodanig te zijn dat daaruit te allen tijden op eenvoudige en duidelijke wijze de rechtstreeks aan het project te rekenen kosten kunnen worden afgelezen. Ter zake van de loonkosten dient door middel van een urenadministratie vastgestelde urenverantwoording aanwezig te zijn.
6. 6, Op mijn verzoek dient u inlichtingen te verschaffen omtrent de voortgang of resultaten van het project.  U  bent verplicht om op mijn verzoek medewerking te verlenen aan een evaluatie van het beleid op grond waarvan deze subsidie is verstrekt.  Deze verplichtingen gelden tot vijf jaar na de datum van de beschikking tot subsidievaststelling.
7. U  doet mij onverwijld schriftelijke mededeling van de indiening bij  de rechtbank van een verzoek tot het op u van toepassing verklaren van de schuldsaneringsregeling  natuurlijke personen,  tot verlening van surseance van betaling aan u of tot faillietverklaring van u.
&lt;!-- image --&gt;
Directoraat-generaal Regieorganisatie Transitie Landelijke Gebied
OGRTLG, B9941438
## 3. Correspondentie 3.Correspondentie
Alle correspondentie met betrekking tot deze subsidie dient u, met vermelding van bovenstaand verplichtingnummer, te zenden naar:
Ministerie van Landbouw, Visserij, Voedselzekerheid en Natuur Regieorganisatie Transltie Landelijk Gebied
Postbus  20401
2500 EK Den Haag
De Minister van Landbouw, Visserij, Voedselzekerheid en Natuur, namens deze:
Directeur Netwerkfaciliteit  RTLG
Als u het niet eens bent met deze beslissing kunt u  binnen zes weken na verzending van deze brief een bezwaarschrift indienen.  Stuur het ondertekende bezwaarschrift met een kopie van deze beslissing naar Rijksdienst voor Ondernemend Nederland,  afdeling Juridische Zaken,  Postbus 40219, 8004 DE, Zwolle.  Op  onze internetsite hl  )5,//rliin.rvo n!Lb�· aëJ.r vindt u meer belangrijke informatie over het indienen van een bezwaarschrift.  Dit besluit Is verzonden op de In de aanhef van deze brief vermelde datum.
&lt;!-- image --&gt;
Directoraat-generaal Regieorganisatie Transitie L.andetljke Gebied
OGRTLG / 899d 1438</t>
  </si>
  <si>
    <t>[...] e dient u, met vermelding van verplichtingnummer :e zenden naar: Ministerie van Landbouw, Visserij, Voedselzekerheid en Natuur Directie Strategie, Kennis en Innovatie t.a.v. Postbus 20401 2500 EK Den Haag De Minister van Landbouw, Visserij, Voedselzekerheid en Natuur, namens deze: Ino B. Ostendói -f, Waarnemend directeur Strategie, Kennis en Innovatie. Als u het niet eens bent met deze beslissing kunt u binnen zes weken na verzending van deze brief een bezwaarschrift indien [...]</t>
  </si>
  <si>
    <t>Rijksoverheid__60_Besluit-op-subsidieverzoek-over-project-Kosten-Baten-Analyse-Transitie-Melkveehouderij-(KBA-TMVH).txt::Rechtshandeling</t>
  </si>
  <si>
    <t>verleen [6618:6626]</t>
  </si>
  <si>
    <t>verleen [6618:6625]</t>
  </si>
  <si>
    <t>[...] relevante documenten met betrekking tot deze subsidie gedurende deze periode te bewaren. ## 2. Besluit In het kader van mijn beleid gericht op het oplossen van duurzaamheidsopgaven van de primaire landbouwsector, verleen ik Stichting Wij.land en De Natuurverdubbelaars hierbij, op grond van artikel 2a, eerste lid, onderdeel c (landbouw), van de Kaderwet EZK- en LNV-subsidies, subsidie voor de uitvoering van de activiteiten van het project [...]</t>
  </si>
  <si>
    <t>Rijksoverheid__60_Besluit-op-subsidieverzoek-over-project-Kosten-Baten-Analyse-Transitie-Melkveehouderij-(KBA-TMVH).txt::Rechtsobject</t>
  </si>
  <si>
    <t>subsidie [6783:6792]</t>
  </si>
  <si>
    <t>subsidie [6783:6791]</t>
  </si>
  <si>
    <t>[...] n duurzaamheidsopgaven van de primaire landbouwsector, verleen ik Stichting Wij.land en De Natuurverdubbelaars hierbij, op grond van artikel 2a, eerste lid, onderdeel c (landbouw), van de Kaderwet EZK- en LNV-subsidies, subsidie voor de uitvoering van de activiteiten van het project "Kosten en baten van transitie in de melkveehouderij", waarvoor u subsidie hebt aangevraagd. ## 2.1 Periode De activiteiten dienen te worden uitgevoerd in de p [...]</t>
  </si>
  <si>
    <t>Rijksoverheid__65_Besluit-op-subsidieverzoek-over-project-ShapeFuture.txt::Ontvanger</t>
  </si>
  <si>
    <t>Rijksoverheid__65_Besluit-op-subsidieverzoek-over-project-ShapeFuture.txt</t>
  </si>
  <si>
    <t>Anywi Technology B.V.</t>
  </si>
  <si>
    <t>anywi technology b.v</t>
  </si>
  <si>
    <t>Anywi Technology B.V. [54:75]</t>
  </si>
  <si>
    <t>&amp;gt; Retouradres: Postbus 93144, 2509 AC Den Haag Anywi Technology B.V. T.a.v. 3e Binnenvestgracht 23h 2312 NR LEIDEN ## 2312NR23 Datum 30 juli 2024 Betreft Besluit tot verlening subsidie voor het project 'ShapeFuture' Geachte Met genoegen deel ik u mee dat op 21 [...]</t>
  </si>
  <si>
    <t>Rijksoverheid__65_Besluit-op-subsidieverzoek-over-project-ShapeFuture.txt::Besluitvormend Orgaan</t>
  </si>
  <si>
    <t>De Minister van Economische Zaken [9047:9080]</t>
  </si>
  <si>
    <t>&amp;gt; Retouradres Postbus 20901 2500 EX  Den Haag
Stichting Nederland Maritiem Land T.a.v. Boompjes 40 3011 XB ROTTERDAM -
Datum
20 december 2024 Subsidiewijziging inzake Programmabureau Maritiem Masterplan 2024-2025 - onderdeel Human Capital
Betreft
Geachte
,
Bij brief van 25 april, met kenmerk IENW/BSK-2024/134670, heb ik aan u een subsidie verleend van maximaal € 840.000,- voor activiteiten inzake de uitvoering van het programmabureau Maritiem Masterplan 2024. In mijn administratie is uw aanvraag bekend onder nummer 5000006799 en zaaknummer 31198981.
Met uw brief van 9 oktober 2024, met kenmerk 2024NML18b, hebt u mij verzocht om wijziging van de subsidie. Met deze brief beslis ik op uw verzoek.
U vraagt om een uitbreiding van de activiteiten van het programmabureau en daarmee de hoogte van het verleende subsidiebedrag te verhogen met € 234.000,-. De uitbreiding van de activiteiten betreffen de uitvoering van de programmalijn Human Capital, als onderdeel van het Maritiem Masterplan. Daarnaast vraagt u om de termijn voor het uitvoeren van de activiteiten waarvoor subsidie is verleend, te verlengen.
## Besluit
Ik ga akkoord met uw verzoek. Hiermee wijzig ik de volgende punten van mijn beschikking:
De herziende verleende subsidie bedraagt maximaal € 1.074.000,- (€ 840.000,plus € 234.000,-). Dit bedrag is inclusief alle eventuele voor uw rekening blijvende belastingen, waaronder de BTW.
De aanvullende subsidie is bestemd voor de activiteiten, zoals vermeld in het 'Plan uitvoering Opbouwfase van de programmalijn Human Capital van het Maritiem Masterplan' van 9 oktober 2024. Het gaat om de volgende activiteiten:
1. Ontwikkeling van de learning community, met nadruk op de samenwerking met het onderwijs en het ontwerpen van een trainee programma:
- a. Opstellen van structuur en kaders voor het (door)ontwikkelen van de fieldlabs;
&lt;!-- image --&gt;
DG Luchtvaart en Maritieme Zaken Dir.Maritieme Zaken
Afd. Duurzame Scheepvaart
Rijnstraat 8 Den Haag Postbus 20904 2500 EX  Den Haag
Contactpersoon
-
Ons kenmerk IENW/BSK-2024/361333
Uw kenmerk 2024NML18b
---
- b. Opstellen van profielen voor lectoren, practoren en ondersteunend onderwijspersoneel;
- c. Ontwikkelen van een ontwerp voor het young professional programma.
2. Inrichten van het proces om samen met het onderwijs tot een inhoudelijke vertaling te komen van benodigde kennis en vaardigheden:
- a. Verkenning van benodigde kennis en vaardigheden, bv. uitgesplitst naar opleidingstype en niveau;
- b. Verzamelen van huidige eindtermen (BOKS, STCW, Beroepskwalificaties, kwalificatiedossiers, domeinprofielen, etc,.);
- c. Verschillen vaststellen tussen deze als basis voor de ontwikkeling van modules en vastleggen als outline van het curriculum.
3. Onderzoek naar inclusiviteit bij organisaties in de maritieme sector:
- a. Identificeren, committeren en begeleiden van organisaties in de maritieme sector om deel te nemen aan het onderzoek;
- b. Ontwikkelen van een onderzoeksprotocol, generiek en passend op de specifieke behoefte van organisaties (bv zeevarend vs walpersoneel);
- c. Analyseren, rapporteren van de verzamelde data en disseminatie van de resultaten (brede kennisdeling).
## Beoordeling aanvraag
## Staatssteun
De beoordeling van uw aanvraag heeft plaatsgevonden aan de hand van de kaders van titel 4.2 (Subsidierecht) van de Awb, en het staatssteunrecht. Het verstrekken van subsidie mag niet leiden tot het verlenen van ongeoorloofde staatssteun in de zin van artikel 107 van het Verdrag betreffende de werking van de Europese Unie (hierna: VWEU). Hierbij geldt dat staatssteun in beginsel verboden is. Een steunmaatregel kan echter verenigbaar zijn met de interne markt, als deze valt binnen de juridische kaders van de Europese Commissie of door haar is goedgekeurd. Op deze subsidie is deels de Verordening (EU) Nr. 651/2014 (de algemene groepsvrijstellingsverordening) van toepassing waarbij bepaalde categorieën steun met de interne markt verenigbaar worden verklaard. Ook is voor een deel van de steun de Verordening (EU) 2023/2831 (de deminimisverordening) van toepassing.
Ik heb geconstateerd dat NML geen onderneming in moeilijkheden is zoals bedoeld in artikel 1, vierde lid, sub c, van de algemene groepsvrijstellingsverordening. Ik heb verder geconstateerd dat er tegen NML geen bevel tot terugvordering uitstaat als bedoeld in artikel 1, vierde lid, sub a en sub b, van de algemene groepsvrijstellingsverordening.
Op basis van artikel 9 van de algemene groepsvrijstellingverordening wordt deze steunmaatregel uiterlijk twintig dagen na de steunverlening kennisgegeven bij de Europese Commissie. De volledige tekst van de onderhavige beschikking wordt online gepubliceerd.
Bij de subsidieverstrekking worden de cumulatiebepalingen uit artikel 8 van de algemene groepsvrijstellingsverordening in acht genomen. Dit houdt in dat alle voor het project verleende staatssteun bij elkaar opgeteld dient te worden, om zo het totale steunbedrag te bepalen. Hierdoor kan nagegaan worden of voldaan is aan de maximale steunintensiteiten en -bedragen.
## DG Luchtvaart en Maritieme Zaken
Dir.Maritieme Zaken Afd. Duurzame Scheepvaart
## Datum
20 december 2024
## Ons kenmerk
IENW/BSK-2024/361333
## Activiteit 1: Ontwikkeling van de learning community, met nadruk op de samenwerking met het onderwijs en het ontwerpen van een trainee programma.
Voor zover deze eerste activiteit (onderdeel a en b) ziet op het opbouwen van een learning community, is deze learning community in beginsel bedoeld voor het openbaar onderwijs. Het onder (b) gestelde is bedoeld om de juiste begeleiders te vinden om deze fieldlabs te kunnen begeleiden. Hetgeen opgesteld/ontwikkeld wordt voor het (openbaar) onderwijs bevat in principe geen staatssteun.
Voor onderdelen a en b van de eerste activiteit gelden de volgende voorwaarden:
- -deze subsidie is alleen bedoeld om fieldlabs te ontwikkelen voor het (openbaar) onderwijs; en
- -de fieldlabs (en al het materiaal rondom de fieldlabs) worden op een voor een ieder toegankelijke website of en soortgelijk openlijk toegankelijk medium geplaatst.
Voor zover deze eerste activiteit ziet op het 'ontwikkelen van een ontwerp voor het 'young professional programma' (onderdeel c) is er wel sprake van staatssteun. Het ontwikkelen van dit young professional programma (traineeship) is onlosmakelijk verbonden met het uiteindelijke uitvoeren van dit traineeship. De ondernemingen die dit programma uiteindelijk gaan gebruiken hebben dus een voordeel bij de ontwikkeling van dit programma. Zulk soort ontwikkeling valt als kostenpost voor adviesdiensten onder artikel 31 van de algemene groepsvrijstellingsverordening. Hierdoor krijgt u voor dit onderdeel maximaal vijftig procent subsidie.
## Activiteit 2: Inrichten van het proces om samen met het onderwijs tot een inhoudelijke vertaling te komen van benodigde kennis en vaardigheden:
Hetgeen opgesteld wordt voor het onderwijs bevat in principe geen staatssteun. Om dit zo te houden, moet u aan de volgende voorwaarden voldoen:
- -deze subsidie is alleen bedoeld om kennis en vaardigheden te ontwikkelen voor het (openbaar) onderwijs; en
- -de modules op een voor een ieder toegankelijke website of en soortgelijk openlijk toegankelijk medium geplaatst.
Activiteit 3: Onderzoek naar inclusiviteit bij organisaties in de maritieme sector: Op basis van activiteit 3, kom ik tot het oordeel dat de subsidie verleend kan worden op grond van Verordening (EU) 2023/2831 van de Commissie van 13 december 2023 betreffende de toepassing van de artikelen 107 en 108 van het Verdrag betreffende de werking van de Europese Unie op de-minimissteun (PB L 2023/2831 van 15.12.2023) (De-minimisverordening). Op grond van de Deminimisverordening is het mogelijk om aan één onderneming over een periode van drie jaar, tot €300.000,- de-minimissteun te verstrekken. De-minimissteun is niet aan de aanmeldingsverplichting van artikel 108, derde lid, van het VWEU onderworpen, als de steun voldoet aan de voorwaarden die in de Deminimisverordening zijn vastgesteld. De vereiste de-minimisverklaring heeft u aan mij overgelegd.
Uit de door u overgelegde de-minimisverklaring van 3 oktober 2024 blijkt dat u in de 36 maanden voorafgaand aan de datum van ondertekening van de verklaring € 52.000,- de-minimissteun heeft ontvangen. Uit deze verklaring concludeer ik dat er nog ruimte is om de-minimissteun te ontvangen.
DG Luchtvaart en Maritieme Zaken Dir.Maritieme Zaken Afd. Duurzame Scheepvaart
## Datum
20 december 2024
Ons kenmerk
IENW/BSK-2024/361333
## Bewaartermijn boekhouding
Ik wijs u erop dat de Europese Commissie nog gedurende tien jaar na de verstrekking van deze subsidie, deze achteraf kan controleren. Ik raad u aan de relevante documenten met betrekking tot deze subsidie gedurende deze periode te bewaren.
## Wijziging Looptijd
De activiteiten waarvoor subsidie wordt verleend, moeten uiterlijk zijn verricht op 30 september 2025. Dit betekent dat u de verantwoording van de subsidie binnen 13 weken na de nieuwe einddatum moet toezenden aan:
Ministerie van Infrastructuur en Waterstaat t.a.v. FIB/UDAC-F&amp;amp;I/team Subsidies Postbus 20906 2500 EX Den Haag Of per e-mail aan: postbusIBIsubsidies@minienw.nl.
Dit betekent dat de aanvraag tot vaststelling, het eindrapport en financieel verslag uiterlijk op 30 december 2025 moeten zijn ingediend.
## Motivering bij het besluit
De voorwaarden en verplichtingen in mijn beschikking blijven onverkort van kracht, met uitzondering van de onderdelen die ik met deze beschikking expliciet wijzig.
Voor de grondslag van deze beschikking en de toepasselijke regelgeving verwijs ik naar mijn beschikking van 25 april, met kenmerk IENW/BSK-2024/134670.
## Waar moet u aan voldoen?
U moet voldoen aan de verplichtingen in de wet- en regelgeving die van toepassing zijn op de subsidie en aan al hetgeen in deze beschikking is opgenomen. U bent zelf verantwoordelijk voor de naleving hiervan en de eventuele gevolgen bij niet-naleving.
## Wet- en regelgeving
De volgende regelgeving is in ieder geval van toepassing op de subsidie:
- Algemene wet bestuursrecht, in het bijzonder titel 4.2 (Subsidies);
- Aanbestedingsregelgeving;
- Staatssteunregelgeving, artikelen 107 t/m 109 van het Verdrag betreffende de werking van de Europese Unie en de bijbehorende verordeningen, de Verordening (EU) Nr. 651/2014 (de algemene groepsvrijstellingsverordening) en de Verordening (EU) 2023/2831 (De-minimisverordening).
De wet- en regelgeving kunt u raadplegen via www.wetten.overheid.nl.
DG Luchtvaart en Maritieme Zaken
Dir.Maritieme Zaken Afd. Duurzame Scheepvaart
## Datum
20 december 2024
Ons kenmerk
IENW/BSK-2024/361333
## Wanneer ontvangt u de subsidie?
U ontvangt een voorschot van 100 procent van het subsidiebedrag zijnde € 1.074.000,-. U hebt al een bedrag van € 840.000,- als voorschot ontvangen. Het verschil tussen het nieuwe voorschot en het ontvangen voorschot bedraagt € 234.000,-.
U ontvangt na verzending van dit besluit een bedrag van € 234.000,-. Het voorschot wordt aan u overgemaakt op onder vermelding van 5000006799.
## Heeft u vragen?
Voor vragen over deze beschikking kunt u contact opnemen met uw contactpersoon: .
Ik wens u veel succes met de uitvoering van de activiteiten.
Hoogachtend,
DE MINISTER VAN INFRASTRUCTUUR EN WATERSTAAT, namens deze, DE PLV. DIRECTEUR-GENERAAL LUCHTVAART EN MARITIEME ZAKEN,
&lt;!-- image --&gt;
mevr. mr. B.C.M. Gijsbers
Voor nadere informatie over dit besluit kunt u terecht bij de hierboven genoemde contactpersoon. Op grond van de Algemene wet bestuursrecht kunnen belanghebbenden een bezwaarschrift indienen tegen dit besluit binnen zes weken na de dag waarop dit is bekendgemaakt. Het bezwaarschrift moet worden gericht aan de Minister van Infrastructuur en Waterstaat, ter attentie van Hoofddirectie Bestuurlijke en Juridische Zaken, afdeling Algemeen Bestuurlijk-Juridische Zaken, postbus 20901, 2500 EX Den Haag. Het bezwaarschrift dient te zijn ondertekend en ten minste te bevatten:
- a. naam en adres van de indiener;
- b. de dagtekening;
- c. een omschrijving van het besluit waartegen het bezwaarschrift zich richt (datum en nummer of kenmerk);
- d. een opgave van de redenen waarom men zich met het besluit niet kan verenigen;
- e. zo mogelijk een afschrift van het besluit waartegen het bezwaarschrift zich richt.
Het niet voldoen aan deze eisen kan leiden tot niet-ontvankelijkheid van het bezwaarschrift. Een bezwaarschrift kan uitsluitend per gewone post en niet per e-mail worden ingediend. Machtigt u iemand om namens u bezwaar te maken? Stuur dan ook een kopie van de machtiging mee. Bij indiening van een bezwaarschrift namens een rechtspersoon, dient u documenten mee te sturen (origineel uittreksel uit het handelsregister en/of een kopie van de statuten van de rechtspersoon) waaruit blijkt dat u bevoegd bent namens de rechtspersoon op te treden.
DG Luchtvaart en Maritieme Zaken Dir.Maritieme Zaken Afd. Duurzame Scheepvaart
## Datum
20 december 2024
Ons kenmerk
IENW/BSK-2024/361333</t>
  </si>
  <si>
    <t>[...] nmerk en de datum van de beslissing waartegen u bezwaar maakt. U vindt onze referentie en het briefkenmerk in de rechter kantlijn van deze brief. Ten slotte wens ik u veel succes met de uitvoering van het project. De Minister van Economische Zaken, namens deze: Barry Velders Afdelingsmanager Project en Organisatie Financiering ## Bijlage 1: Begroting per deelnemer ## Projectnummer: KDT242005 Op basis van de door u ingediende begroting en het bepaalde [...]</t>
  </si>
  <si>
    <t>Rijksoverheid__65_Besluit-op-subsidieverzoek-over-project-ShapeFuture.txt::Rechtshandeling</t>
  </si>
  <si>
    <t>verleen [633:641]</t>
  </si>
  <si>
    <t>verleen [633:640]</t>
  </si>
  <si>
    <t>Rijksoverheid__65_Besluit-op-subsidieverzoek-over-project-ShapeFuture.txt::Rechtsobject</t>
  </si>
  <si>
    <t>subsidie [644:653]</t>
  </si>
  <si>
    <t>subsidie [644:652]</t>
  </si>
  <si>
    <t>&amp;gt; Retouradres: Postbus 10073, 8000 GB ZWOLLE
Autobusbedrijf Doornbos B.V.
&lt;!-- image --&gt;
Datum
8 november 2024
Betreft
Besluit aanvraag STOUR2024-03757698
Geachte
Op 15 oktober 2024 heb ik uw aanvraag ontvangen voor STOUR2024-03757698 van de Subsidie emissieloze touringcars (STour).
## Beslissing
Ik heb besloten u subsidie te verlenen. Het totaal verleende subsidiebedrag bedraagt:
Subsidiebedrag
€ 124.800
U krijgt 70% als voorschot uitbetaald. In bijlage 1 vindt u het betaalschema van het voorschot.
## Toegewezen subsidie voor touringcar
Hieronder vindt u de gegevens omtrent de touringcar en aangevraagde subsidie:
touringcar 1
Meerkosten:
€ 208.000,00
Subsidiepercentage:
60,00 %
Toegekende subsidie:
€ 124.800
-
-
-
-
## Belangrijke aandachtspunten
U heeft recht op het subsidiebedrag als uw vaststellingsverzoek aan de voorwaarden uit deze regeling voldoet. Voordat volledige uitbetaling van de subsidie plaatsvindt, wordt er getoetst op o.a. de voertuigcategorie en de data die in het kentekenregister (RDW) zijn opgenomen. Houdt u er rekening mee dat RVO dit bij de vaststelling altijd controleert. De subsidieverlening is de eerste stap in uw aanvraag. Nu u beschikt over de subsidieverlening, zijn de
&lt;!-- image --&gt;
## Rijksdienst voor Ondernemend Nederland
Hanzelaan 310 8017 JK ZWOLLE Postbus 10073 8000 GB ZWOLLE www.rvo.nl
## Contactpersoon
klantcontact@rvo.nl T 088 042 42 42
Onze referentie
STOUR2024-03757698
volgende stappen van belang:
1. Tenaamstelling touringcar in kentekenregister
Als u de touringcar waarvoor subsidie is verleend geleverd krijgt, moet u deze op naam of middels een verstrekkingsvoorbehoud op naam van de subsidieontvanger registreren in het kentekenregister (RDW). Zorg ervoor dat de touringcar op naam komt van de organisatie of natuurlijke persoon behorende bij het opgegeven KVK-nummer of BSN-nummer.
## 2. Indienen vaststellingsverzoek
Met het vaststellingsverzoek geeft u het kenteken van de touringcar door. Vier weken na de datum van deze brief, ontvangt u een e-mail met uitleg over het indienen van het vaststellingsverzoek. Als bijlage bij uw vaststellingsverzoek stuurt u de gespecificeerde factuur mee. De aanvraag tot vaststelling van de subsidie voor de nieuwe emissieloze touringcar kan worden ingediend tot uiterlijk 12 maanden na de datum van deze verleningsbrief. Als uw vaststellingsverzoek wordt goedgekeurd en de touringcar aan de gestelde voorwaarden in de STour voldoet, krijgt u het volledige subsidiebedrag uitbetaald.
3. Het vaststellingsverzoek later indienen Als de levertijd van uw touringcar vertraging oploopt, kunt u bij RVO een onderbouwd verzoek doen tot uitstel van de vaststelling met nog eens maximaal 12 maanden.
## Subsidieverplichtingen
De subsidieontvanger is verplicht:
- a. Er zorg voor te dragen dat de nieuwe emissieloze touringcar gedurende vier jaar vanaf de datum van de eerste inschrijving en tenaamstelling of registratie van het verstrekkingsvoorbehoud, ononderbroken op zijn naam is gesteld of een verstrekkingsvoorbehoud op zijn naam is geregistreerd in het kentekenregister.
- b. De verplichting, bedoeld bij het eerste punt, geldt niet indien de subsidieontvanger de nieuwe emissieloze touringcar vervangt door een andere nieuwe emissieloze touringcar die ook in aanmerking zou zijn gekomen voor subsidie op grond van deze regeling en deze andere touringcar gedurende de nog resterende termijn op zijn naam is gesteld of middels een verstrekkingsvoorbehoud op zijn naam is geregistreerd. In dit geval wordt de vaststellingsbeschikking op verzoek van de subsidieontvanger, na verstrekking van het kenteken, overeenkomst en factuur van deze andere touringcar, dienovereenkomstig gewijzigd.
- c. De uitzondering van het vorige punt geldt niet wanneer de subsidieontvanger voor de vervangende nieuwe emissieloze touringcar subsidie aanvraagt.
Indien niet is voldaan aan bovengenoemde subsidieverplichtingen zal het terug te vorderen bedrag worden bepaald door de subsidie te verminderen Rijksdienst voor Ondernemend Nederland
## Onze referentie
STOUR2024-03757698
Datum
8 november 2024
met 1/48e van het verstrekte subsidiebedrag vermenigvuldigd met het aantal volledige maanden waarin niet is voldaan aan de verplichting.
## Algemene verplichtingen
De subsidieontvanger is verplicht:
- a. onverwijld schriftelijk mededeling aan de Minister te doen van de indiening bij de rechtbank van een verzoek tot het op hem van toepassing verklaren van de schuldsaneringsregeling natuurlijke personen, tot verlening van surseance van betaling aan hem of tot faillietverklaring van hem;
b. onverwijld schriftelijk mededeling aan de Minister te doen van gewijzigde omstandigheden of wijziging van zijn gegevens die van belang zijn in verband met de subsidieverstrekking op grond van deze regeling;
- c. om op verzoek van de Minister alle gevraagde medewerking te verlenen aan de controle op de uitvoering van de verplichtingen die zijn gesteld in deze regeling en de beschikkingen;
d. om op verzoek van de Minister alle gevraagde medewerking te verlenen aan een door de Minister ter zake van de toepassing en de effecten van deze regeling ingesteld evaluatieonderzoek, die de Minister redelijkerwijs nodig heeft voor de uitvoering van dat evaluatieonderzoek.
Zodra het redelijkerwijs aannemelijk is dat niet, niet tijdig of niet geheel aan de aan de subsidie verbonden verplichtingen wordt of zal worden voldaan, doet de subsidieontvanger hiervan onverwijld mededeling aan de RVO.
## Als u bezwaar wilt maken
Bent u het niet eens met deze beslissing? Maak binnen 6 weken na datum van deze brief digitaal bezwaar. Ga naar www.rvo.nl/bezwaar en kies voor 'eLoket'.
Liever per post? Stuur het ondertekende bezwaar naar Rijksdienst voor Ondernemend Nederland, afdeling Juridische Zaken, Postbus 40219, 8004 DE ZWOLLE. Vermeld STOUR2024-03757698 en de datum van de beslissing waartegen u bezwaar maakt.
Heeft u meer tijd nodig omdat u nog niet alle informatie heeft verzameld? Dan kunt u een voorlopig (pro forma) bezwaar indienen. Zo bent u in ieder geval op tijd. U kunt het bezwaar dan later nog aanvullen.
## Wilt u uw zaak bekijken of wijzigingen doorgeven?
1. Ga naar https://mijn.rvo.nl/stour.
2. Klik bij 'Direct regelen' op Beheren.
3. Log in met eHerkenning. U kunt nu uw zaken inzien en beheren.
Rijksdienst voor Ondernemend Nederland
## Onze referentie
STOUR2024-03757698
## Datum
8 november 2024
## Meer informatie
Heeft u vragen? Kijk dan op https://mijn.rvo.nl/stour voor meer informatie. Chat met ons op www.rvo.nl/contact. Of bel ons op: 088 042 42 42 (lokaal tarief). Uw aanvraag is bekend onder referentienummer STOUR2024-03757698. Gebruik dit nummer als u contact met ons heeft.
Met vriendelijke groet,
De Minister van Infrastructuur en Waterstaat, namens deze:
Dit bericht is automatisch gegenereerd en bevat daarom geen handtekening.
## Bijlagen:
- Betaalschema van de voorschotten
Rijksdienst voor Ondernemend Nederland
Onze referentie STOUR2024-03757698 Datum
8 november 2024
## Bijlage 1. Betaalschema van de voorschotten
We betalen de voorschotten uit volgens onderstaand betaalschema. Opschortende voorwaarden zijn hierin verwerkt. We maken elk voorschotbedrag binnen 2 weken na de genoemde betaaldatum over. Staat er nog een terugbetaling open voor u op deze subsidie? Dan verrekenen we het voorschot hiermee.
## Autobusbedrijf Doornbos B.V.; Rekeningnummer:
| Datum           | Bedrag   |        |
|-----------------|----------|--------|
| 8 november 2024 | €        | 87.360 |
| Totaal          | €        | 87.360 |
Rijksdienst voor Ondernemend Nederland
## Onze referentie
STOUR2024-03757698
Datum
8 november 2024</t>
  </si>
  <si>
    <t>Rijksoverheid__85_Besluit-verlening-projectsubsidie-Versterken-onderzoekscapaciteit-in-2024.txt::Ontvanger</t>
  </si>
  <si>
    <t>Rijksoverheid__85_Besluit-verlening-projectsubsidie-Versterken-onderzoekscapaciteit-in-2024.txt</t>
  </si>
  <si>
    <t>Boekmanstichting</t>
  </si>
  <si>
    <t>boekmanstichting</t>
  </si>
  <si>
    <t>Boekmanstichting [50:66]</t>
  </si>
  <si>
    <t>&amp;gt;Retouradres Postbus 16375 2500 BJ Den Haag Boekmanstichting Herengracht 415 1017 BP AMSTERDAM Boekmanstichting t.a.v. Datum 20 februari 2024 Betreft Verlening projectsubsidie Versterken onderzoekscapaciteit in 2024 ## Geachte heer Bij brief van 8 december 2023, h [...]</t>
  </si>
  <si>
    <t>Rijksoverheid__85_Besluit-verlening-projectsubsidie-Versterken-onderzoekscapaciteit-in-2024.txt::Besluitvormend Orgaan</t>
  </si>
  <si>
    <t>de staatssecretaris van Onderwijs, Cultuur en Wetenschap</t>
  </si>
  <si>
    <t>de staatssecretaris van onderwijs, cultuur en wetenschap</t>
  </si>
  <si>
    <t>de staatssecretaris van Onderwijs, Cultuur en Wetenschap [10111:10167]</t>
  </si>
  <si>
    <t>[...] u vragen? Voor vragen over deze beschikking kunt u contact opnemen met uw contactpersoon bereikbaar via telefoon en email Ik wens u veel succes met de uitvoering van de activiteiten. Met vriendelijke groet, de staatssecretaris van Onderwijs, Cultuur en Wetenschap, namens deze, de directeur Media en Creatieve Industrie, onder 43706393</t>
  </si>
  <si>
    <t>Rijksoverheid__85_Besluit-verlening-projectsubsidie-Versterken-onderzoekscapaciteit-in-2024.txt::Rechtshandeling</t>
  </si>
  <si>
    <t>&amp;gt; Retouradres: Postbus 10073, 8000 GB ZWOLLE
Qbuzz
&lt;!-- image --&gt;
Datum
8 november 2024
Betreft
Besluit aanvraag STOUR2024-03757428
Geachte Op 15 oktober 2024 heb ik uw aanvraag ontvangen voor STOUR2024-03757428 van de Subsidie emissieloze touringcars (STour). -
## Beslissing
Ik heb besloten u subsidie te verlenen. Het totaal verleende subsidiebedrag bedraagt:
Subsidiebedrag
€ 450.000
U krijgt 70% als voorschot uitbetaald. In bijlage 1 vindt u het betaalschema van het voorschot.
## Toegewezen subsidie voor touringcar
touringcar 1
-
Meerkosten:
-
Subsidiepercentage:
Toegekende subsidie:
touringcar 2
-
Meerkosten:
-
Subsidiepercentage:
Toegekende subsidie:
-
&lt;!-- image --&gt;
## Rijksdienst voor Ondernemend Nederland
&lt;!-- image --&gt;
## Rijksdienst voor Ondernemend Nederland
Hanzelaan 310 8017 JK ZWOLLE Postbus 10073 8000 GB ZWOLLE www.rvo.nl
## Contactpersoon
klantcontact@rvo.nl T 088 042 42 42
Onze referentie
STOUR2024-03757428
touringcar 3
-
Meerkosten: Subsidiepercentage:
-
Toegekende subsidie:
touringcar 4
-
Meerkosten: Subsidiepercentage: Toegekende subsidie:
-
touringcar 5
-
Meerkosten:
-
Subsidiepercentage:
Toegekende subsidie:
&lt;!-- image --&gt;
In uw aanvraag heeft u de kosten zonder korting opgegeven. De subsidiabele kosten zijn echter gebaseerd op het bedrag na aftrek van de korting, waardoor deze lager zijn vastgesteld. Het toegekende subsidiebedrag voor de touringcars is vervolgens gemaximeerd.
## Belangrijke aandachtspunten
U heeft recht op het subsidiebedrag als uw vaststellingsverzoek aan de voorwaarden uit deze regeling voldoet. Voordat volledige uitbetaling van de subsidie plaatsvindt, wordt er getoetst op o.a. de voertuigcategorie en de data die in het kentekenregister (RDW) zijn opgenomen. Houdt u er rekening mee dat RVO dit bij de vaststelling altijd controleert. De subsidieverlening is de eerste stap in uw aanvraag. Nu u beschikt over de subsidieverlening, zijn de volgende stappen van belang:
## 1. Tenaamstelling touringcar in kentekenregister
Als u de touringcar waarvoor subsidie is verleend geleverd krijgt, moet u deze op naam of middels een verstrekkingsvoorbehoud op naam van de subsidieontvanger registreren in het kentekenregister (RDW). Zorg ervoor dat de touringcar op naam komt van de organisatie of natuurlijke persoon behorende bij het opgegeven KVK-nummer of BSN-nummer.
## 2. Indienen vaststellingsverzoek
Met het vaststellingsverzoek geeft u het kenteken van de touringcar door. Vier
€ 327.784,74 30,00 % € 90.000 --- Rijksdienst voor Ondernemend Nederland Onze referentie STOUR2024-03757428 Datum 8 november 2024
weken na de datum van deze brief, ontvangt u een e-mail met uitleg over het indienen van het vaststellingsverzoek. Als bijlage bij uw vaststellingsverzoek stuurt u de gespecificeerde factuur mee. De aanvraag tot vaststelling van de subsidie voor de nieuwe emissieloze touringcar kan worden ingediend tot uiterlijk 12 maanden na de datum van deze verleningsbrief. Als uw vaststellingsverzoek wordt goedgekeurd en de touringcar aan de gestelde voorwaarden in de STour voldoet, krijgt u het volledige subsidiebedrag uitbetaald.
3. Het vaststellingsverzoek later indienen Als de levertijd van uw touringcar vertraging oploopt, kunt u bij RVO een onderbouwd verzoek doen tot uitstel van de vaststelling met nog eens maximaal 12 maanden.
## Subsidieverplichtingen
De subsidieontvanger is verplicht:
- a. Er zorg voor te dragen dat de nieuwe emissieloze touringcar gedurende vier jaar vanaf de datum van de eerste inschrijving en tenaamstelling of registratie van het verstrekkingsvoorbehoud, ononderbroken op zijn naam is gesteld of een verstrekkingsvoorbehoud op zijn naam is geregistreerd in het kentekenregister.
- b. De verplichting, bedoeld bij het eerste punt, geldt niet indien de subsidieontvanger de nieuwe emissieloze touringcar vervangt door een andere nieuwe emissieloze touringcar die ook in aanmerking zou zijn gekomen voor subsidie op grond van deze regeling en deze andere touringcar gedurende de nog resterende termijn op zijn naam is gesteld of middels een verstrekkingsvoorbehoud op zijn naam is geregistreerd. In dit geval wordt de vaststellingsbeschikking op verzoek van de subsidieontvanger, na verstrekking van het kenteken, overeenkomst en factuur van deze andere touringcar, dienovereenkomstig gewijzigd.
- c. De uitzondering van het vorige punt geldt niet wanneer de subsidieontvanger voor de vervangende nieuwe emissieloze touringcar subsidie aanvraagt.
Indien niet is voldaan aan bovengenoemde subsidieverplichtingen zal het terug te vorderen bedrag worden bepaald door de subsidie te verminderen met 1/48e van het verstrekte subsidiebedrag vermenigvuldigd met het aantal volledige maanden waarin niet is voldaan aan de verplichting.
## Algemene verplichtingen
De subsidieontvanger is verplicht:
a. onverwijld schriftelijk mededeling aan de Minister te doen van de indiening
bij de rechtbank van een verzoek tot het op hem van toepassing verklaren van de schuldsaneringsregeling natuurlijke personen, tot verlening van surseance van betaling aan hem of tot faillietverklaring van hem;
b. onverwijld schriftelijk mededeling aan de Minister te doen van gewijzigde omstandigheden of wijziging van zijn gegevens die van belang zijn in verband met de subsidieverstrekking op grond van deze regeling;
c. om op verzoek van de Minister alle gevraagde medewerking te verlenen Rijksdienst voor Ondernemend Nederland
## Onze referentie
STOUR2024-03757428
Datum
8 november 2024
aan de controle op de uitvoering van de verplichtingen die zijn gesteld in deze regeling en de beschikkingen;
d. om op verzoek van de Minister alle gevraagde medewerking te verlenen aan een door de Minister ter zake van de toepassing en de effecten van deze regeling ingesteld evaluatieonderzoek, die de Minister redelijkerwijs nodig heeft voor de uitvoering van dat evaluatieonderzoek.
Zodra het redelijkerwijs aannemelijk is dat niet, niet tijdig of niet geheel aan de aan de subsidie verbonden verplichtingen wordt of zal worden voldaan, doet de subsidieontvanger hiervan onverwijld mededeling aan de RVO.
## Als u bezwaar wilt maken
Bent u het niet eens met deze beslissing? Maak binnen 6 weken na datum van deze brief digitaal bezwaar. Ga naar www.rvo.nl/bezwaar en kies voor 'eLoket'.
Liever per post? Stuur het ondertekende bezwaar naar Rijksdienst voor Ondernemend Nederland, afdeling Juridische Zaken, Postbus 40219, 8004 DE ZWOLLE. Vermeld STOUR2024-03757428 en de datum van de beslissing waartegen u bezwaar maakt.
Heeft u meer tijd nodig omdat u nog niet alle informatie heeft verzameld? Dan kunt u een voorlopig (pro forma) bezwaar indienen. Zo bent u in ieder geval op tijd. U kunt het bezwaar dan later nog aanvullen.
## Wilt u uw zaak bekijken of wijzigingen doorgeven?
1. Ga naar https://mijn.rvo.nl/stour.
2. Klik bij 'Direct regelen' op Beheren.
3. Log in met eHerkenning. U kunt nu uw zaken inzien en beheren.
## Meer informatie
Heeft u vragen? Kijk dan op https://mijn.rvo.nl/stour voor meer informatie. Chat met ons op www.rvo.nl/contact. Of bel ons op: 088 042 42 42 (lokaal tarief). Uw aanvraag is bekend onder referentienummer
STOUR2024-03757428. Gebruik dit nummer als u contact met ons heeft.
Met vriendelijke groet,
De Minister van Infrastructuur en Waterstaat, namens deze:
&lt;!-- image --&gt;
Dit bericht is automatisch gegenereerd en bevat daarom geen handtekening.
Rijksdienst voor Ondernemend Nederland
Onze referentie STOUR2024-03757428 Datum
8 november 2024
Bijlagen:
- Betaalschema van de voorschotten
Rijksdienst voor Ondernemend Nederland
Onze referentie STOUR2024-03757428 Datum
8 november 2024
## Bijlage 1. Betaalschema van de voorschotten
We betalen de voorschotten uit volgens onderstaand betaalschema. Opschortende voorwaarden zijn hierin verwerkt. We maken elk voorschotbedrag binnen 2 weken na de genoemde betaaldatum over. Staat er nog een terugbetaling open voor u op deze subsidie? Dan verrekenen we het voorschot hiermee.
| Qbuzz; Rekeningnummer:   |   Bedrag |
|--------------------------|----------|
| 8 november 2024          |  315.000 |
| Totaal                   |  315.000 |
-
Rijksdienst voor Ondernemend Nederland
## Onze referentie
STOUR2024-03757428
Datum
8 november 2024</t>
  </si>
  <si>
    <t>verleen [435:443]</t>
  </si>
  <si>
    <t>verleen [435:442]</t>
  </si>
  <si>
    <t>[...] paciteit in 2024 ## Geachte heer Bij brief van 8 december 2023, hebt u een subsidieaanvraag ingediend voor Versterken onderzoekscapaciteit in 2024. Met deze brief beslis ik op uw aanvraag. ## Besluit Hierbij verleen ik u een subsidie van ten hoogste € 125.000. De subsidie wordt verleend op grond van artikel 1, eerste lid, van het Besluit op het specifiek cultuurbeleid, en onder voorwaarde dat de begrotingswetgever voldoende midde [...]</t>
  </si>
  <si>
    <t>Rijksoverheid__85_Besluit-verlening-projectsubsidie-Versterken-onderzoekscapaciteit-in-2024.txt::Rechtsobject</t>
  </si>
  <si>
    <t>subsidie [452:461]</t>
  </si>
  <si>
    <t>subsidie [452:460]</t>
  </si>
  <si>
    <t>[...] ## Geachte heer Bij brief van 8 december 2023, hebt u een subsidieaanvraag ingediend voor Versterken onderzoekscapaciteit in 2024. Met deze brief beslis ik op uw aanvraag. ## Besluit Hierbij verleen ik u een subsidie van ten hoogste € 125.000. De subsidie wordt verleend op grond van artikel 1, eerste lid, van het Besluit op het specifiek cultuurbeleid, en onder voorwaarde dat de begrotingswetgever voldoende middelen ter beschikkin [...]</t>
  </si>
  <si>
    <t>Rijksoverheid__86_Besluit-wijziging-projectsubsidie-‘Versnellen-en-verbreden-gebruik-netwerkvoorzieningen-Netwerk-Digitaal-Erfgoed’.txt::Ontvanger</t>
  </si>
  <si>
    <t>Nederlands Instituut voor Beeld en Geluid</t>
  </si>
  <si>
    <t>nederlands instituut voor beeld en geluid</t>
  </si>
  <si>
    <t>Nederlands Instituut voor Beeld en Geluid [53:94]</t>
  </si>
  <si>
    <t>&amp;gt;Retouradres Postbus 16375 2500 BJ Den Haag ## Nederlands Instituut voor Beeld en Geluid Postbus 1060 1200 BB HILVERSUM Datum 8 februari 2024 Betreft Wijziging verlening projectsubsidie 'Versnellen en verbreden gebruik netwerkvoorzieningen Netwerk Digitaal Erfgoed' Geachte heer , Bi [...]</t>
  </si>
  <si>
    <t>Rijksoverheid__86_Besluit-wijziging-projectsubsidie-‘Versnellen-en-verbreden-gebruik-netwerkvoorzieningen-Netwerk-Digitaal-Erfgoed’.txt::Rechtshandeling</t>
  </si>
  <si>
    <t>wijzig [1131:1138]</t>
  </si>
  <si>
    <t>wijzig [1131:1137]</t>
  </si>
  <si>
    <t>[...] t deze brief informeer ik u over mijn besluit over uw verzoek tot ophoging. U vroeg mij om de hoogte van het verleende subsidiebedrag te wijzigen in € 3.000.000. ## Besluit Ik ga akkoord met uw verzoek. Hiermee wijzig ik de volgende punten van mijn beschikking: de verleende subsidie bedraagt € 3.000.000. De voorschotten worden als volgt beschikbaar gesteld: Voor het jaar 2024 geldt dat u binnen twee weken na dagtekening een voor [...]</t>
  </si>
  <si>
    <t>&amp;gt; Retouradres Postbus 20401 2500 EK Den Haag
Stichting Wij.land
Datum  	-
0 9 SEP. 2024 -
Betreft Kosten-Baten Analyse Transitie Melkveehouderij" (KBA-TMVH). Verplichtingnummer
Geachte
## 1. Aanvraag
Op 19 april 2024 ontving ik per e-mail uw brief van 19 april 2024, waarin u namens Stichting Wij.land subsidie aanvraagt voor het project "Kosten-Baten Analyse van de Transitie Melkveehouderij" (hierna: KBA-TMVH). U heeft daarbij een projectplan en begroting aan mij overgelegd.
U voert de activiteiten waarvoor u subsidie hebt aangevraagd uit in samenwerking met de provincie Noord-Brabant, BoerenNatuur Fryslán (v.h. Living Lab Fryslán) en De Natuurverdubbelaars op grond van een samenwerkingsovereenkomst. Uit deze overeenkomst vloeit voort dat Stichting Wij.land als penvoerder van dit samenwerkingsverband zal optreden. Omdat de provincie Noord-Brabant en BoerenNatuur Fryslán vanuit deze subsidie geen subsidie ontvangen, is alleen De Natuurverdubbelaars ook aan te merken als subsidieontvanger.
U  vraagt mij om een subsidiebedrag van € 625.000,- voor de uitvoering van het project. Overige financiering (in kind dan wel in cash) komt van o.a. Brabants Bodem/Provincie Noord-Brabant, en vallen niet onder de subsidiabele kosten.
## 1.1 Procesverloop
U  heeft op 21 april 2024 een gewijzigde/aangevulde aanvraagbrief gestuurd. Omdat hier sprake is van een samenwerkingsverband met Stichting Wij.land als penvoerder, is ook De Natuurverdubbelaars aan te merken als subsidieontvanger. U  heeft in verband daarmee uw begroting nader gespecificeerd, met name vanwege de BTW, en ook omdat de uurtarieven ontbraken.
## 1.2 Beoordeling van uw aanvraag
De activiteiten zoals beschreven in uw aanvraag passen binnen het kader van het beleid gericht op het oplossen van duurzaamheidsopgaven van de primaire landbouwsector. De landbouw in Nederland staat onder druk. Waar in het verleden werd ingezet op schaalvergroting en het verhogen van de productiviteit, liggen er nu andere opgaven gericht op een duurzame en toekomstbestendige landbouw: kringlooplandbouw.
&lt;!-- image --&gt;
Directie Strategie, Kennis en Innovatie
## Bezoekadres
Bezuidenhoutseweg 73 2594 AC Den Haag
## Postadres
Postbus 20401 2500 EK Den Haag
## Overheidsidentificatienr
00000001858272854000
T 070 379 8911 (algemeen) F 070 378 6100 (algemeen) www:rijksoverheid.nlilvvn
Behandeld door
## Ons kenmerk
SKI»
Uw kenmerk uw brief van 19 april 2024
Bijlage(n)
2
Relatienummer:
IBAN/Bankrekeningnommer:
Thema's als stikstof, klimaat, biodiversiteit en waterkwaliteit zetten de sector op scherp en maken een transitie naar kringlooplandbouw met minder emissies en hogere toegevoegde waarde onvermijdelijk. Daarnaast stijgen de grondprijzen wat resulteert in een hogere kostprijs per liter melk. Welk perspectief is er nog voor melkveehouderij?
Dit project heeft als doel de kosten en baten van de transitie naar natuurinclusieve of biologische melkveehouderij in kaart te brengen door de ontwikkeling van een gestandaardiseerde, openbaar beschikbare en gebruikersvriendelijke methode. De afgelopen 3 jaar hebben Stichting Wij.land en partners melkveehouders geholpen bij het begrijpen van de financiële mogelijkheden en een start gemaakt met het in kaart brengen van economische kengetallen van melkveehouderij in transitie.
Hiervoor is door De Natuurverdubbelaars en Alan Accountants en Adviseurs de Kosten Baten Analyse (KBA) Transitie Melkveehouderij rekentool ontwikkeld. Deze tool geeft melkveehouders nieuwe inzichten op basis van hun bestaande boekhouding en verzamelt financiële en bedrijfseconomische data op een uniforme manier. Zo kunnen de economische prestaties vergeleken en in groepsverband vergeleken worden.
## 1.3 Europeesrechtelijke aspecten
Op grond van artikel 7 van de Kaderwet EZK- en LNV-subsidies verleen ik geen subsidie als dit naar mijn oordeel leidt tot het verlenen van ongeoorloofde staatssteun in de zin van artikel 107 van het Verdrag betreffende de werking van de Europese Unie (hierna: VWEU).
Op basis van uw aanvraag kom ik tot het oordeel dat de subsidie verstrekt kan worden op grond van verordening (EU) nr. 2472/2022 van de Commissie van 14 december 2022 waarbij bepaalde categorieën steun in de landbouw- en de bosbouwsector en in plattelandsgebieden op grond van de artikelen 107 en 108 van het Verdrag betreffende de werking van de Europese Unie met de interne markt verenigbaar worden verklaard (PbEU 2022, L 327), met name artikel 21 .
Dit artikel verklaart steun voor kennisuitwisselings- en voorlichtingsacties verenigbaar met de interne markt en vrijgesteld van de voorgenoemde aanmeldingsverplichting uit artikel 108, derde lid, VWEU, mits wordt voldaan aan de voorwaarden uit het 2e tot en met het 8e lid van het desbetreffende artikel, alsmede aan de voorwaarden uit het hoofdstuk I van Verordening (EU) nr. 2472/2022.
Ik heb geconstateerd dat Stichting Wij.land en De Natuurverdubbelaars geen ondernemingen in moeilijkheden zijn zoals bedoeld in artikel 2, onder punt 59, van Verordening (EU) nr. 2472/2022. Ik heb verder geconstateerd dat er tegen Stichting Wij.land en De Natuurverdubbelaars geen bevel tot terugvordering uitstaat als bedoeld in artikel 1, vierde lid, onderdeel a, van Verordening (EU) nr. 2472/2022. Voorts heb ik vastgesteld dat met de uitvoering van dit projectplan niet is begonnen dan na de aanvraag van 21 april 2024. Er gaat derhalve - onder meer om deze reden - een stimulerend effect uit van deze subsidieverlening aan Stichting Wij.land en De Natuurverdubbelaars.
Directie Strategie, Kennis en Innovatie Directie Strategie, Kennis en
Ons kenmerk
SKI/
Beknopte informatie over deze subsidieverlening is op grond van artikel 9, eerste lid, van Verordening (EU) nr. 2022/2472 gemeld aan de Europese Commissie. De volledige tekst van de onderhavige beschikking wordt gepubliceerd op www.rijksoverheid.nl.
Artikel 9, eerste lid, van verordening (EU) nr. 2472/2022, bevat de verplichting aan de lidstaten om de steun boven de transparantiedrempel en de in dit artikel genoemde gegevens te publiceren in de State Aid Transparancy Award Module.
## 1.4 Bewaartermijn boekhouding
Ik wijs u erop dat de Europese Commissie nog gedurende tien jaar na de verstrekking van deze subsidie, deze achteraf kan controleren. Ik raad u aan de relevante documenten met betrekking tot deze subsidie gedurende deze periode te bewaren.
## 2. Besluit
In het kader van mijn beleid gericht op het oplossen van duurzaamheidsopgaven van de primaire landbouwsector, verleen ik Stichting Wij.land en De Natuurverdubbelaars hierbij, op grond van artikel 2a, eerste lid, onderdeel c (landbouw), van de Kaderwet EZK- en LNV-subsidies, subsidie voor de uitvoering van de activiteiten van het project "Kosten en baten van transitie in de melkveehouderij", waarvoor u subsidie hebt aangevraagd.
## 2.1 Periode
De activiteiten dienen te worden uitgevoerd in de periode van 1 mei 2024 tot en met 30 juni 2025.
## 2.2 Subsidiebedrag
Het subsidiebedrag zal in totaal 100% van de totale subsidiabele kosten bedragen, met dien verstande dat, indien ter zake van de subsidiabele kosten of een deel daarvan reeds uit anderen hoofde vanwege een bestuursorgaan of de Europese Commissie subsidie is verstrekt, slechts een zodanig bedrag aan subsidie wordt verstrekt, dat het totale bedrag aan subsidies niet meer bedraagt dan 100% van de subsidiabele kosten. Het subsidiebedrag kan niet meer bedragen dan toegestaan volgens de toepasselijke Europese steunkaders.
Dit bedrag is inclusief alle eventuele belastingen.
De subsidie wordt ten hoogste vastgesteld op € 625.000,-, waarvan € 99.920,exclusief BTW en €. 525.080,- inclusief BTW, gelet op de gegevens opgenomen in uw aanvraag en is berekend volgens de bij uw aanvraag gevoegde begroting. Zie verder onder 2.4 en 2.5.
## 2.3 Subsidiabele kosten
De volgende, rechtstreeks aan het project toe te rekenen kosten voor zover dit kosten zijn zoals bedoeld in artikel 21, derde lid en onderdelen a tot en met c, van Verordening (EU) nr. 702/2014 van de , daadwerkelijk gemaakt in de voornoemde periode en die betaald zijn vóór 30 september 2025 worden door mij subsidiabel geacht:
Directie Strategie, Kennis en Innovatie Directie Strategie, Kennis en
Ons kenmerk
SKI,
- interne kosten op basis van een integrale kostensystematiek, waarbij gebruik wordt gemaakt van een tarief per eenheid van een kostendrager waarin de directe en indirecte kosten per kostendrager zijn verwerkt (kostendragers zijn bijvoorbeeld personeel-/arbeidsuren, apparaat/machine-uren, output van apparaten en machines en verbruikte materialen) en die is gebaseerd op bedrijfseconomische en maatschappelijk aanvaardbare grondslagen en stelselmatig wordt toegepast;
- aan derden verschuldigde kosten die direct voor de subsidiabele activiteiten worden gemaakt, bijvoorbeeld door uitbesteding van een deel van de subsidiabele activiteit (coaches, experts) en kosten van voor de subsidiabele activiteit geleverde goederen en diensten;
- materiële kosten voor o.a. instrumentontwikkeling, studiegroepen, communicatie, zaalhuur;
- projectmanagement, met dien verstande dat ten hoogste 10% van de projectkosten in aanmerking is genomen.
De vóór indiening van de aanvraag gemaakte kosten komen niet voor subsidie in aanmerking.
Voor de toepassing van de hierboven genoemde punten geldt, dat winstopslagen bij transacties binnen een groep alleen in aanmerking zijn genomen voor zover het gebruikelijk is om die winstopslagen ook bij soortgelijke transacties buiten de groep in rekening te brengen.
## 2.4 BTW
U heeft mij opgegeven dat u niet BTW-plichtig bent. Het subsidiebedrag is inclusief alle eventuele belastingen waaronder de BTW. U dient mij de beschikking van de Belastingdienst met betrekking tot uw BTW-plicht over de gesubsidieerde activiteiten zo spoedig mogelijk, doch uiterlijk bij het verzoek om subsidievaststelling te overleggen. In het geval dat u deze beschikking niet kunt overleggen óf uit de beschikking volgt dat u wel BTW-plichtig bent, zal de subsidie bij subsidievaststelling alsnog exclusief de belastingen waaronder BTW worden vastgesteld. Een teveel betaald subsidiebedrag zal worden teruggevorderd.
## 2.5 Subsidiabele kosten voor dit project
Op grond van uw projectplan en begroting raam ik de subsidiabele kosten voor dit project op:
| Specificatie Bijdrage LNV                    | Projectpa i ode Q2 2824 Q1 2025   | Projectpa i ode Q2 2824 Q1 2025   | Projectpa i ode Q2 2824 Q1 2025   | Projectpa i ode Q2 2824 Q1 2025   | Projectpa i ode Q2 2824 Q1 2025   | Projectpa i ode Q2 2824 Q1 2025   | Projectpa i ode Q2 2824 Q1 2025   | Projectpa i ode Q2 2824 Q1 2025   | Projectpa i ode Q2 2824 Q1 2025   | Projectpa i ode Q2 2824 Q1 2025   | Projectpa i ode Q2 2824 Q1 2025   |
|----------------------------------------------|-----------------------------------|-----------------------------------|-----------------------------------|-----------------------------------|-----------------------------------|-----------------------------------|-----------------------------------|-----------------------------------|-----------------------------------|-----------------------------------|-----------------------------------|
| Weikstromen                                  | TOTAAL                            | TOTAAL                            | Wii.land (BTW vrij)               | Wii.land (BTW vrij)               | Netuw- verdubbetaars              | Brabants Bodem / PN8              | BoerenNatimr Fryskin              | WEcR                              |                                   | Inhuur derden                     |                                   |
| L Doorontwikkeling instrumenten              | C                                 | 40.840                            |                                   |                                   | 40.840                            |                                   | C                                 |                                   |                                   |                                   |                                   |
| 2. Ontwikkeling en begeleiding studiegroepen | C                                 | 190.165                           |                                   | 36.525                            | 28.000                            |                                   |                                   |                                   | E:                                | 125.840                           |                                   |
| 3. Individuele trajecten en verdieping       | T                                 | 313.298                           | C                                 | 9.798                             |                                   | C                                 |                                   | C                                 | C                                 | 103500                            |                                   |
| 4 Data analyse, rapportage en advies         |                                   | 97404                             | C                                 | 19.192                            | 49900                             |                                   |                                   | C 20.000                          |                                   | 8392                              |                                   |
| S. Communicatie                              | C                                 | 39.754                            | C                                 | 12.854                            | 12.000                            |                                   |                                   |                                   | C                                 | 14.900                            |                                   |
| 6. management en administratie               |                                   | 52.329                            |                                   | 21,551                            | 4.000                             |                                   |                                   |                                   | •                                 | 26.778                            |                                   |
| TOTAAL ex BTW                                | f                                 | 533.871                           | C                                 | 99.920                            | 134.740                           |                                   | e                                 | f 20.000                          | •                                 | 279.210                           |                                   |
| BTW 21%                                      | C                                 | 91.130                            |                                   |                                   | 28 295                            |                                   |                                   | C 4.200                           | C                                 | 58.634                            |                                   |
| TOTAAL ind BTW                               | C                                 | 625.000                           | è                                 | 99.20                             | 163.036                           |                                   |                                   | • 24.200                          | €                                 | 337.844                           |                                   |
Directie Strategie, Kennis en Innovatie
Ons kenmerk SKI, Per deelnemer van het samenwerkingsverband betreft het de volgende subsidiebedragen:
Stichting Wij.land € 99.920 excl. BTW De Natuurverdubbelaars € 163.036 incl. BTW Inhuur derden € 362.044 incl. BTW
Overige financiering, in kind en in cash komt van o.a. de provincie Noord-Brabant (Brabants Bodem) en de provincie Zuid-Holland.
## 2.6 Verplichtingen
Aan de subsidie zijn de volgende verplichtingen verbonden die voor alle subsidieontvangers gelden:
1. U dient het project volledig uit te voeren overeenkomstig het bij de aanvraag ingediende plan en binnen de daarin voorziene tijdsduur.
2. U dient mij onverwijld een schriftelijke melding te doen zodra aannemelijk is dat de activiteiten waarvoor de subsidie is verleend niet, niet tijdig of niet geheel zullen worden verricht of dat niet, niet geheel of niet tijdig aan de aan de subsidie verbonden verplichtingen zal worden voldaan.
3. U dient voor elke essentiële wijziging in de aard of de uitvoering van het plan mijn voorafgaande schriftelijke toestemming te vragen. Geen toestemming is vereist voor een wijziging van de in de subsidieverlening gespecificeerde kostenposten indien als gevolg van deze wijzing de omvang van een kostenpost niet meer dan 15% wijzigt. Aan mijn toestemming kan ik nadere verplichtingen verbinden.
4. U dient mij schriftelijk verslag uit te brengen over de voortgang van het project. Dit verslag kan namens het samenwerkingsverband worden ingediend door de penvoerder van het verband, Stichting Wij.land. In dit verslag dient duidelijk inzicht te worden gegeven in de voortgang van het project in vergelijking met de voorziene tijdsduur en kosten zoals opgenomen in het door u ingediende projectplan. Het eerste verslag brengt u uit over de periode van zes maanden na de datum van de beschikking; dit verslag dient binnen twee maanden na afloop van de betrokken periode bij mij ingediend te zijn. Het volgende verslag betreft het eindverslag; zie punt 8 hieronder.
5. De inrichting van uw administratie dient zodanig te zijn dat deze aansluit bij de door u ingediende begroting en daaruit te allen tijden op eenvoudige en duidelijke wijze de rechtstreeks aan het project te rekenen kosten kunnen worden afgelezen. Ter zake van de loonkosten dient door middel van een urenadministratie vastgestelde urenverantwoording aanwezig te zijn.
6. Bij gebruik van een integrale kostensystematiek: uiterlijk bij de aanvraag om subsidievaststelling dient een rapport van feitelijke bevindingen over de uitkomst van het onderzoek van een accountant betreffende de gehanteerde integrale kostensystematiek aanwezig te zijn (zie bijlage 2).
7. Op mijn verzoek dient u inlichtingen te verschaffen omtrent de voortgang of resultaten van het project. U bent verplicht om op mijn verzoek medewerking te verlenen aan een evaluatie van het beleid op grond waarvan deze subsidie is verstrekt. Deze verplichtingen gelden tot vijf jaar na de datum van de beschikking tot subsidievaststelling.
Directie Strategie, Kennis en Innovatie
Ons kenmerk SKI;
8.  	U doet mij onverwijld schriftelijke mededeling van de indiening bij de rechtbank van een verzoek tot het op u van toepassing verklaren van de schuldsaneringsregeling natuurlijke personen, tot verlening van surseance van betaling aan u of tot faillietverklaring van u.
9. Uiterlijk binnen 13 weken na de in deze beschikking genoemde einddatum dient u bij mij schriftelijk een verzoek om subsidievaststelling in. Dit verzoek kan namens het samenwerkingsverband worden ingediend door de penvoerder van het verband, Stichting Wij.land, en dient vergezeld te gaan van
- a.  Een eindrapport waarin verloop en eindresultaten van het gesubsidieerde project zijn vastgelegd;
- b.  Een gespecificeerde opgave van alle rechtstreeks aan het project toe te rekenen werkelijk gemaakte kosten, opgesteld conform de door u ingediende begroting;
- c.  Een controleverklaring conform het in bijlage 1 van deze beschikking opgenomen controleprotocol.
- d.  Een beschikking van de Belastingdienst waaruit volgt dat u voor de gesubsidieerde activiteiten niet BTW-plichtig bent.
10. U voert het project uit in overeenstemming met de verplichtingen, opgenomen in artikel 21 van de Vrijstellingsverordening landbouw, nr. 2022/2472. Dit houdt, onder meer, in dat:
8. -de steun dient voor de financiering van acties op het gebied van beroepsopleiding en de verwerving van vaardigheden, waaronder opleidingscursussen, workshops en coaching, demonstratieactiviteiten en voorlichtingsacties;
9. -de organisaties die acties inzake kennisoverdracht en voorlichting aanbieden, beschikken over hiertoe gekwalificeerd en geregeld opgeleid personeel;
10. -de steun onder objectief vastgestelde voorwaarden toegankelijk is voor alle ondernemingen die daarvoor in het betrokken gebied in aanmerking komen.
11. In het geval er activiteiten door een derde of derden worden uitgevoerd, dient opdrachtverlening aan deze derde(n) plaats te vinden op basis van transparante criteria en marktconforme tarieven.
## 2.7 Subsidievaststelling
De beschikking tot subsidievaststelling zal ik geven binnen 13 weken na ontvangst van uw aanvraag daartoe dan wel nadat de voor het indienen ervan geldende termijn genoemd in verplichting 8 is verstreken. Indien de beschikking niet binnen 13 weken kan worden gegeven zal ik u daarvan in kennis stellen en daarbij een redelijke termijn noemen waarbinnen de beschikking tegemoet gezien kan worden.
## 2.8 Voorschot
Ik verleen u bij deze een voorschot van 80% van het genoemde subsidiebedrag van € 625.000,- te weten € 500.000,-. Het voorschot zal worden betaald aan de penvoerder van het verband, Stichting Wij.land, binnen zes weken na de dag van verzending van deze beschikking op uw bankrekeningnummer:
ten name van Stichting Wij.land te Abcoude.
Directie Strategie, Kennis en Innovatie
Ons kenmerk SKI/
De hoogte van het resterende subsidiebedrag wordt beoordeeld bij de eindafrekening/subsidievaststelling en zal ten hoogste € 125.000,- (20%) bedragen.
## 2.9 Advies
Om eventuele problemen met de accountantscontrole op uw financiële verantwoording te voorkomen adviseer ik u om uw accountant zo vroeg mogelijk te betrekken.
## 3. Correspondentie
Alle correspondentie met betrekking tot deze subsidie dient u, met vermelding van verplichtingnummer  	 :e zenden naar:
Ministerie van Landbouw, Visserij, Voedselzekerheid en Natuur Directie Strategie, Kennis en Innovatie
t.a.v.
Postbus 20401 2500 EK Den Haag
De Minister van Landbouw, Visserij, Voedselzekerheid en Natuur, namens deze:
Ino B. Ostendói -f,
Waarnemend directeur Strategie, Kennis en Innovatie.
Als u het niet eens bent met deze beslissing kunt u binnen zes weken na verzending van deze brief een bezwaarschrift indienen. Stuur het ondertekende bezwaarschrift met een kopie van deze beslissing naar Rijksdienst voor Ondernemend Nederland, afdeling Juridische Zaken, Postbus 40219, 8004 DE, Zwolle.
Op de internetsite https://miin.rvo.nlibezwaar vindt u meer belangrijke informatie over het indienen van een bezwaarschrift. Dit besluit is verzonden op de in de aanhef van deze brief vermelde datum.
Directie Strategie, Kennis en Innovatie Directie Strategie, Kennis en
Ons kenmerk SKI/</t>
  </si>
  <si>
    <t>Rijksoverheid__87_Besluit-projectsubsidie-exploitatietekort-2024-Jachthuis-St-Hubertus.txt::Ontvanger</t>
  </si>
  <si>
    <t>Rijksoverheid__87_Besluit-projectsubsidie-exploitatietekort-2024-Jachthuis-St-Hubertus.txt</t>
  </si>
  <si>
    <t>Stichting Het Nationale Park de Hoge Veluwe</t>
  </si>
  <si>
    <t>stichting het nationale park de hoge veluwe</t>
  </si>
  <si>
    <t>Stichting Het Nationale Park de Hoge Veluwe [50:93]</t>
  </si>
  <si>
    <t>&amp;gt;Retouradres Postbus 16375 2500 BJ Den Haag Stichting Het Nationale Park de Hoge Veluwe T.a.v. xxxxxxxxxxxxxxxxxxxxxxxxxxx Apeldoornseweg 250 7351 TA HOENDERLOO Datum 19 december 2023 Betreft Verlening projectsubsidie exploitatietekort 2024 Jachthuis St Hubertus ## Geacht bestuur, [...]</t>
  </si>
  <si>
    <t>Rijksoverheid__87_Besluit-projectsubsidie-exploitatietekort-2024-Jachthuis-St-Hubertus.txt::Besluitvormend Orgaan</t>
  </si>
  <si>
    <t>De staatssecretaris van Onderwijs, Cultuur en Wetenschap</t>
  </si>
  <si>
    <t>De staatssecretaris van Onderwijs, Cultuur en Wetenschap [9500:9556]</t>
  </si>
  <si>
    <t>[...] 36766300 onder vermelding van kenmerk 40178305. ## Heeft u vragen? Voor vragen over deze beschikking kunt u contact opnemen met uw contactpersoon. Ik wens u veel succes met de uitvoering van de activiteiten. De staatssecretaris van Onderwijs, Cultuur en Wetenschap, &lt;!-- image --&gt; S.P.R.A. van Weyenberg Onze referentie 40178305</t>
  </si>
  <si>
    <t>Rijksoverheid__87_Besluit-projectsubsidie-exploitatietekort-2024-Jachthuis-St-Hubertus.txt::Rechtshandeling</t>
  </si>
  <si>
    <t>verleen [525:533]</t>
  </si>
  <si>
    <t>verleen [525:532]</t>
  </si>
  <si>
    <t>[...] estuur, Bij brief van 17 juli 2023 (met kenmerk: 178460), hebt u een subsidieaanvraag ingediend voor exploitatietekort 2024 van Jachthuis St Hubertus. Met deze brief beslis ik op uw aanvraag. ## Besluit Hierbij verleen ik u een subsidie van ten hoogste € 172.583. De subsidie wordt verleend op grond van artikel 1, eerste lid, van het Besluit op het specifiek cultuurbeleid, en onder voorwaarde dat de begrotingswetgever voldoende middelen [...]</t>
  </si>
  <si>
    <t>Rijksoverheid__87_Besluit-projectsubsidie-exploitatietekort-2024-Jachthuis-St-Hubertus.txt::Rechtsobject</t>
  </si>
  <si>
    <t>subsidie [542:551]</t>
  </si>
  <si>
    <t>subsidie [542:550]</t>
  </si>
  <si>
    <t>&amp;gt; Retouradres: Postbus 93144, 2509 AC  Den Haag
Anywi Technology B.V.
T.a.v.
3e Binnenvestgracht 23h 2312 NR LEIDEN
## 2312NR23
Datum
30 juli 2024
Betreft
Besluit tot verlening subsidie voor het project 'ShapeFuture'
Geachte
Met genoegen deel ik u mee dat op 21 november 2023 de Public Authorities Board positief heeft besloten over financiering van het project 'ShapeFuture'. De Executive Director heeft vervolgens met het mandaat van de Public Authorities Board overeenstemming bereikt over de JU Grant Agreement.
Op grond van artikel 2, eerste lid onder b, van de Kaderwet EZK- en LNVsubsidies verleen ik subsidie voor de uitvoering van het Nederlandse aandeel in het project, zoals beschreven in de Annex 1 van de JU Grant Agreement. Deze annex maakt integraal onderdeel uit van deze beschikking. Het project wordt uitgevoerd in het kader van de Verordening (EU) 2021/2085 van de Raad van 19 november 2021 betreffende de oprichting van de "gemeenschappelijke ondernemingen onder Horizon Europe".
## Voor dit project geldt het volgende:
- -De subsidie is maximaal € 925.462.
- -De subsidiabele projectkosten voor de Nederlandse deelnemers zijn € 3.364.372. In bijlage 1 vindt u een overzicht van de projectkosten en een toelichting op eventuele correcties op de door u ingediende begroting.
- -Indien reeds door een bestuursorgaan of de Europese Commissie¹ subsidie is verstrekt voor de subsidiabele kosten of een deel daarvan, wordt slechts een zodanig bedrag aan subsidie verstrekt dat het totale bedrag aan subsidies niet meer bedraagt dan het bedrag dat kan worden verstrekt overeenkomstig de eligibility criteria.
- -Met betrekking tot de subsidiabele kosten zijn de artikelen 10 tot en met 14 van het Kaderbesluit nationale EZK- en LNV-subsidies, alsmede de artikelen 1.2, 1.4, 1.5 en 3.1.1 van de Regeling nationale EZK- en LNV-subsidies van overeenkomstige toepassing.
- -De projectkosten zijn subsidiabel vanaf 1 mei 2024, de startdatum van het project.
- -Het project moet uiterlijk op 30 april 2027 zijn uitgevoerd. Kosten die na deze datum worden gemaakt, komen niet meer voor subsidie in aanmerking.
- In het project 'ShapeFuture' werkt u binnen Nederland samen met de volgende partijen: Innatera Nanosystems B.V. en Technische Universiteit Delft. U treedt als penvoerder namens de Nederlandse deelnemers op. Uitbetaling van de subsidie vindt plaats aan de afzonderlijke deelnemers.
1  Anders dan de bijdrage van de Europese Commissie die via de KDT Joint Undertaking aan het project is toegekend.
&lt;!-- image --&gt;
## Rijksdienst voor Ondernemend Nederland
Rijksdienst voor Ondernemend Nederland
Prinses Beatrixlaan 2 2595 AL  Den Haag Postbus 93144 2509 AC  Den Haag www.rvo.nl
Contactpersoon
## Projectnaam
ShapeFuture
Referentienummer KDT242005
Ons kenmerk
ECSEL240F8NI4U
Bijlage(n)
3.
- -Voorschotten worden verstrekt overeenkomstig artikel 45 van het Kaderbesluit nationale EZK- en LNV-subsidies, met dien verstande dat in totaal maximaal 90% van het verleende subsidiebedrag als voorschot kan worden verstrekt. Het voorschot wordt elk kwartaal automatisch verstrekt gedurende de looptijd van het project. De voorschotten zullen in termijnen aan de deelnemers worden betaald.
- -In bijlage 3 treft u een overzicht van de verschillende voorschotten en betaaldata aan. De voorschotten zullen binnen twee weken na de betreffende voorschotdatum verstrekt worden. De voorschotten zullen worden overgemaakt op de bankrekeningnummers zoals genoemd in deze bijlage.
- -Wellicht ten overvloede wijs ik u erop dat al uw ingehuurd personeel opgevoerd moet worden onder de post 'Aan derden verschuldigde kosten'. Voor ingehuurd personeel geldt het tarief dat u daadwerkelijk betaald heeft aan de partij waar u personeel bij inhuurt. Er mag geen opslag voor algemene kosten berekend worden voor ingehuurd personeel.
Op deze subsidieverlening zijn van toepassing de 'Verplichtingen van de subsidieontvanger', die zijn opgenomen in de bij deze brief behorende bijlage 2, alsmede de eligibility criteria.
Voor de subsidievaststelling moet u na afloop van het project een verzoek indienen volgens verplichting 12 in de bijlage 2. Uw verzoek zal vervolgens binnen 13 weken na ontvangst worden afgehandeld.
De eligibility criteria, Kaderbesluit nationale EZK- en LNV-subsidies en Regeling nationale EZK- en LNV-subsidies zijn te vinden op de website: Key Digital Technologies Joint Undertaking (KDT JU) (rvo.nl)
## Europeesrechtelijke aspecten:
De subsidie mag niet leiden tot het verlenen van ongeoorloofde staatssteun in de zin van artikel 107 van het Verdrag betreffende de werking van de Europese Unie. Hierbij geldt dat staatssteun in beginsel verboden is. Een steunmaatregel kan echter verenigbaar zijn met de interne markt, indien deze valt binnen de juridische kaders van de Europese Commissie of door haar is goedgekeurd.
Op basis van het projectplan zie ik geen aanleiding om tot het oordeel te komen dat de verlening van subsidie voor de activiteiten van het project die worden uitgevoerd door de Technische Universiteit Delft en waarvan de subsidiabele kosten zijn opgenomen in Bijlage 1 (bij deze beschikking) leiden tot staatssteun, mits door deze onderzoeksorganisatie aan de volgende voorwaarden wordt voldaan:
· paragraaf 1.3, onderdeel ff (elementen waardoor deze onderzoeksorganisatie(s) een onderzoeksorganisatie zijn en blijven) en paragraaf 2.1.1 van de Kaderregeling betreffende staatssteun voor onderzoek, ontwikkeling en innovatie (PbEU C(2022) 7388) (hierna: Kaderregeling O&amp;amp;O&amp;amp;I) randnummers 19 tot en met 21 en randnummers 28 tot en met 30.
Op de subsidie bestemd voor de aan het project deelnemende bedrijven waarvan de subsidiabele kosten eveneens zijn opgenomen in de hiervoor genoemde Bijlage 1 is de Verordening (EU) nr. 651/2014 van de Commissie van 17 juni 2014 per deelnemende bedrijf van toepassing waarbij bepaalde categorieën steun op grond van de artikelen 107 en 108 van het Verdrag met de interne markt verenigbaar worden verklaard (de algemene groepsvrijstellingsverordening), PbEU 2014, L 187 (hierna: AGVV). Het betreft steun ten behoeve van industrieel onderzoek zoals bedoeld in artikel 25, tweede lid, onderdeel b, en experimentele ontwikkeling zoals bedoeld in artikel 25, tweede lid, onderdeel c, van de AGVV.
Artikel 25 van de algemene groepsvrijstellingsverordening verklaart steun voor onderzoeks- en ontwikkelingsprojecten verenigbaar met de interne markt en vrijgesteld van de voorgenoemde aanmeldingsverplichting uit artikel 108, derde lid , VWEU, mits wordt voldaan aan de voorwaarden van het desbetreffende artikel, alsmede aan de voorwaarden uit het hoofdstuk I van Verordening (EU) nr. 651/2014.
Ingevolge artikel 11 van de AGVV wordt deze beschikking (volledige tekst) op het internet bekend gemaakt en wordt deze beschikking aan de Europese Commissie kennisgegeven.
Binnen zes maanden na de datum van deze beschikking maak ik, om te voldoen aan de verplichting zoals opgenomen in artikel 9 van Verordening (EU) nr. 651/2014, de gegevens, bedoeld bijlage III van Verordening (EU) nr. 651/2014, bekend op een website van de Europese Commissie (https://webgate.ec.europa.eu/competition/transparency/public?lang=nl). De gegevens blijven voor ten minste tien jaar openbaar beschikbaar.
De hiervoor genoemde voorwaarden heb ik ook als verplichtingen toegevoegd aan deze beschikking.
Het subsidiebedrag zal ten hoogste het percentage van de subsidiabele kosten bedragen zoals per deelnemer aangegeven in de begroting (bijlage 1), met dien verstande dat, indien ter zake van de subsidiabele kosten of een deel daarvan reeds uit anderen hoofde vanwege een bestuursorgaan of de Europese Commissie een subsidie is verstrekt, slechts een zodanig bedrag aan subsidie aan de aan het project deelnemende bedrijven wordt verstrekt, dat het totale bedrag aan subsidies niet meer bedraagt dan de steunintensiteiten vermeld in artikel 25, leden 5 en 6 van de AGVV, van de totale in aanmerking komende kosten over de periode waarvoor subsidie is verleend. Hierbij wordt tevens artikel 8, tweede lid, van de AGVV in acht genomen.
Uw aanvraag is bij Rijksdienst voor Ondernemend Nederland bekend onder referentienummer KDT242005. Ik verzoek u dit nummer te vermelden bij verdere correspondentie. Uw contactpersoon voor het project is Als u het niet eens bent met deze beslissing, kunt u binnen zes weken na verzending van deze brief schriftelijk een bezwaarschrift indienen. De datum bovenaan deze brief is de verzenddatum. U stuurt het ondertekende bezwaarschrift naar de Rijksdienst voor Ondernemend Nederland, afdeling Juridische Zaken, Postbus 40219, 8004 DE Zwolle.
Vermeld in uw bezwaarschrift in ieder geval onze referentie, het briefkenmerk en de datum van de beslissing waartegen u bezwaar maakt. U vindt onze referentie en het briefkenmerk in de rechter kantlijn van deze brief.
Ten slotte wens ik u veel succes met de uitvoering van het project.
De Minister van Economische Zaken, namens deze:
Barry Velders Afdelingsmanager Project en Organisatie Financiering
## Bijlage 1: Begroting per deelnemer
## Projectnummer: KDT242005
Op basis van de door u ingediende begroting en het bepaalde in artikel 4 van het Besluit zijn de subsidiabele kosten als volgt vastgesteld:
| Naam organisatie                                                   |     | Anywi Technology B.V. Onderzoek en ontwikkeling   | Innatera Nanosystems B.V. Onderzoek en ontwikkeling   | Technische Universiteit Delft Onderzoek en ontwikkeling   | Totaal Onderzoek en ontwikkeling   |
|--------------------------------------------------------------------|-----|---------------------------------------------------|-------------------------------------------------------|-----------------------------------------------------------|------------------------------------|
| 1. Loonkosten                                                      |     |                                                   |                                                       |                                                           |                                    |
| Loonkosten direct personeel                                        | EUR | 604.880                                           | 485.040                                               | 1.636.992                                                 | 2.726.912                          |
| Kosten van arbeid, anders dan loonkosten                           | EUR | 0                                                 | 0                                                     | 0                                                         | 0                                  |
| Totaal                                                             | EUR | 604.880                                           | 485.040                                               | 1.636.992                                                 | 2.726.912                          |
| 2. Opslag voor algemene kosten: 50% van de onder 1 genoemde kosten | EUR | 302.440                                           | 242.520                                               | 0                                                         | 544.960                            |
| 3. Kosten van machines en apparatuur:                              |     |                                                   |                                                       |                                                           |                                    |
| Uitsluitend voor het project aangeschaft                           | EUR | 0                                                 | 0                                                     | 0                                                         | 0                                  |
| Niet uitsluitend voor het project aangescha                        | EUR | 0                                                 | 0                                                     | 0                                                         | 0                                  |
| Totaal                                                             | EUR | 0                                                 | 0                                                     | 0                                                         | 0                                  |
| 4. Kosten van verbruikte materialen en hulpmiddele EUR             |     | 15.000                                            | 10.000                                                | 15.000                                                    | 40.000                             |
| 5. Aan derden verschuldigde kosten                                 | EUR | 20.000                                            | 7.500                                                 | 25.000                                                    | 52.500                             |
| Totale projectkosten                                               | EUR | 942.320                                           | 745.060                                               | 1.676.992                                                 | 3.364.372                          |
| Subsidiepercentage                                                 |     | 30%                                               | 30%                                                   | 25%                                                       |                                    |
| Totaal toegekende subsidie                                         | EUR | 282.696                                           | 223.518                                               | 419.248                                                   | 925.462                            |
## Bijlage 2: Verplichtingen van de subsidie ontvanger
1. U dient (uw deel van) het project volledig uit te voeren overeenkomstig Annex 1 van de JU Grant Agreement van het project en binnen de daarin voorziene tijdsduur. Wijzigingen van Annex 1 van de JU Grant Agreement en de begroting en daarmee van het project, dienen tot stand te komen in overleg met de Joint Undertaking en de Rijksdienst voor Ondernemend Nederland. De door de Joint Undertaking verleende toestemming geldt dan eveneens als mijn toestemming voor afwijking van deze beschikking. Aan de toestemming kunnen nadere voorschriften worden verbonden. Op de subsidieverlening zijn tevens de artikelen 38, 40 en 41 van het Kaderbesluit nationale EZK- en LNVsubsidies van overeenkomstige toepassing.
2. De subsidieontvanger meldt aan Rijksdienst voor Ondernemend Nederland indien de subsidiabele kosten in een kalenderjaar meer dan 25% afwijken van de begroting. Dit geldt in ieder geval voor:
- verschuivingen tussen kostenposten (zoals tussen loonkosten en materiaalkosten);
- verschuivingen tussen verschillende deelnemers.
3. U dient het onderzoeksproject in Nederland uit te voeren, tenzij ik voorafgaande schriftelijke toestemming heb gegeven voor gedeeltelijke uitvoering buiten Nederland.
4. De Technische Universiteit Delft dient - ingevolge van paragraaf 2.1.1 van de Kaderregeling O&amp;amp;O&amp;amp;I - in haar administratie een onderscheid te maken naar economische en niet-economische activiteiten, evenals naar de kosten, de financiering en de inkomsten van deze activiteiten. Economische en niet economische activiteiten en het gebruik van de onderzoekinfrastructuur voor economische en niet-economische activiteiten en de kosten en financiering en inkomsten ervan dienen duidelijk te worden onderscheiden. Een correcte toerekening van de kosten, financiering en inkomsten dient te worden aangetoond met een controleverklaring, die bij het verzoek om vaststelling van de subsidie moet worden meegezonden.
5. De Technische Universiteit Delft dient paragraaf 1.3 onder ff (elementen waardoor u een onderzoeksorganisatie bent in het kader van de Kaderregeling O&amp;amp;O&amp;amp;I) in acht te nemen. Deze staan vermeld in paragraaf 1.3 onder ff: 'organisatie voor onderzoek en kennisverspreiding' of 'onderzoeksorganisatie': een entiteit (zoals universiteiten of onderzoeksinstellingen, agentschappen voor technologieoverdracht, innovatieintermediairs, entiteiten voor fysieke of virtuele onderzoeksgerichte samenwerking), ongeacht haar rechtsvorm (publiek- of privaatrechtelijke organisatie) of financieringswijze, die zich in hoofdzaak bezighoudt met het
onafhankelijk verrichten van fundamenteel onderzoek, industrieel onderzoek of experimentele ontwikkeling, of met het breed verspreiden van de resultaten van die activiteiten door middel van onderwijs, publicaties of kennisoverdracht. Wanneer dit soort entiteit ook economische activiteiten uitoefent, moet met betrekking tot de financiering van, de kosten van en de inkomsten uit die economische activiteiten een gescheiden boekhouding worden gevoerd. Ondernemingen die een beslissende invloed op dit soort entiteit kunnen uitoefenen in hun hoedanigheid van bijvoorbeeld aandeelhouder of lid van de organisatie, mogen geen preferente toegang tot de door deze entiteit verkregen onderzoeksresultaten genieten. U dient paragraaf 2.2.2 (voorwaarden die gelden bij de samenwerking tussen onderzoeksorganisaties en ondernemingen) in acht te nemen. Deze voorwaarden worden vermeld onder de randnummers 28 tot en met 30 van de Kaderregeling O&amp;amp;O&amp;amp;I.
6. U voert het project uit in overeenstemming met de verplichtingen, opgenomen in artikel 25 van de algemene groepsvrijstellingsverordening.
7. a. U dient zorg te dragen voor een verantwoord gebruik van de uit het innovatieproject voortvloeiende resultaten, waaronder het intellectuele eigendom, dat is voortgevloeid uit het innovatieproject, evenals voor de exploitatie van deze resultaten overeenkomstig de subsidieaanvraag. Voorts dient u te zorgen voor de bescherming van octrooieerbare kennis.
- b.  Indien kennis en andere resultaten door één van de subsidieontvangers aan derden worden overgedragen, dan vindt dit plaats op basis van marktconforme voorwaarden.
- c.  U dient mij voorafgaand over een transactie in zin van het lid b. te informeren.
8. U doet mij onverwijld schriftelijk mededeling van de indiening bij de rechtbank van een verzoek tot het op u van toepassing verklaren van de schuldsaneringsregeling natuurlijke personen, tot verlening van surseance van betaling aan of tot faillietverklaring van één van de leden van het samenwerkingsverband.
9. U dient een administratie te voeren die zodanig is ingericht dat daaruit te allen tijde op eenvoudige en duidelijke wijze alle rechtstreeks aan het onderzoeksproject toe te rekenen kosten kunnen worden afgelezen. U dient een tijdverantwoording bij te houden van alle bij de onderzoeksprojecten betrokken personen.
10. U dient mij een maal per jaar, schriftelijk verslag uit te brengen over de voortgang van het project. In dit verslag dient duidelijk financieel inzicht te worden gegeven in de voortgang van het project in vergelijking met de voorziene tijdsduur en kosten zoals opgenomen in Annex 1 van de JU Grant Agreement.
11. U bent verplicht, op verzoek van de Minister, inlichtingen te verschaffen omtrent de voortgang of resultaten van het project. Tevens bent u verplicht, op verzoek van de Minister, uw medewerking te verlenen aan een evaluatie van het beleid op grond waarvan deze subsidie is verstrekt.
12. Uiterlijk binnen 13 weken na de in de subsidieverlening genoemde einddatum dient u bij mij een schriftelijk verzoek om subsidievaststelling in. Een formulier wordt via de website ter beschikking gesteld. Dit verzoek dient vergezeld te gaan van:
- a.  Een eindrapportage met de resultaten van het project voor de Nederlandse deelnemers;
- b.  Een gespecificeerde opgave van alle rechtstreeks aan uw gedeelte van het project toe te rekenen werkelijk gemaakte en betaalde kosten, opgesteld conform de in bijlage 1 vermelde begroting;
- c.  Een controleverklaring conform BIJLAGE 1.3, BEHORENDE BIJ ARTIKEL 1.5 VAN DE REGELING NATIONALE EZK- EN LNV-SUBSIDIES;
- d.  Indien er gebruikt wordt gemaakt van integrale kosten systematiek, zoals bedoeld in artikel 12 van het Kaderbesluit nationale EZK- en LNVsubsidies, een rapport van feitelijke bevindingen conform BIJLAGE 1.1, BEHORENDE BIJ ARTIKEL 1.2, EERSTE LID, VAN DE REGELING NATIONALE EZK- EN LNV-SUBSIDIES.
Bijlage 3: Overzicht bevoorschotting
| Naam                 |         | Anywi Technology B.V.   | Innatera Nanosystems B.V.   | Technische Universiteit Delft   |
|----------------------|---------|-------------------------|-----------------------------|---------------------------------|
| Betaaldatum          |         |                         |                             |                                 |
| 1-8-2024             | EUR     | 35.370                  | 27.966                      | 52.455                          |
| 1-10-2024            | EUR     | 19.914                  | 15.745                      | 29.533                          |
| 1-1-2025             | EUR     | 19.914                  | 15.745                      | 29.533                          |
| 1-4-2025             | EUR     | 19.914                  | 15.745                      | 29.533                          |
| 1-7-2025             | EUR     | 19.914                  | 15.745                      | 29.533                          |
| 1-10-2025            | EUR     | 19.914                  | 15.745                      | 29.533                          |
| 1-1-2026             | EUR     | 19.914                  | 15.745                      | 29.533                          |
| 1-4-2026             | EUR     | 19.914                  | 15.745                      | 29.533                          |
| 1-7-2026 1-10-2026   | EUR EUR | 19.914 19.914           | 15.745 15.745               | 29.533 29.533                   |
|                      | EUR     | 19.914                  | 15.745                      | 29.533                          |
| 1-1-2027 1-4-2027    | EUR     | 19.916                  | 15.750                      | 29.538                          |
| Totaal per deelnemer |         | 254.426                 | 201.166                     | 377.323                         |</t>
  </si>
  <si>
    <t>[...] ief van 17 juli 2023 (met kenmerk: 178460), hebt u een subsidieaanvraag ingediend voor exploitatietekort 2024 van Jachthuis St Hubertus. Met deze brief beslis ik op uw aanvraag. ## Besluit Hierbij verleen ik u een subsidie van ten hoogste € 172.583. De subsidie wordt verleend op grond van artikel 1, eerste lid, van het Besluit op het specifiek cultuurbeleid, en onder voorwaarde dat de begrotingswetgever voldoende middelen ter beschikking s [...]</t>
  </si>
  <si>
    <t>Rijksoverheid__96_Besluit-op-subsidieverzoek-“Innovatieplatform-Akkerbouw-2024-2027”.txt::Ontvanger</t>
  </si>
  <si>
    <t>Rijksoverheid__96_Besluit-op-subsidieverzoek-“Innovatieplatform-Akkerbouw-2024-2027”.txt</t>
  </si>
  <si>
    <t>BO Akkerbouw</t>
  </si>
  <si>
    <t>bo akkerbouw</t>
  </si>
  <si>
    <t>BO Akkerbouw [99:111]</t>
  </si>
  <si>
    <t>&amp;gt; Retouradres Postbus 20401 2500 EK Den Haag &amp;gt; Retouradres Postbus 20401 2500 EK Den Haag BO Akkerbouw Datum - 0 6 DEC. 2023 Betreft Innovatieplatform Akkerbouw 2024-2027. Verplichtingnummer: Geachte ' ## 1. Aanvraag Op 26 april 2023 ontving ik per e-mail uw brief van 26 april 2023, kenmerk AH.B.23.0 [...]</t>
  </si>
  <si>
    <t>Rijksoverheid__96_Besluit-op-subsidieverzoek-“Innovatieplatform-Akkerbouw-2024-2027”.txt::Besluitvormend Orgaan</t>
  </si>
  <si>
    <t>De Minister van Landbouw, Natuur en Voedselkwaliteit</t>
  </si>
  <si>
    <t>de minister van landbouw, natuur en voedselkwaliteit</t>
  </si>
  <si>
    <t>De Minister van Landbouw, Natuur en Voedselkwaliteit [16918:16970]</t>
  </si>
  <si>
    <t>[...] tot deze subsidie dient u, met vermelding van verplichtingnummer te zenden naar: Ministerie van Landbouw, Natuur en Voedselkwaliteit Directie Strategie, Kennis en Innovatie t.a.v. Postbus 20401 2500 EK Den Haag De Minister van Landbouw, Natuur en Voedselkwaliteit, namens Ino B. Ostendorf, Waarnemend directeur Strategie, Kennis en Innovatie Als u het niet eens bent met deze beslissing kunt u binnen zes weken na verzending van deze brief een bezwaarschrift indienen. Stuur [...]</t>
  </si>
  <si>
    <t>Rijksoverheid__96_Besluit-op-subsidieverzoek-“Innovatieplatform-Akkerbouw-2024-2027”.txt::Rechtshandeling</t>
  </si>
  <si>
    <t>verleen [6073:6081]</t>
  </si>
  <si>
    <t>verleen [6073:6080]</t>
  </si>
  <si>
    <t>&amp;gt;Retouradres Postbus 16375 2500 BJ Den Haag
Boekmanstichting Herengracht 415 1017 BP AMSTERDAM Boekmanstichting t.a.v.
Datum  	20 februari 2024
Betreft  	Verlening projectsubsidie Versterken onderzoekscapaciteit in 2024
## Geachte heer
Bij brief van 8 december 2023, hebt u een subsidieaanvraag ingediend voor Versterken onderzoekscapaciteit in 2024. Met deze brief beslis ik op uw aanvraag.
## Besluit
Hierbij verleen ik u een subsidie van ten hoogste € 125.000.
De subsidie wordt verleend op grond van artikel 1, eerste lid, van het Besluit op het specifiek cultuurbeleid, en onder voorwaarde dat de begrotingswetgever voldoende middelen ter beschikking stelt.
De subsidie is bestemd voor de activiteiten, zoals vermeld in uw aanvraag en zoals voorzien in de begroting.
Het bedrag waarop de subsidie na het tijdvak waarvoor zij wordt verleend, wordt vastgesteld, is afhankelijk van de daadwerkelijk gerealiseerde kosten. Een eventueel verschil tussen de gerealiseerde kosten en het ten hoogste verleende bedrag wordt in mindering gebracht bij de vaststelling en zal worden teruggevorderd. Bij eventuele co-financiering kan er naar rato worden teruggevorderd.
De activiteiten waarvoor subsidie wordt verleend, moeten uiterlijk zijn verricht op 31 december 2024.
## Motivering bij het besluit
In de uitgangspuntenbrief Cultuursubsidies 2025-2028 geeft de staatssecretaris aan dat de sector grate behoefte heeft aan deskundige ondersteuning op het gebied van onderzoek en ontsluiting van data, mede tegen het licht van een alsmaar groeiend belang van data gedreven en op feiten gebaseerd beleid. Dit was ook een van de adviezen voortkomend uit de Evaluatie van de coronasteun cultuur. Het subsidieplafond van functie onderzoek en statistiek wordt daarom met ingang van 2025 verhoogd met € 250.000.
Uit het door u geinitieerde onderzoek 'Ongelijk getroffen, ongelijk gesteund' is eveneens gebleken, dat de informatiepositie van de sector verbetering behoeft. Het is goed om te vernemen dat de Boekmanstichting hierin de regisserende rol wil oppakken en op deze manier de onderzoeksactiviteiten te versterken. Deze subsidie is bedoeld om al dit jaar te kunnen beginnen met de versterking van uw onderzoeksprogramma, in aanloop naar de structurele verhoging van uw budget vanaf 2025.
&lt;!-- image --&gt;
## Media en Creatieve Industrie
Rijnstraat 50 Den Haag Postbus 16375 2500 BJ Den Haag
www.rijksoverheid.n1
Contactpersoon
## Onze referentie
B: 43706393 Z: 1487607 VP: 560177923
## Uw brief van
08 december 2023
Als u belang hebt bij dit besluit, dan kunt u hiertegen binnen 6 weken, gerekend vanaf de verzenddatum, bezwaar maken. Stuur uw bezwaarschrift naar DUO, Postbus 30205, 2500 GE Den Haag. U kunt uw bezwaar ook digitaal indienen op
## Waar moet u aan voldoen?
U moet in ieder geval voldoen aan de voorschriften die in deze beschikking zijn opgenomen. Er staan ook verplichtingen in de wet- en regelgeving die van toepassing zijn op de subsidie.
## Wet- en regelqevinq
- -De volgende regelgeving is in ieder geval van toepassing op de subsidie:
- -Wet op het specifiek cultuurbeleid, Besluit op het specifiek cultuurbeleid en Regeling op het specifiek cultuurbeleid;
- -Algemene wet bestuursrecht, in het bijzonder titel 4.2;
- -Wet bestuurlijke boete bijzondere meldingsplichten door ministers verstrekte subsidies.
Overigens attendeer ik u ook op de Wet normering bezoldiging topfunctionarissen publieke en semipublieke sector en op de (Europese) aanbestedings- en staatssteunregelgeving die van toepassing kunnen zijn.
De regelgeving kunt u raadplegen via www.wetten.overheid.nl.
## Meldingsplicht
Een van de verplichtingen betreft de meldingsplicht. U moet direct melding doen van feiten en omstandigheden die van belang kunnen zijn voor de subsidie. Daarvan is in ieder geval sprake als voor u aannemelijk is dat de activiteiten waarvoor de subsidie is verleend, niet, niet tijdig of niet geheel zullen worden verricht, of als niet, niet tijdig of niet geheel aan de aan de subsidie verbonden verplichtingen zal worden voldaan.
Uw melding kunt u, bij voorkeur bij brief, doen bij uw contactpersoon. Ook als u twijfelt of u iets moet melden, verzoek ik u contact op te nemen met uw contactpersoon.
Met het oog op het tegengaan van misbruik van subsidie, wijs ik u erop dat er een misbruikregister wordt bijgehouden.
## Beleidsonderzoek
U werkt mee aan een door of namens mij ingesteld onderzoek dat erop gericht is inlichtingen te verschaffen voor de ontwikkeling van beleid.
## Verantwoording
Om de subsidie vast te kunnen stellen, dient u een activiteitenverslag of een bestuursverslag en een financieel verslag of jaarrekening in. Aan de hand van deze verantwoording toont u aan dat de activiteiten waarvoor subsidie is verleend, zijn verricht en dat is voldaan aan de aan de subsidie verbonden verplichtingen. Met het financieel verslag of de jaarrekening geeft u inzicht in de besteding.
Een activiteitenverslag beschrijft de aard, duur en omvang van de activiteiten waarvoor subsidie is verleend. De inrichting van het verslag komt overeen met de inrichting van het activiteitenplan.
Het verslag bevat, voor zover van toepassing, een analyse van verschillen tussen de voorgenomen activiteiten en beoogde resultaten, vermeld in het activiteitenplan, en de feitelijke realisatie.
43706393
Een financieel verslag of een jaarrekening gaat vergezeld van een verkiaring omtrent de getrouwheid en de rechtmatigheid, afgegeven door een accountant. U bedingt bij de accountant dat deze zijn onderzoek inricht overeenkomstig het controleprotocol dat is opgenomen in de bijlage van het Handboek Verantwoording Cultuursubsidies Instellingen 2021-2024 dat op de website www.cultuursubsidie.nl   is gepubliceerd. Een financieel verslag of een jaarrekening gaat vergezeld van een verklaring
Het activiteitenversiag en het financieel verslag zendt u binnen dertien weken na de datum waarop de activiteiten uiterlijk moeten zijn verricht aan: Ministerie van Onderwijs, Cultuur en Wetenschap, Directie Media en Creatieve Industrie, Postbus 16375, 2500 BJ Den Haag.
Dit betekent dat beide verslagen uiterlijk op 1 april 2025 moeten zijn ingediend.
Naast deze subsidie is aan u een vierjaarlijkse instellingssubsidie op grond van de Wet op het specifiek cultuurbeleid verleend (hierna: BIS-subsidie). U kunt er daarom ook voor kiezen om de verantwoording van de subsidie niet afzonderlijk in te dienen zoals hierboven is beschreven, maar deze onderdeel uit te laten maken van de jaarverantwoording die u in moet dienen in het kader van de BISsubsidie. Voorwaarde is wel dat de verantwoording van de subsidie daarin voldoende inzichtelijk is. Als u van deze mogelijkheid gebruik wilt maken, dient u de subsidie te verantwoorden in de jaarverantwoording 2024. In de jaarverantwoording 2024 geeft u een verslag van de stand van zaken.
## Wanneer wordt de subsidie vastgesteld?
Tenzij u hierover een ander bericht ontvangt, stel ik de subsidie vast binnen 22 weken na ontvangst van de gevraagde verantwoordingsinformatie. De vaststelling zal plaatsvinden in een afzonderlijke beschikking.
## Wat als u zich niet aan de voorschriften houdt?
Het niet voldoen aan de aan de subsidie verbonden verplichtingen of niet geheel uitvoeren van de activiteiten kan tot gevoig hebben dat ik de subsidie geheel of gedeeltelijk terugvorder.
Voor het niet voldoen aan de meldingsplicht op grond van de Wet bestuurlijke boete meldingsplichten door ministers verstrekte subsidies kan ik een bestuurlijke boete opleggen.
## Informatieplicht OCW
## Algemene Groepsvrijstellingsverordening
Op basis van uw aanvraag kom ik tot het oordeel dat de subsidie verstrekt kan worden met inachtneming van verordening (EU) nr. 651/2014 van de Commissie van 17 juni 2014 waarbij bepaalde categorieen op grond van de artikelen 107 en 108 van het Verdrag met de interne markt verenigbaar worden verklaard (Pb EU, L 187/1, ook wel Algemene Groepsvrijstellingsverordening genoemd, hierna: AGVV)
Naar mijn oordeel is artikel 53 van toepassing. Dit artikel verklaart steun voor cultuur en instandhouding erfgoed verenigbaar met de interne markt en vrijgesteld van de aanmeldingsverplichting uit artikel 108, derde lid, VWEU, mits wordt voldaan aan de voorwaarden uit lid 1 tot en met lid 8 van het desbetreffende artikel, alsmede aan de voorwaarden uit hoofdstuk I van de AGVV.
43706393
## Kennisgeving en publicatie Kennisgeving en publicatie
Ik ben verplicht om subsidies die worden verstrekt in het kader van de genoemde verordening tijdig kennis te geven aan de Europese Commissie. Op grond van artikel 53 AGVV in samenhang met artikel 11 AGVV wordt onderhavige subsidieverlening dan ook kennisgegeven bij de Europese Commissie. Tevens wordt ingevolge artikel 9 van de AGVV de volledige tekst van deze beschikking bekend gemaakt op de website van de Rijksoverheid.
## Bewaartermijn en monitoring
Op grond van artikel 12 AGVV kan de Europese Commissie tot 10 jaar na de steunverlening stukken daarover opvragen. Het is daarom van belang dat u alle documenten met betrekking tot de subsidie ten minste 10 jaar bewaart. Daarnaast dient er een goede dossiervorming plaats te vinden voor een eventueel tussentijds onderzoek (monitoring) door de Europese Commissie. Indien de Europese Commissie de steun alsnog als ongeoorloofd aanmerkt, kan de steun teruggevorderd worden.
## Wanneer ontvangt u de subsidie?
U ontvangt een voorschot van 100 procent van het subsidiebedrag. U ontvangt binnen twee weken na dagtekening van deze brief een voorschot van € 31.250. Vervolgens ontvangt u in de maanden april, juli en oktober 2024 eveneens een voorschot van telkens € 31.250.
De voorschotten worden aan u overgemaakt op vermelding van 43706393.
## Heeft u vragen?
Voor vragen over deze beschikking kunt u contact opnemen met uw contactpersoon bereikbaar via telefoon en email
Ik wens u veel succes met de uitvoering van de activiteiten.
Met vriendelijke groet,
de staatssecretaris van Onderwijs, Cultuur en Wetenschap, namens deze, de directeur Media en Creatieve Industrie, onder
43706393</t>
  </si>
  <si>
    <t>[...] u aan de relevante documenten met betrekking tot deze subsidie gedurende deze periode te bewaren. ## 2. Besluit In het kader van mijn beleid gericht op het oplossen van duurzaamheidsopgaven van de primaire sector verleen ik u hierbij, op grond van artikel 2a, eerste lid, onderdeel c, van de Kaderwet EZK- en LNV-subsidies, subsidie voor de uitvoering van het programma "Innovatieplatform Akkerbouw 2024-2027", waarvoor u subsidie hebt aange [...]</t>
  </si>
  <si>
    <t>Rijksoverheid__96_Besluit-op-subsidieverzoek-“Innovatieplatform-Akkerbouw-2024-2027”.txt::Rechtsobject</t>
  </si>
  <si>
    <t>subsidie [6184:6193]</t>
  </si>
  <si>
    <t>subsidie [6184:6192]</t>
  </si>
  <si>
    <t>&amp;gt;Retouradres Postbus 16375 2500 BJ Den Haag
## Nederlands Instituut voor Beeld en Geluid
Postbus 1060 1200 BB  HILVERSUM
Datum
8 februari 2024
Betreft
Wijziging verlening projectsubsidie 'Versnellen en verbreden gebruik netwerkvoorzieningen Netwerk Digitaal Erfgoed'
Geachte heer
,
Bij brief van 11 april 2023, ontvangen op 11 april 2023, heeft u een subsidieaanvraag ingediend voor het versnellen en verbreden van het gebruik van de netwerkvoorzieningen van het Netwerk Digitaal Erfgoed. Bij brief van 24 mei 2023, met kenmerk 38289120, heb ik aan u een subsidie verleend van ten hoogste € 1.000.000. Met uw brief van 16 november 2023, met kenmerk 23.034/rva, heeft u mij verzocht om wijziging van zowel de termijn als de hoogte van de subsidie. Bij brief van 11 december 2023, met kenmerk 42895169, heb ik de termijn van de subsidiebeschikking gewijzigd naar 31 december 2025. Met deze brief informeer ik u over mijn besluit over uw verzoek tot ophoging.
U vroeg mij om de hoogte van het verleende subsidiebedrag te wijzigen in € 3.000.000.
## Besluit
Ik ga akkoord met uw verzoek. Hiermee wijzig ik de volgende punten van mijn beschikking: de verleende subsidie bedraagt € 3.000.000.
De voorschotten worden als volgt beschikbaar gesteld:
Voor het jaar 2024 geldt dat u binnen twee weken na dagtekening een voorschot ontvangt van € 250.000. In de maanden april, juli en oktober 2024 ontvangt u eveneens een voorschot van € 250.000.
In het jaar 2025 ontvangt u in de maanden januari, april, juli en oktober elk een voorschot van € 250.000.
De voorwaarden en verplichtingen in mijn oorspronkelijke beschikking blijven onverkort van kracht, met uitzondering van de onderdelen die ik met deze beschikking expliciet wijzig.
Voor de grondslag van deze beschikking en de toepasselijke regelgeving verwijs ik naar mijn beschikking van 24 mei 2023, met kenmerk 38289120.
## Ministerie van Onderwijs, Cultuur en Wetenschap
## Media en Creatieve Industrie
Rijnstraat 50 Den Haag Postbus 16375 2500 BJ Den Haag www.rijksoverheid.nl
Contactpersoon
## Onze referentie
B: 43704401 Z: 1391859
VP: 560157978
## Uw referentie
23.034/rva
Als u belang hebt bij dit besluit, dan kunt u hiertegen binnen 6 weken, gerekend vanaf de verzenddatum, bezwaar maken. Stuur uw bezwaarschrift naar DUO, Postbus 30205, 2500 GE Den Haag. U kunt uw bezwaar ook digitaal indienen op www.bezwaarschriftenocw.nl .
&lt;!-- image --&gt;</t>
  </si>
  <si>
    <t>[...] luit In het kader van mijn beleid gericht op het oplossen van duurzaamheidsopgaven van de primaire sector verleen ik u hierbij, op grond van artikel 2a, eerste lid, onderdeel c, van de Kaderwet EZK- en LNV-subsidies, subsidie voor de uitvoering van het programma "Innovatieplatform Akkerbouw 2024-2027", waarvoor u subsidie hebt aangevraagd. ## 2.1 Periode De activiteiten dienen te worden uitgevoerd in de periode van 1 januari 2024 tot en [...]</t>
  </si>
  <si>
    <t>Rijksoverheid__97_Subsidieverlening-Energiebesparing-ronde-2.txt::Ontvanger</t>
  </si>
  <si>
    <t>Rijksoverheid__97_Subsidieverlening-Energiebesparing-ronde-2.txt</t>
  </si>
  <si>
    <t>Stichting Green Business Club Nederland</t>
  </si>
  <si>
    <t>stichting green business club nederland</t>
  </si>
  <si>
    <t>Stichting Green Business Club Nederland [52:91]</t>
  </si>
  <si>
    <t>&amp;gt; Retouradres Postbus 20011 2500EA Den Haag Stichting Green Business Club Nederland T.a.v. De Boelelaan 1105 1081 HV Amsterdam Datum Referentienummer Betreft 5 december 2023 2023-84365 Subsidieverlening Energiebesparing ronde 2 Geachte mevrouw, Onder verwijzing naar uw subsidieaanvraag van [...]</t>
  </si>
  <si>
    <t>Rijksoverheid__97_Subsidieverlening-Energiebesparing-ronde-2.txt::Besluitvormend Orgaan</t>
  </si>
  <si>
    <t>De Minister van Binnenlandse Zaken en Koninkrijksrelaties</t>
  </si>
  <si>
    <t>de minister van binnenlandse zaken en koninkrijksrelaties</t>
  </si>
  <si>
    <t>De Minister van Binnenlandse Zaken en Koninkrijksrelaties [8240:8297]</t>
  </si>
  <si>
    <t>[...] Datum 5 december 2023 ## Kenmerk 2023-0000689150 Ik vertrouw erop u hiermee voldoende te hebben geïnformeerd. Mocht u nog vragen hebben, neemt u dan contact op met . ## Hoogachtend, De Minister van Binnenlandse Zaken en Koninkrijksrelaties, namens deze, F.G. Licher ## Directeur Bouwen en Energie Belanghebbenden kunnen binnen zes weken na bekendmaking van dit besluit daartegen per brief bezwaar maken bij de Minister van Binnenlandse Zaken en Koni [...]</t>
  </si>
  <si>
    <t>Rijksoverheid__97_Subsidieverlening-Energiebesparing-ronde-2.txt::Rechtshandeling</t>
  </si>
  <si>
    <t>&amp;gt;Retouradres Postbus 16375 2500 BJ Den Haag
Stichting Het Nationale Park de Hoge Veluwe
T.a.v. xxxxxxxxxxxxxxxxxxxxxxxxxxx
Apeldoornseweg 250
7351 TA  HOENDERLOO
Datum
19 december 2023
Betreft
Verlening projectsubsidie exploitatietekort 2024 Jachthuis St Hubertus
## Geacht bestuur,
Bij brief van 17 juli 2023 (met kenmerk: 178460), hebt u een subsidieaanvraag ingediend voor exploitatietekort 2024 van Jachthuis St Hubertus. Met deze brief beslis ik op uw aanvraag.
## Besluit
Hierbij verleen ik u een subsidie van ten hoogste € 172.583. De subsidie wordt verleend op grond van artikel 1, eerste lid, van het Besluit op het specifiek cultuurbeleid, en onder voorwaarde dat de begrotingswetgever voldoende middelen ter beschikking stelt.
Dit bedrag is lager dan het door u aangevraagde bedrag. De door u berekende indexering van €10.528 (6,1 procent) wordt niet toegekend.
De subsidie is bestemd voor de activiteiten, zoals vermeld in het activiteitenplan en zoals voorzien in de begroting. Het bedrag waarop de subsidie na het tijdvak waarvoor zij wordt verleend, wordt vastgesteld, is afhankelijk van de daadwerkelijk gerealiseerde kosten. Een eventueel verschil tussen de gerealiseerde kosten en het ten hoogste verleende bedrag wordt in mindering gebracht bij de vaststelling en zal worden teruggevorderd. Bij eventuele cofinanciering kan er naar rato worden teruggevorderd. De activiteiten waarvoor subsidie wordt verleend, moeten uiterlijk zijn verricht op 31 december 2024.
## Motivering bij het besluit
In de erfpachtovereenkomst gesloten tussen uw stichting en de Staat is bepaald dat uw stichting is belast met de exploitatie van het jachtslot, met dien verstande, dat de Staat zich sterk maakt voor dekking van het exploitatietekort, echter uitsluitend voor zover de wetgever daartoe de middelen beschikbaar stelt. Met de aanvraag van 17 juli 2023 heeft u aangegeven voor het jaar 2024 een exploitatietekort te verwachten. Middels deze projectsubsidie voldoe ik aan voorgaande bepaling in de erfpachtovereenkomst.
De door u berekende indexering van €10.528 (6,1 procent) wordt niet toegekend. Hoewel ik uw verzoek begrijp, wil ik aansluiten bij het reguliere proces voor
## Ministerie van Onderwijs, Cultuur en Wetenschap
## Erfgoed en Kunsten
Rijnstraat 50 Den Haag Postbus 16375 2500 BJ Den Haag www.rijksoverheid.nl
&lt;!-- image --&gt;
Uw brief van
17 juli 2023
Uw referentie
178460
Als u belang hebt bij dit besluit, dan kunt u hiertegen binnen 6 weken, gerekend vanaf de verzenddatum, bezwaar maken. Stuur uw bezwaarschrift naar DUO, Postbus 30205, 2500 GE Den Haag. U kunt uw bezwaar ook digitaal indienen op www.bezwaarschriftenocw.nl.
indexering, dat geldt voor structureel door het Ministerie van OCW gesubsidieerde instellingen. Deze instellingen ontvangen een loon- en prijsbijstelling gedurende het jaar, indien daar middelen voor beschikbaar worden gesteld. Deze subsidie zal in dit reguliere proces meelopen. U ontvangt hierover in het voorjaar van 2024 meer informatie.
## Waar moet u aan voldoen?
U moet in ieder geval voldoen aan de voorschriften die in deze beschikking zijn opgenomen. Er staan ook verplichtingen in de wet- en regelgeving die van toepassing zijn op de subsidie.
## Wet- en regelgeving
- De volgende regelgeving is in ieder geval van toepassing op de subsidie:
- Wet op het specifiek cultuurbeleid
- Besluit op het specifiek cultuurbeleid
- Regeling op het specifiek cultuurbeleid
- Algemene wet bestuursrecht, in het bijzonder titel 4.2;
- Wet bestuurlijke boete bijzondere meldingsplichten door ministers verstrekte subsidies.
Overigens attendeer ik u ook op de Wet normering bezoldiging topfunctionarissen publieke en semipublieke sector en op de (Europese) aanbestedings- en staatssteunregelgeving die van toepassing kunnen zijn.
De regelgeving kunt u raadplegen via www.wetten.overheid.nl.
## Meldingsplicht
Een van de verplichtingen betreft de meldingsplicht. U moet direct melding doen van feiten en omstandigheden die van belang kunnen zijn voor de subsidie. Daarvan is in ieder geval sprake als voor u aannemelijk is dat de activiteiten waarvoor de subsidie is verleend, niet, niet tijdig of niet geheel zullen worden verricht, of als niet, niet tijdig of niet geheel aan de aan de subsidie verbonden verplichtingen zal worden voldaan.
Uw melding kunt u, bij voorkeur bij brief, doen bij uw contactpersoon. Ook als u twijfelt of u iets moet melden, verzoek ik u contact op te nemen met uw contactpersoon.
Met het oog op het tegengaan van misbruik van subsidie, wijs ik u erop dat er een misbruikregister wordt bijgehouden.
## Beleidsonderzoek
U werkt mee aan een door of namens mij ingesteld onderzoek dat erop gericht is inlichtingen te verschaffen voor de ontwikkeling van beleid.
## Verantwoording
Om de subsidie vast te kunnen stellen, dient u een activiteitenverslag of een bestuursverslag en een financieel verslag of jaarrekening in. Aan de hand van deze verantwoording toont u aan dat de activiteiten waarvoor subsidie is verleend, zijn verricht en dat is voldaan aan de aan de subsidie verbonden verplichtingen. Met het financieel verslag of de jaarrekening geeft u inzicht in de besteding. Een activiteitenverslag beschrijft de aard, duur en omvang van de Onze referentie 40178305
activiteiten waarvoor subsidie is verleend. De inrichting van het verslag komt overeen met de inrichting van het activiteitenplan. Het verslag bevat, voor zover van toepassing, een analyse van verschillen tussen de voorgenomen activiteiten en beoogde resultaten, vermeld in het activiteitenplan, en de feitelijke realisatie.
Een financieel verslag of een jaarrekening gaat vergezeld van een verklaring omtrent de getrouwheid en de rechtmatigheid, afgegeven door een accountant. U bedingt bij de accountant dat deze zijn onderzoek inricht overeenkomstig het controleprotocol dat is opgenomen in de bijlage van het Handboek Verantwoording Cultuursubsidies Instellingen 2021-2024 dat op de website www.cultuursubsidie.nl is gepubliceerd.
Het activiteitenverslag en het financieel verslag zendt u binnen dertien weken na de datum waarop de activiteiten uiterlijk moeten zijn verricht aan: Ministerie van Onderwijs, Cultuur en Wetenschap, Directie Erfgoed en Kunsten, Postbus 16375, 2500 BJ Den Haag.
Dit betekent dat beide verslagen uiterlijk op 1 april 2025 moeten zijn ingediend.
## Wanneer wordt de subsidie vastgesteld?
Tenzij u hierover een ander bericht ontvangt, stel ik de subsidie vast binnen 22 weken na ontvangst van de gevraagde verantwoordingsinformatie. De vaststelling zal plaatsvinden in een afzonderlijke beschikking.
## Wat als u zich niet aan de voorschriften houdt?
Het niet voldoen aan de aan de subsidie verbonden verplichtingen of niet geheel uitvoeren van de activiteiten kan tot gevolg hebben dat ik de subsidie geheel of gedeeltelijk terugvorder.
Voor het niet voldoen aan de meldingsplicht op grond van de Wet bestuurlijke boete meldingsplichten door ministers verstrekte subsidies kan ik een bestuurlijke boete opleggen.
## Informatieplicht OCW
## Algemene Groepsvrijstellingsverordeninq
Op basis van uw aanvraag kom ik tot het oordeel dat de subsidie verstrekt kan worden met inachtneming van verordening (EU) nr. 651/2014 van de Commissie van 17 juni 2014 waarbij bepaalde categorieën op grond van de artikelen 107 en 108 van het Verdrag met de interne markt verenigbaar worden verklaard (Pb EU, L 187/1, ook wel Algemene Groepsvrijstellingsverordening genoemd, hierna: AGVV).
Naar mijn oordeel is artikel 53 van toepassing. Dit artikel verklaart steun voor cultuur en instandhouding van erfgoed verenigbaar met de interne markt en vrijgesteld van de aanmeldingsverplichting uit artikel 108, derde lid, VWEU, mits wordt voldaan aan de voorwaarden uit het eerst lid tot en met het derde lid en het vijfde tot en met het negende lid van het desbetreffende artikel, alsmede aan de voorwaarden uit hoofdstuk I van de AGVV.
## Kennisgeving en publicatie
Ik ben verplicht om subsidies die worden verstrekt in het kader van de genoemde verordening tijdig kennis te geven aan de Europese Commissie. Op grond van artikel 53 AGVV in samenhang met artikel 11 AGVV wordt onderhavige Onze referentie 40178305
subsidieverlening dan ook kennisgegeven bij de Europese Commissie. Tevens wordt ingevolge artikel 9 van de AGVV de volledige tekst van deze beschikking bekend gemaakt op de website van de Rijksoverheid.
## Bewaartermijn en monitoring
Op grond van artikel 12 AGVV kan de Europese Commissie tot 10 jaar na de steunverlening stukken daarover opvragen. Het is daarom van belang dat u alle documenten met betrekking tot de subsidie ten minste 10 jaar bewaart. Daarnaast dient er een goede dossiervorming plaats te vinden voor een eventueel tussentijds onderzoek (monitoring) door de Europese Commissie. Indien de Europese Commissie de steun alsnog als ongeoorloofd aanmerkt, kan de steun teruggevorderd worden.
## Wanneer ontvangt u de subsidie?
U ontvangt een voorschot van 100 procent van het subsidiebedrag. U ontvangt de voorschotten in 2024 in gelijke delen per kwartaal. De voorschotten worden aan u overgemaakt op NL11RAB00336766300 onder vermelding van kenmerk 40178305.
## Heeft u vragen?
Voor vragen over deze beschikking kunt u contact opnemen met uw contactpersoon.
Ik wens u veel succes met de uitvoering van de activiteiten.
De staatssecretaris van Onderwijs, Cultuur en Wetenschap,
&lt;!-- image --&gt;
S.P.R.A. van Weyenberg Onze referentie 40178305</t>
  </si>
  <si>
    <t>toe te kennen</t>
  </si>
  <si>
    <t>toe te kennen [552:565]</t>
  </si>
  <si>
    <t>[...] arin u verzoekt om een subsidie voor de Energiebesparing ronde 2 deel ik u mede dat ik bereid ben u, op grond van subsidieregeling Experimenten, Kennisontwikkeling en Kennisoverdracht wonen 2022 een incidentele subsidie toe te kennen voor een bedrag van maximaal€ 290.320.- voor de activiteiten zoals beschreven in uw subsidieaanvraag. Dit bedrag is inclusief alle eventuele voor uw rekening blijvende belastingen, waaronder de BTW. Conform bovenge [...]</t>
  </si>
  <si>
    <t>Rijksoverheid__97_Subsidieverlening-Energiebesparing-ronde-2.txt::Rechtsobject</t>
  </si>
  <si>
    <t>subsidie [543:552]</t>
  </si>
  <si>
    <t>subsidie [543:551]</t>
  </si>
  <si>
    <t>[...] 2023 waarin u verzoekt om een subsidie voor de Energiebesparing ronde 2 deel ik u mede dat ik bereid ben u, op grond van subsidieregeling Experimenten, Kennisontwikkeling en Kennisoverdracht wonen 2022 een incidentele subsidie toe te kennen voor een bedrag van maximaal€ 290.320.- voor de activiteiten zoals beschreven in uw subsidieaanvraag. Dit bedrag is inclusief alle eventuele voor uw rekening blijvende belastingen, waaronder de BTW. Co [...]</t>
  </si>
  <si>
    <t>Rijksoverheid__104_Beschikking-verlening-subsidie-voor-Rotterdams-Philharmonisch-Orkest-X-The-Ukraine-Liberation-Orchestra.txt::Ontvanger</t>
  </si>
  <si>
    <t>Rijksoverheid__104_Beschikking-verlening-subsidie-voor-Rotterdams-Philharmonisch-Orkest-X-The-Ukraine-Liberation-Orchestra.txt</t>
  </si>
  <si>
    <t>Stichting Rotterdams Philharmonisch Orkest</t>
  </si>
  <si>
    <t>stichting rotterdams philharmonisch orkest</t>
  </si>
  <si>
    <t>Stichting Rotterdams Philharmonisch Orkest [68:110]</t>
  </si>
  <si>
    <t>&lt;!-- image --&gt; &amp;gt;Retouradres Postbus 16375 2500 B] Den Haag Stichting Rotterdams Philharmonisch Orkest t.a.v. Postbus 962 3000 AZ ROTTERDAM Datum 10 november 2023 Betreft Verlening subsidie voor Het Rotterdams Philharmonisch Orkest X The Ukraine Liberation Orchestra Geachte , Bij brief van 5 [...]</t>
  </si>
  <si>
    <t>Rijksoverheid__104_Beschikking-verlening-subsidie-voor-Rotterdams-Philharmonisch-Orkest-X-The-Ukraine-Liberation-Orchestra.txt::Besluitvormend Orgaan</t>
  </si>
  <si>
    <t>de staatssecretaris van Onderwijs, Cultuur en Wetenschap [9005:9061]</t>
  </si>
  <si>
    <t>[...] kenmerk 41818960. ## Heeft u vragen? Voor vragen over deze beschikking kunt u contact opnemen met uw contactpersoon: . Ik wens u veel succes met de uitvoering van de activiteiten. Met vriendelijke groet, de staatssecretaris van Onderwijs, Cultuur en Wetenschap, namens deze, de directeur Erfgoed en Kunsten,</t>
  </si>
  <si>
    <t>&amp;gt; Retouradres Postbus 20401 2500 EK Den Haag &amp;gt; Retouradres Postbus 20401 2500 EK Den Haag
BO Akkerbouw
Datum  	 -
0 6 DEC. 2023
Betreft Innovatieplatform Akkerbouw 2024-2027. Verplichtingnummer:
Geachte '
## 1. Aanvraag
Op 26 april 2023 ontving ik per e-mail uw brief van 26 april 2023, kenmerk AH.B.23.002, waarin u subsidie aanvraagt voor het programma Innovatieplatform Akkerbouw 2023-2028. U heeft daarbij een projectplan en begroting aan mij overgelegd.
## 1.1 Procesverloop
Op 26 april 2023 is ontvangst van uw aanvraag per e-mail bevestigd. Uw aanvraag is toen helaas niet meteen in behandeling genomen, o.a. vanwege het feit dat de startdatum van het project op 1 juli 2023 stond.
Op 14 september 2023 is per e-mail aanvullende informatie opgevraagd, welke informatie u per omgaande heeft aangeleverd (o.a. kopie inschrijving KvK en kopie bankafschrift).
Op 28 september en 4 oktober 2023 bent u geïnformeerd over het feit dat we volgens de Algemene wet bestuursrecht (artikel 4:23) uw subsidieaanvraag voor maximaal 4 jaar mogen honoreren. Uw reactie daarop van 4 oktober 2023 dat de looptijd kon worden ingekort is in onderhavige beschikking verwerkt.
## 1.2 Beoordeling van uw aanvraag
De activiteiten zoals beschreven in uw aanvraag passen binnen het kader van het beleid gericht op het oplossen van duurzaamheidsopgaven van de primaire sector. De kern van dit beleid is grensverleggende innovaties te stimuleren die gericht zijn op de grote maatschappelijke opgaven (missies) die nodig zijn om fundamenteel nieuwe wegen te verkennen en zo de noodzakelijke transitie in de primaire sector nieuwe impulsen te geven. Vroege fase innovaties zijn belangrijk vanwege hun grensverleggende karakter. Incrementele innovaties zijn namelijk onvoldoende voor de grote uitdagingen waarvoor de landbouw staat.
Het overkoepelende doel van vroege fase innovatieplatforms is om innovaties aan te jagen die bijdragen aan oplossingen voor de opgaven voor de gewenste transitie naar een duurzame samenleving (kringlooplandbouw, gezond voedsel en klimaatadaptieve en gezonde leefomgeving).
&lt;!-- image --&gt;
Directoraat-generaal Agro Directie Strategie, Kennis en
Innovatie
## Bezoekadres
Bezuidenhoutseweg 73 2594 AC Den Haag
## Postadres
Postbus 20401 2500 EK Den Haag
Overheidsidentificatienr 00000001858272854000
T 070 379 8911 (algemeen) F 070 378 6100 (algemeen) www.rijksoverheid.nl/Inv
Behandeld door
Ons kenmerk DGA-SKI,
Uw kenmerk
## Bijlage(n)
1 (controleprotocol accountantscontrolerapport
Relatienummer:
Bankrekeningnummer:
Daartoe organiseren deze platforms uiteenlopende innovaties en ontwikkelactiviteiten. Concrete producten zijn verkennende studies, resultaten van praktijkexperimenten, communicatie o.a. via workshops, bedrijfsbezoeken, sociale media en een eigen website. Het door BO Akkerbouw voorgestelde Innovatieplátform Akkerbouw is een vroege fase innovatieplatform zoals hiervoor beschreven.
## 1.3 Europeesrechtehike aspecten
Op grond van artikel 7 van de Kaderwet EZK- en LNV-subsidies verleen ik geen subsidie als dit naar mijn oordeel leidt tot het verlenen van ongeoorloofde staatssteun in de zin van artikel 107 van het Verdrag betreffende de werking van de Europese Unie (hierna: VWEU).
Op basis van uw aanvraag kom ik tot het oordeel dat de subsidie verstrekt kan worden op grond van verordening (EU) nr. 651/2014 van de Commissie van 17 juni 2014 waarbij bepaalde categorieën op grond van de artikelen 107 en 108 van het Verdrag met de interne markt verenigbaar worden verklaard (PbEU 2014, L 187), met name artikel 28 is van toepassing.
Hierbij wordt gebruik gemaakt van de grondslag van artikel 28, tweede lid, onderdeel c, van deze verordening: de kosten verbonden aan innovatieadviesdiensten en diensten inzake innovatieondersteuning, met inbegrip van de diensten die worden geleverd door organisaties voor onderzoek en kennisverspreiding, onderzoeksinfrastructuur, test- en experimenteerinfrastructuur of innovatieclusters.
Dit artikel verklaart innovatiesteun voor kleine en middelgrote ondernemingen verenigbaar met de interne markt en vrijgesteld van de voorgenoemde aanmeldingsverplichting uit artikel 108, derde lid, VWEU, mits wordt voldaan aan de voorwaarden uit het eerste lid tot en met het derde lid van het desbetreffende artikel, alsmede aan de voorwaarden uit het hoofdstuk I van Verordening (EU) nr. 651/2014.
Ik heb geconstateerd dat BO Akkerbouw geen onderneming in moeilijkheden is als bedoeld in artikel 1, vierde lid, onderdeel c, van verordening (EU) nr. 651/2014. Ik heb verder geconstateerd dat er tegen BO Akkerbouw geen bevel tot terugvordering uitstaat als bedoeld in artikel 1, vierde lid, onderdeel a, van verordening (EU) nr. 651/2014. Voorts heb ik vastgesteld dat met de uitvoering van dit projectplan niet is begonnen dan na de aanvraag van 26 april 2023. Er gaat derhalve - onder meer om deze reden - een stimulerend effect uit van deze subsidieverlening aan BO Akkerbouw.
Beknopte informatie over deze subsidieverlening is op grond van artikel 9, eerste lid, van verordening (EU) nr. 651/2014 gemeld aan de Europese Commissie. De volledige tekst van de onderhavige beschikking wordt gepubliceerd op internet (www.rijksoverheid.nl).
Directoraat-generaal Agro Directie Strategie, Kennis en Innovatie Directoraat-generaal Agro
Ons kenmerk DGA-SKI/
Artikel 9, eerste lid, van verordening (EU) nr. 2472/2022, bevat de verplichting aan de lidstaten om de steun boven de transparantiedrempel en de in dit artikel genoemde gegevens te publiceren in de State Aid Transparancy Award Module.
## 1.4 Bewaartermijn boekhouding
Ik wijs u erop dat de Europese Commissie nog gedurende tien jaar na de verstrekking van deze subsidie, deze achteraf kan controleren. Ik raad u aan de relevante documenten met betrekking tot deze subsidie gedurende deze periode te bewaren.
## 2. Besluit
In het kader van mijn beleid gericht op het oplossen van duurzaamheidsopgaven van de primaire sector verleen ik u hierbij, op grond van artikel 2a, eerste lid, onderdeel c, van de Kaderwet EZK- en LNV-subsidies, subsidie voor de uitvoering van het programma "Innovatieplatform Akkerbouw 2024-2027", waarvoor u subsidie hebt aangevraagd.
## 2.1 Periode
De activiteiten dienen te worden uitgevoerd in de periode van 1 januari 2024 tot en met 31 december 2027.
## 2.2 Subsidiebedrag
Het subsidiebedrag zal 50% van de volgende subsidiabele kosten bedragen, met dien verstande dat, indien ter zake van de subsidiabele kosten of een deel daarvan reeds uit anderen hoofde vanwege een bestuursorgaan of de Europese Commissie subsidie is verstrekt, slechts een zodanig bedrag aan subsidie wordt verstrekt, dat het totale bedrag aan subsidies niet meer bedraagt dan 100% van de subsidiabele kosten.
Het subsidiebedrag kan niet meer bedragen dan toegestaan volgens de toepasselijke Europese steunkaders.
Dit bedrag is inclusief alle eventuele belastingen.
De subsidie wordt ten hoogste vastgesteld op € 800.000,- exclusief BTW, gelet op de gegevens opgenomen in uw aanvraag en is berekend volgens de bij uw aanvraag gevoegde begroting. Het is een evenredig bedrag van de aangevraagde € 200.000,- per jaar gedurende 4 jaar.
## 2.3 Subsidiabele kosten
De volgende, rechtstreeks aan het project toe te rekenen kosten, daadwerkelijk gemaakt in de voornoemde periode en die betaald zijn vóór 31 maart 2028 worden door mij subsidiabel geacht:
- interne kosten op basis van gebruik van de vaste-uurtarief-systematiek, waarbij gebruik wordt gemaakt van een uurtarief van max. €175,-;
- aan derden verschuldigde kosten die direct voor de subsidiabele activiteiten worden gemaakt, bijvoorbeeld door uitbesteding van een deel van de subsidiabele activiteit en kosten van voor de subsidiabele activiteit geleverde goederen en diensten;
Directoraat-generaal Agro Directie Strategie, Kennis en Innovatie
Ons kenmerk DGA-SKI/
- reis- en verblijfskosten tot een maximum van 5% van de projectkosten;
- projectmanagement, met dien verstande dat ten hoogste 10% van de projectkosten in aanmerking is genomen.
De vóór indiening van de aanvraag gemaakte kosten komen niet voor subsidie in aanmerking.
Voor de toepassing van de hierboven genoemde punten geldt, dat winstopslagen bij transacties binnen een groep alleen in aanmerking zijn genomen voor zover het gebruikelijk is om die winstopslagen ook bij soortgelijke transacties buiten de groep in rekening te brengen.
## 2.4 BTW
U heeft mij opgegeven dat u BTW-plichtig bent. Aangezien u de BTW met de fiscus kunt verrekenen, is het subsidiebedrag exclusief alle belastingen waaronder de BTW.
## 2.5 Subsidiabele kosten voor dit project
Op grond van uw projectplan en begroting raam ik de subsidiabele kosten voor dit project per jaar op:
| Activiteiten               | Toelichting                                                                                                                    | KoSten      | Inzet       |
|----------------------------|--------------------------------------------------------------------------------------------------------------------------------|-------------|-------------|
| t Innovatiemanager         | 0.b.v_ loonkosten medewerker schaal 12 CAO Rik                                                                                 | € 100.000,- | BO / Extern |
| 2. Innovatieve ideeën      |                                                                                                                                |             |             |
| * Akkerbouw Innovatieprijs | Externe organisatie: eventorganisatie, huur locatie, communicatie, catering. 1 x per jaar                                      | € 50.000,-  | Extern      |
| Events                     | Externe organisatie: organisatie, locatie, communicatie, catering 4 events per jaar x C 12.500,-                               | € 50.000,-  | Extern      |
| 3 Icoonprojecten           | Aarijaagrniddeten en projectgelden: opstart projecten. 3 per jaar x € 25.000,-                                                 | € 75_000,-  | Extern      |
| 4. Brede toepassing        | Ontwikkeling demon- stratie en kennisont- wikkelingsprogramma. Bijdrage ondersteuning kennis- en demo- activiteiten . pprtners | € 50_000,-  | Extern      |
| 5. Uitvoeringskosten       | Bureaukosten, uitvoeringskosten Innovatiecommissie, communicatie (inzet communicatiebureau en middelen)                        | € 25.000,-  | BO          |
| 3. Advieskosten            | Onderzoekers, experts dergelijke                                                                                               | € 50.000,-  | Extern      |
|                            | TOTAAL excl. 1311 0/                                                                                                           | € 400.000,- |             |
C 400.000,- per jaar, ofwel € 1.600.000,- voor 4 jaar.
Directoraat-generaal Agro Directie Strategie, Kennis en Innovatie
Ons kenmerk DGA-SKI/
## 2.6 Verplichtingen
Aan de subsidie zijn de volgende verplichtingen verbonden:
1. U dient het meerjarige project en de specifieke projecten daarbinnen volledig uit te voeren overeenkomstig het bij de aanvraag ingediende plan en binnen de daarin voorziene tijdsduur.
2. U dient mij onverwijld een schriftelijke melding te doen zodra aannemelijk is dat de activiteiten waarvoor de subsidie is verleend niet, niet tijdig of niet geheel zullen worden verricht of dat niet, niet geheel of niet tijdig aan de aan de subsidie verbonden verplichtingen zal worden voldaan.
3. U dient voor elke essentiële wijziging in de aard of de uitvoering van het plan mijn voorafgaande schriftelijke toestemming te vragen. Geen toestemming is vereist voor een wijziging van de in de subsidieverlening gespecificeerde kostenposten indien als gevolg van deze wijzing de omvang van een kostenpost niet meer dan 15% wijzigt. Aan mijn toestemming kan ik nadere verplichtingen verbinden.
4. U dient mij schriftelijk verslag uit te brengen over de voortgang van het project. In dit verslag dient duidelijk inzicht te worden gegeven in de voortgang van het project in vergelijking met de voorziene tijdsduur en kosten zoals opgenomen in het door u ingediende projectplan. Het eerste verslag brengt u uit over de periode van negen maanden na de datum van de beschikking; de volgende verslagen steeds over de daarop volgende periode van twaalf maanden. Alle verslagen dienen binnen twee maanden na afloop van de betrokken periode bij mij ingediend te zijn.
5. Na afloop van het eerste uitvoeringsjaar wordt de opzet en aanpak geëvalueerd door het ministerie van LNV en BO Akkerbouw. Hierbij staan vooral de criteria "Mate van vernieuwing" (Grensverleggend karakter) en "Toekomstbestendigheid" (Maatschappelijke opgaven) centraal, zoals beschreven op pagina 3 van uw projectplan. Zo nodig wordt de aanpak op basis van deze evaluatie in consensus bijgesteld. Deze evaluatie vindt uiterlijk 31 december 2024 plaats. Daarnaast wordt jaarlijks per uiterlijk 1 september een informatiebijeenkomst georganiseerd voor medewerkers van het ministerie van LNV over de voortgang van de activiteiten van het Innovatieplatform Akkerbouw.
6. De inrichting van uw administratie dient zodanig te zijn dat deze aansluit bij de door u ingediende begroting en daaruit te allen tijden op eenvoudige en duidelijke wijze de rechtstreeks aan het project te rekenen kosten kunnen worden afgelezen. Ter zake van de loonkosten dient door middel van een urenadministratie vastgestelde urenverantwoording aanwezig te zijn.
7. Op mijn verzoek dient u inlichtingen te verschaffen omtrent de voortgang of resultaten van het project. U bent verplicht om op mijn verzoek medewerking te verlenen aan een evaluatie van het beleid op grond waarvan deze subsidie is verstrekt. Deze verplichtingen gelden tot vijf jaar na de datum van de beschikking tot subsidievaststelling.
8. U doet mij onverwijld schriftelijke mededeling van de indiening bij de rechtbank van een verzoek tot het op u van toepassing verklaren van de schuldsaneringsregeling natuurlijke personen, tot verlening van surseance van betaling aan u of tot faillietverklaring van u.
Directoraat-generaal Agro Directie Strategie, Kennis en Innovatie
Ons kenmerk DGA-SKI/ .
9. Uiterlijk binnen 13 weken na de in deze beschikking genoemde einddatum dient u bij mij schriftelijk een verzoek om subsidievaststelling in. Dit verzoek dient vergezeld te gaan van:
- a.  Een eindrapport waarin verloop en eindresultaten van het gesubsidieerde project zijn vastgelegd;
- b.  Een gespecificeerde opgave van alle rechtstreeks aan het project toe te rekenen werkelijk gemaakte kosten, opgesteld conform de door u ingediende begroting;
- c.  Een controleverklaring conform het in bijlage 1 van deze beschikking opgenomen controleprotocol.
10. U voert het project uit in overeenstemming met de verplichtingen, opgenomen in artikel 28 van verordening (EU) nr. 651/2014.
11. In het geval er activiteiten door een derde of derden worden uitgevoerd, dient opdrachtverlening aan deze derde(n) plaats te vinden op basis van transparante criteria en marktconforme tarieven.
## 2.7 Subsidievaststelling
De beschikking tot subsidievaststelling zal ik geven binnen 13 weken na ontvangst van uw aanvraag daartoe dan wel nadat de voor het indienen ervan geldende termijn genoemd in verplichting 9 is verstreken. Indien de beschikking niet binnen 13 weken kan worden gegeven zal ik u daarvan in kennis stellen en daarbij een redelijke termijn noemen waarbinnen de beschikking tegemoet gezien kan worden.
## 2.8 Voorschot
Ik verleen u bij deze een voorschot van 20% van € 800.000,- zijnde € 160.000,-. Het voorschot zal worden betaald binnen zes weken na de dag van verzending van deze beschikking op uw bankrekeningnummer: ten name van BO Akkerbouw te Zoetermeer.
Verdere voorschotten zullen als volgt worden overgemaakt:
€ 160.000,- per 1 februari 2025, na afronding van de evaluatie, genoemd in verplichting 5;
C 160.000,- per 1 februari 2026;
€ 160.000,- per 1 februari 2027.
Het resterende bedrag wordt betaald na de subsidievaststelling, en zal ten hoogste € 160.000,- bedragen.
## 2.9 Advies
Om eventuele problemen met de accountantscontrole op uw financiële verantwoording te voorkomen adviseer ik u om uw accountant zo vroeg mogelijk te betrekken.
## Directoraat-generaal Agro
Directoraat-generaal Agro Directie Strategie, Kennis en Innovatie
Ons kenmerk DGA-SKI/
## 3. Correspondentie
Alle correspondentie met betrekking tot deze subsidie dient u, met vermelding van verplichtingnummer  	 te zenden naar:
Ministerie van Landbouw, Natuur en Voedselkwaliteit Directie Strategie, Kennis en Innovatie t.a.v. Postbus 20401 2500 EK Den Haag
De Minister van Landbouw, Natuur en Voedselkwaliteit, namens
Ino B. Ostendorf,
Waarnemend directeur Strategie, Kennis en Innovatie
Als u het niet eens bent met deze beslissing kunt u binnen zes weken na verzending van deze brief een bezwaarschrift indienen. Stuur het ondertekende bezwaarschrift met een kopie van deze beslissing naar Rijksdienst voor Ondernemend Nederland, afdeling Juridische Zaken, Postbus 40219, 8004 DE, Zwolle.
Op de internetsite https://miln.rvo.nl/bezwaar   vindt u meer belangrijke informatie over het indienen van een bezwaarschrift. Dit besluit is verzonden op de in de aanhef van deze brief vermelde datum.
Directoraat-generaal Agro Directie Strategie, Kennis en Innovatie Directoraat-generaal Agro
Ons kenmerk
DGA-SKI/</t>
  </si>
  <si>
    <t>Rijksoverheid__104_Beschikking-verlening-subsidie-voor-Rotterdams-Philharmonisch-Orkest-X-The-Ukraine-Liberation-Orchestra.txt::Rechtshandeling</t>
  </si>
  <si>
    <t>verleen [526:534]</t>
  </si>
  <si>
    <t>verleen [526:533]</t>
  </si>
  <si>
    <t>[...] , Bij brief van 5 oktober 2023 hebt u een subsidieaanvraag ingediend voor Het Rotterdams Philharmonisch Orkest X The Ukraine Liberation Orchestra. Met deze brief beslis ik op uw aanvraag. ## Besluit Hierbij verleen ik u een subsidie van € 80.275. De subsidie wordt verleend op grond van grondsiag; artikel 1, eerste lid, van het Besluit op het specifiek cultuurbeleid en onder voorwaarde dat de beg rotingswetgever voldoende middele [...]</t>
  </si>
  <si>
    <t>Rijksoverheid__104_Beschikking-verlening-subsidie-voor-Rotterdams-Philharmonisch-Orkest-X-The-Ukraine-Liberation-Orchestra.txt::Rechtsobject</t>
  </si>
  <si>
    <t>[...] f van 5 oktober 2023 hebt u een subsidieaanvraag ingediend voor Het Rotterdams Philharmonisch Orkest X The Ukraine Liberation Orchestra. Met deze brief beslis ik op uw aanvraag. ## Besluit Hierbij verleen ik u een subsidie van € 80.275. De subsidie wordt verleend op grond van grondsiag; artikel 1, eerste lid, van het Besluit op het specifiek cultuurbeleid en onder voorwaarde dat de beg rotingswetgever voldoende middelen ter beschikking [...]</t>
  </si>
  <si>
    <t>&amp;gt;  Retouradres Postbus 20011 2500EA  Den Haag
Stichting Green Business Club Nederland T.a.v. De Boelelaan 1105 1081 HV  Amsterdam
Datum Referentienummer Betreft
5 december 2023 2023-84365 Subsidieverlening Energiebesparing ronde 2
Geachte mevrouw,
Onder verwijzing naar uw subsidieaanvraag van 7 september  2023 waarin u verzoekt om een subsidie voor de Energiebesparing ronde 2 deel ik u mede dat ik bereid ben u, op grond van subsidieregeling Experimenten, Kennisontwikkeling en Kennisoverdracht wonen 2022 een incidentele subsidie toe te kennen voor een bedrag van maximaal€ 290.320.-  voor de activiteiten zoals beschreven  in uw subsidieaanvraag.
Dit bedrag is inclusief alle eventuele voor uw rekening blijvende belastingen, waaronder de BTW. Conform bovengenoemde  grondslag wordt een voorschot verstrekt  van 80% van het te subsidiëren  bedrag. U ontvangt  dit  voorschot  van € 232.256, - na ontvangst van deze subsidieverlening op rekeningnummer NL07                            ten name van Stichting Green Business Club Nederland.
De start van de subsidieactiviteiten was op 1 september 2023. De activiteiten zullen uiterlijk 31 maart 2024 zijn afgerond.
Na afloop van de gesubsidieerde activiteit heeft u 13 weken de tijd om een vaststellingaanvraag  in te  dienen.  Wij  verwachten  uw  vaststellingsaanvraag daarom uiterlijk 30 juni 2024 te ontvangen.  De subsidie zal binnen 22 weken na ontvangst van uw vaststellingsaanvraag worden vastgesteld op basis van het bij punt a hieronder beschreven bewijs. Na vaststelling van de subsidie zal normaliter het eventuele restantbedrag van € 58.064, - op bovengenoemd  rekeningnummer gestort worden.
De uitwerking van het project dient te geschieden conform de projectopzet, zoals die is beschreven  in uw bovengenoemde  subsidieaanvraag.
&lt;!-- image --&gt;
DGVB -Directie Bouwen en Energie
Ministerie van Binnenlandse Zaken en Koninkrijksrelaties
Turfmarkt 147 Den Haag Postbus 20011 2500EA  Den Haag www.rijksoverheid.nl
## Kenmerk
2023-0000689150
Uw kenmerk
Aan deze subsidieverlening verbind ik de navolgende verplichtingen:
- a. U dient een bewijs over te leggen waaruit blijkt dat de gesubsidieerde activiteiten  hebben plaatsgevonden. Graag ontvang  ik de rapportage Lichten Uit, zoals benoemd in uw begroting, bij uw vaststellingsaanvraag. Tevens dient u een einddeclaratie (prestatie en gerealiseerde kosten) over te leggen, welke is opgesteld conform de door u ingediende begroting.
- b. U dient onmiddellijk schriftelijk te melden zodra aannemelijk is dat de activiteiten waarvoor de subsidie is verleend niet tijdig, of niet geheel zullen worden verricht of dat niet tijdig, of niet geheel aan de verplichtingen die aan de subsidie zijn verbonden zal worden voldaan.
## Voorwaarden op grond van AGVV
Om te voldoen aan de Europese staatssteunregels, verleen ik geen subsidie als dit naar mijn  oordeel  leidt tot  het  verlenen  van  ongeoorloofde  staatssteun  in  de  zin van artikel 107 van het Verdrag betreffende de werking van de Europese Unie (hierna:  VWEU).  Een  steunmaatregel kan  verenigbaar  zijn  met  de interne  markt, als deze valt binnen de juridische kaders van de Europese Commissie of door haar is goedgekeurd.
Op basis van uw aanvraag kom ik  tot  het oordeel dat de subsidie verstrekt kan worden op grond van Verordening (EU) nr. 651/2014 van de Commissie van 17 juni 2014, zoals gewijzigd door verordening (EU) 2023/1315 op 23 juni 2023, waarbij bepaalde categorieën op grond van de artikelen 107 en 108 van het Verdrag met de interne markt verenigbaar worden verklaard (Pb EU, L 187/1 van 26.6.2014, blz. 1, respectievelijk Pb EU, L 167, 30.6.2023, p. 1-90, Algemene Groepsvrijstellingsverordening (AGVV). Met name artikel 49 AGVV is van toepassing. Dit artikel verklaart steun voor consultancydiensten inzake milieubescherming en energiethema's verenigbaar met de interne markt en stelt deze steun vrij van de voorgenoemde aanmeldingsverplichting uit artikel 108, derde lid, VWEU, mits wordt voldaan aan de voorwaarden uit artikel 49 alsmede aan de voorwaarden uit het hoofdstuk I van de AGVV. Artikel 49 AGVV maakt steun mogelijk voor de in aanmerking komende kosten van consultancydiensten die rechtstreeks verband houden met op grond van deel 7 van de AGVV voor steun in aanmerking komende investeringen. Dit betreft onder andere investeringssteun voor energie-efficiëntiemaatregelen.
Op grond van artikel 49, lid 3 AGVV mag een bedrag van 60% van de aangevraagde  kosten vergoed worden met een verhoging van: a. 10 procentpunten indien de steun aan middelgrote ondernemingen  wordt toegekend en met  20 procentpunten  indien de steun aan kleine ondernemingen wordt toegekend
Op grond van de bij  de subsidieaanvraag ingediende begroting betreft het aan dit artikel  te  relateren  maximale  steunbedrag in totaal€ 351.287,-  (inclusief  btw)  dat een steunpercentage van afgerond  80%  oplevert,  hetgeen  het maximaal toegestane steunpercentage van 80 % niet overschrijdt.
## DGVB -Directie Bouwen en Energie
Ministerie van Binnenlandse Zaken en Koninkrijksrelaties
## Datum
5 december 2023
## Kenmerk
2023-0000689150
Ik heb geconstateerd dat Business Club Nederland geen onderneming  in moeilijkheden is als bedoeld in artikel 1, vierde lid, onderdeel c, van de AGVV. Ik heb verder geconstateerd dat er tegen Business Club Nederland geen bevel tot terugvordering uitstaat als bedoeld in artikel  1, vierde lid, onderdeel  a, van de AGVV. Voorts heb ik vastgesteld dat met de uitvoering van het voorstel waarvoor de subsidie  wordt gevraagd  niet is begonnen  dan na de aanvraag  van 18 augustus 2023. Er gaat derhalve -  onder meer om deze reden - een stimulerend effect in de zin van artikel 6, tweede lid, van de AGVV uit  van deze subsidieverlening aan Green Business Club.
Beknopte informatie over deze subsidieverlening wordt op grond van artikel 9, eerste lid, van de AGVV gemeld aan de Europese Commissie. De volledige tekst van de onderhavige beschikking wordt gepubliceerd op de staatssteunwebsite op het internet.
Om te voldoen aan artikel 9, eerste lid, onder c van de AGVV worden de benodigde gegevens van deze subsidie bovendien binnen zes maanden vanaf de datum van de toekenning van de steun gepubliceerd  via de State Aid Transparency Award Module (TAM). Op grond van artikel 9, vierde lid, en artikel 12, van de AGVV moeten de gegevens van deze subsidie voor tien jaar vanaf de datum van deze subsidieverlening beschikbaar  blijven.
Aanvullende  voorwaarden  art. 4:38 Awb
Green Business Club dient een gescheiden boekhouding bij te houden voor de economische  en niet-economische activiteiten. Indien met gebruikmaking van deze subsidie derden worden ingehuurd om commerciële activiteiten te verrichten, dient gewaarborgd te worden dat deze activiteiten tegen marktconforme voorwaarden of met inachtneming  van de de-minimisverordening (Verordening  (EU) Nr. 1407/2013)  worden uitgevoerd. Aangetoond  zal moeten worden op welke wijze de Green Business Club hiervoor zorg draagt. Eén van de manieren om activiteiten tegen marktconforme voorwaarden te realiseren is bijvoorbeeld het vragen van offertes.
Volledigheidshalve attendeer  ik u erop dat ik op grond van artikel 4:46 van de Algemene Wet Bestuursrecht bevoegd ben de subsidie op een lager bedrag vast te stellen, als u de aan de subsidie verbonden verplichtingen niet of niet in voldoende mate naleeft.
Daarnaast  verwijs ik naar artikel  25 van het Kaderbesluit  BZK-subsidies  (Besluit van 30 mei 2013)  waar is opgenomen  dat ter  voorkoming van misbruik en oneigenlijk gebruik een departementaal register wordt bijgehouden. In  dit register wordt onder meer bijgehouden  welke sanctiemaatregel (bestuurlijke boete, lagere vaststelling, intrekking van de subsidieverlening of intrekking van de subsidievaststelling) genomen is.
## DGVB -Directie Bouwen en Energie
Ministerie van Binnenlandse Zaken en Koninkrijksrelaties
## Datum
5 december 2023
## Kenmerk
2023-0000689150
Ik  vertrouw erop u hiermee voldoende te hebben geïnformeerd. Mocht u nog vragen hebben, neemt u dan contact op met                    .
## Hoogachtend,
De Minister van Binnenlandse Zaken en Koninkrijksrelaties, namens deze,
F.G. Licher
## Directeur Bouwen en Energie
Belanghebbenden kunnen binnen zes weken na bekendmaking  van dit besluit daartegen per brief bezwaar maken bij de Minister van Binnenlandse Zaken en Koninkrijksrelaties, t.a.v. DGVB-B&amp;amp;E, Postbus 20011, 2500 EA Den Haag. Het bezwaarschrift moet zijn ondertekend,  voorzien zijn van een datum alsmede de naam en het adres van de indiener en dient vergezeld te gaan van de gronden waarop het bezwaar berust en, zo mogelijk, een afschrift van het besluit waartegen het bezwaar is gericht.
## DGVB -Directie Bouwen en Energie
Ministerie van Binnenlandse Zaken en Koninkrijksrelaties
## Datum
5 december 2023
Kenmerk 2023-0000689150</t>
  </si>
  <si>
    <t>Rijksoverheid__111_Definitief-besluit-subsidie-pilotproject-van-Gogh-Nationaal-Park.txt::Ontvanger</t>
  </si>
  <si>
    <t>Stichting het Noordbrabants Landschap</t>
  </si>
  <si>
    <t>stichting het noordbrabants landschap</t>
  </si>
  <si>
    <t>Stichting het Noordbrabants Landschap [53:90]</t>
  </si>
  <si>
    <t>- Retouradres Postbus 20401 2500 EK Den Haag V ## Stichting het Noordbrabants Landschap I 2.e 5.1.2. I 2.e 5.1.2. T.a.v. de 5.1.2. Datum 09-08-2023 Geachte 5.1.2. Betreft Subsidiebeschikking "pilotproject van Gogh Nationaal Park", verplichtingnummer 1400013505 ## 1. Aanvraag [...]</t>
  </si>
  <si>
    <t>&lt;!-- image --&gt;
&amp;gt;Retouradres Postbus 16375 2500 B] Den Haag
Stichting Rotterdams Philharmonisch Orkest
t.a.v.
Postbus 962
3000 AZ ROTTERDAM
Datum
10 november 2023
Betreft
Verlening subsidie voor Het Rotterdams Philharmonisch Orkest X The Ukraine Liberation Orchestra
Geachte
,
Bij brief van 5 oktober 2023 hebt u een subsidieaanvraag ingediend voor Het Rotterdams Philharmonisch Orkest X The Ukraine Liberation Orchestra. Met deze brief beslis ik op uw aanvraag.
## Besluit
Hierbij verleen ik u een subsidie van € 80.275.
De subsidie wordt verleend op grond van grondsiag; artikel 1, eerste lid, van het Besluit op het specifiek cultuurbeleid en onder voorwaarde dat de beg rotingswetgever voldoende middelen ter beschikking stelt.
De subsidie is bestemd voor de activiteiten, zoals vermeld in het activiteitenpian en zoals voorzien in de begroting.
De activiteiten waarvoor subsidie wordt verleend, moeten uiterlijk zijn verricht op 31 december 2024.
## Motivering bij het besluit
Kunst en cultuur kunnen op veel verschillende manieren helpen. Het zet ons aan het denken, het helpt bij verwerking en het draagt bij aan verbinding. Het is een verbinding tussen culturen en het maatschappelijke debat, maar ook kan het leiden tot meer onderling begrip. Kunst en cultuur zijn van grote toegevoegde waarde voor onze samenleving en daardoor is het van belang om deze te koesteren. Met de ondersteuning aan gevluchte makers en uitvoerders wordt hen de mogelijkheid geboden deze belangrijke rol ook hier in Nederland te kunnen blijven vervullen, waarbij de verbinding met thuis wordt gekoesterd.
## Waar moet u aan voldoen?
U moet in ieder geval voldoen aan de voorschriften die in deze beschikking zijn opgenomen. Er staan ook verplichtingen in de wet- en regelgeving die van toepassing zijn op de subsidie.
## Erfgoed en Kunsten
Rijnstraat 50 Den Haag Postbus 16375 2500 B] Den Haag www.rijksoverheid.n1
## Contactpersoon
@minocw.n1
Onze referentie 41818960
Uw brief van
05 oktober 2023
Als u belang hebt bij dit besluit, dan kunt u hiertegen binnen 6 weken, gerekend vanaf de verzenddatum, bezwaar maken. Stuur uw bezwaarschrift naar DUO, Postbus 30205, 2500 GE Den Haag. U kunt uw bezwaar ook digitaal indienen op
vvw , , ,, ,rbenvaarscilriftenocw,n,.
## Wet- en regelgeving
De volgende regelgeving is in ieder geval van toepassing op de subsidie:
- -Wet op het specifiek cultuurbeleid;
- -Besluit op het specifiek cultuurbeleid;
- -Regeling op het specifiek cultuurbeleid;
- -Algemene wet bestuursrecht, in het bijzonder titel 4.2;
- -Wet bestuurlijke boete bijzondere meldingsplichten door ministers verstrekte subsidies.
Overigens attendeer ik u ook op de Wet normering bezoldiging topfunctionarissen publieke en semipublieke sector en op de (Europese) aanbestedings- en staatssteunregelgeving die van toepassing kunnen zijn.
De regelgeving kunt u raadplegen via www.wetten.overheid.nl.
## Meldingsplicht
Een van de verplichtingen betreft de meldingsplicht. U moet direct melding doen van feiten en omstandigheden die van belang kunnen zijn voor de subsidie. Daarvan is in ieder geval sprake als voor u aannemelijk is dat de activiteiten waarvoor de subsidie is verleend, niet, niet tijdig of niet geheel zullen worden verricht, of als niet, niet tijdig of niet geheel aan de aan de subsidie verbonden verplichtingen zal worden voldaan.
Uw melding kunt u, bij voorkeur bij brief, doen bij uw contactpersoon. Ook als u twijfelt of u lets moet melden, verzoek ik u contact op te nemen met uw contactpersoon.
Met het oog op het tegengaan van misbruik van subsidie, wijs ik u erop dat er een misbruikregister wordt bijgehouden.
## Beleidsonderzoek
U werkt mee aan een door of namens mij ingesteld onderzoek dat erop gericht is inlichtingen te verschaffen voor de ontwikkeling van beleid.
## Verantwoordino
Om de subsidie vast te kunnen stellen, dient u een activiteitenverslag of een bestuursverslag in. Aan de hand van deze verantwoording toont u aan dat de activiteiten waarvoor subsidie is verleend, zijn verricht en dat is voldaan aan de aan de subsidie verbonden verplichtingen.
Een activiteitenverslag beschrijft de aard, duur en omvang van de activiteiten waarvoor subsidie is verleend. De inrichting van het verslag komt overeen met de inrichting van het activiteitenplan. Het verslag bevat, voor zover van toepassing, een analyse van verschillen tussen de voorgenomen activiteiten en beoogde resultaten, vermeld in het activiteitenplan, en de feitelijke realisatie.
De specifieke eisen aan de verantwoordingsinformatie vindt u in het Handboek Verantwoording Cultuursubsidies Instellingen 2021-2024 dat u kunt raadplegen op www.cultuursubstdie,n1.
Het activiteitenverslag of het bestuursverslag zendt u binnen dertien weken na de datum waarop de activiteiten uiterlijk moeten zijn verricht aan: Ministerie van Onze referentie 41818960
Onderwijs, Cultuur en Wetenschap, Directie Erfgoed en Kunsten, Postbus 16375, 2500 BJ Den Haag. Onderwijs, Cultuur en Wetenschap, Directie Erfgoed en Kunsten, Postbus 16375,
Dit betekent dat de verantwoording uiterlijk op 1 april 2025 moeten zijn ingediend.
Naast deze subsidie is aan u een vierjaarlijkse instellingssubsidie op grond van de Wet op het specifiek cultuurbeleid verleend. U kunt er daarom ook voor kiezen om de verantwoording van de subsidie niet afzonderlijk in te dienen zoals hierboven is beschreven, maar deze onderdeel uit te laten maken van de jaarverantwoording die u in moet dienen in het kader van de vierjaarlijkse ' instellingsubsidie. Voorwaarde is wel dat de verantwoording van de subsidie daarin voldoende inzichtelijk is. Als u van deze mogelijkheid gebruik wilt maken, dient u de subsidie te verantwoorden in de jaarverantwoording 2024. In de jaarverantwoording 2023 geeft u een verslag van de stand van zaken.
## Wanneer wordt de subsidie vastgesteld?
Tenzij u hierover een ander bericht ontvangt, stel ik de subsidie vast binnen 22 weken na ontvangst van de gevraagde verantwoordingsinformatie. De vaststelling zal plaatsvinden in een afzonderlijke beschikking.
## Wat als u zich niet aan de voorschriften houdt?
Het niet voldoen aan de aan de subsidie verbonden verplichtingen of niet geheel uitvoeren van de activiteiten kan tot gevolg hebben dat ik de subsidie geheel of gedeeltelijk terugvorder.
Voor het niet voldoen aan de meldingsplicht op grond van de Wet bestuurlijke boete meldingsplichten door ministers verstrekte subsidies kan ik een bestuurlijke boete opleggen.
## Informatieplicht OCW
## Algemene Groepsvrijstellinqsverordening
Op basis van uw aanvraag kom ik tot het oordeel dat de subsidie verstrekt kan worden met inachtneming van verordening (EU) nr. 651/2014 van de Commissie van 17 juni 2014 waarbij bepaalde categorieen op grond van de artikelen 107 en 108 van het Verdrag met de interne markt verenigbaar worden verklaard (Pb EU, L 187/1, ook wel Algemene Groepsvrijstellingsverordening genoemd, hierna: AGVV).
Naar mijn oordeel is artikel 53 van toepassing. Dit artikel verklaart steun voor cultuur en instandhouding van het erfgoed verenigbaar met de interne markt en vrijgesteld van de aanmeldingsverplichting uit artikel 108, derde lid, VWEU, mits wordt voldaan aan de voorwaarden uit het tweede lid van het desbetreffende artikel, alsmede aan de voorwaarden uit hoofdstukl van de AGVV.
## Kennisqevinq en publicatie
Ik ben verplicht om subsidies die worden verstrekt in het kader van de genoemde verordening tijdig kennis te geven aan de Europese Commissie. Op grond van Onze referentie 41818960
artikel 53 AGVV in samenhang met artikel 11 AGVV wordt onderhavige subsidieverlening dan ook kennisgegeven bij de Europese Commissie. Tevens wordt ingevolge artikel 9 van de AGVV de volledige tekst van deze beschikking bekend gemaakt op de website van de Rijksoverheid.
Onze referentie 41818960
## Bewaartermijn en monitoring
Op grond van artikel 12 AGVV kan de Europese Commissie tot 10 jaar na de steunverlening stukken daarover opvragen. Het is daarom van belang dat u alle documenten met betrekking tot de subsidie ten minste 10 jaar bewaart. Daarnaast dient er een goede dossiervorming plaats to vinden voor een eventueel tussentijds onderzoek (monitoring) door de Europese Commissie. Indien de Europese Commissie de steun aisnog als ongeoorloofd aanmerkt, kan de steun teruggevorderd worden.
## Wanneer ontvangt u de subsidie?
U ontvangt een voorschot van 100 procent van het subsidiebedrag.
Gelet op uw Iiquiditeitsbehoefte, zoals kenbaar gemaakt in uw aanvraag, ontvangt u het bedrag binnen twee weken na verzending van deze brief als voorschot op IBAN onder vermelding van kenmerk 41818960.
## Heeft u vragen?
Voor vragen over deze beschikking kunt u contact opnemen met uw contactpersoon: .
Ik wens u veel succes met de uitvoering van de activiteiten.
Met vriendelijke groet,
de staatssecretaris van Onderwijs, Cultuur en Wetenschap, namens deze, de directeur Erfgoed en Kunsten,</t>
  </si>
  <si>
    <t>Rijksoverheid__111_Definitief-besluit-subsidie-pilotproject-van-Gogh-Nationaal-Park.txt::Rechtshandeling</t>
  </si>
  <si>
    <t>verleen [4165:4173]</t>
  </si>
  <si>
    <t>verleen [4165:4172]</t>
  </si>
  <si>
    <t>[...] u aan de relevante documenten met betrekking tot deze subsidie gedurende deze periode te bewaren. ## 2. Besluit In het kader van mijn beleid gericht op het ontwikkelen van een netwerk van groen-blauwe dooradering verleen ik u hierbij, op grond van artikel 2a, eerste lid, onderdeel e groen onderzoek van de Kaderwet EZK- en LNV-subsidies, subsidie voor de uitvoering van het project pilotgebied van Gogh Nationaal Park, waarvoor u subsidie h [...]</t>
  </si>
  <si>
    <t>Rijksoverheid__111_Definitief-besluit-subsidie-pilotproject-van-Gogh-Nationaal-Park.txt::Rechtsobject</t>
  </si>
  <si>
    <t>subsidie [4291:4300]</t>
  </si>
  <si>
    <t>subsidie [4291:4299]</t>
  </si>
  <si>
    <t>[...] kader van mijn beleid gericht op het ontwikkelen van een netwerk van groen-blauwe dooradering verleen ik u hierbij, op grond van artikel 2a, eerste lid, onderdeel e groen onderzoek van de Kaderwet EZK- en LNV-subsidies, subsidie voor de uitvoering van het project pilotgebied van Gogh Nationaal Park, waarvoor u subsidie hebt aangevraagd. ## 2.1 Periode Het project dient te worden uitgevoerd in de periode van 1 april 2023 tot en met 31 decem [...]</t>
  </si>
  <si>
    <t>Rijksoverheid__114_Besluit-op-subsidieverzoek-“Veenweidensloot-van-de-toekomst-–-VIPNL-project”.txt::Ontvanger</t>
  </si>
  <si>
    <t>Rijksoverheid__114_Besluit-op-subsidieverzoek-“Veenweidensloot-van-de-toekomst-–-VIPNL-project”.txt</t>
  </si>
  <si>
    <t>Stichting Veenweiden Innovatiecentrum - VIC Zegveld</t>
  </si>
  <si>
    <t>stichting veenweiden innovatiecentrum - vic zegveld</t>
  </si>
  <si>
    <t>Stichting Veenweiden Innovatiecentrum - VIC Zegveld [69:120]</t>
  </si>
  <si>
    <t>&lt;!-- image --&gt; &amp;gt; Retouradres Postbus 20401 2500 EK Den Haag Stichting Veenweiden Innovatiecentrum - VIC Zegveld Datum ## - 2 9 JIM 2023 Betreft subsidie VIPNL-project Veenweidensloot van de Toekomst. Verplichting nummer Geachte ## 1. Aanvraag Op 25 januari 2023 ontving ik per e-mail uw brief van 19 januari 2023, [...]</t>
  </si>
  <si>
    <t>Rijksoverheid__114_Besluit-op-subsidieverzoek-“Veenweidensloot-van-de-toekomst-–-VIPNL-project”.txt::Besluitvormend Orgaan</t>
  </si>
  <si>
    <t>De Minister van Landbouw, Natuur en Voedselkwaliteit [23066:23118]</t>
  </si>
  <si>
    <t>[...] deze subsidie dient u, met vermelding van verplichtingnummer te zenden naar: Ministerie van Landbouw, Natuur en Voedselkwaliteit t.a.v. Directie Strategie, Kennis en Innovatie Postbus 20401 2500 EK Den Haag De Minister van Landbouw, Natuur en Voedselkwaliteit, namens deze: Secret. •eneraal LNV Jan-Kees Goet, &lt;!-- image --&gt; Als u het niet eens bent met deze beslissing kunt u binnen zes weken na verzending van deze brief een bezwaarschrift indienen. Stuur het ond [...]</t>
  </si>
  <si>
    <t>Rijksoverheid__114_Besluit-op-subsidieverzoek-“Veenweidensloot-van-de-toekomst-–-VIPNL-project”.txt::Rechtshandeling</t>
  </si>
  <si>
    <t>- Retouradres Postbus 20401 2500 EK Den Haag V
## Stichting het Noordbrabants Landschap
I
2.e 5.1.2.
I
2.e 5.1.2.
T.a.v. de 5.1.2.
Datum
09-08-2023
Geachte 5.1.2.
Betreft Subsidiebeschikking "pilotproject van Gogh Nationaal Park", verplichtingnummer 1400013505
## 1. Aanvraag
Op 27 maart 2023 ontving ik uw brief van 23 maart 2023, kenmerk 70.4.17/230335, waarin u subsidie aanvraagt voor het project 'pilotgebied van Gogh Nationaal Park. U heeft daarbij een projectplan en begroting aan mij overgelegd.
## 1.1. Procesverloop
Op 27 maart is de ontvangst van uw brief per mail bevestigd. Verder hebben zich geen bijzonderheden in het proces voorgedaan.
## 1.2 Beoordeling van uw aanvraag
Het project zoals beschreven in uw aanvraag past binnen het kader van het Nationaal Programma Landelijk Gebied. Hierin is de richtinggevende doelstelling opgenomen om te komen tot 10% groenblauwe dooradering in 2050. De activiteiten van het project 'pilotgebied van Gogh Nationaal Park dragen bij aan deze doelstelling door middel van het ontwikkelen van een instrumentenkoffer die het realiseren van 10% groen-blauwe dooradering faciliteert.
## 1.3 Europeesrechtelijke aspecten
Op grond van artikel 7 van de Kaderwet EZK en LNV-subsidies verleen ik geen subsidie als dit naar mijn oordeel leidt tot het verlenen van ongeoorloofde staatssteun in de zin van artikel 107 van het Verdrag betreffende de werking van de Europese Unie (hierna: VWEU).
Op basis van uw aanvraag kom ik tot het oordeel dat de subsidie verstrekt kan worden op grond van verordening (EU) nr. 2022/2472 van de Commissie van 14 december 2022 waarbij bepaalde categorieën steun in de landbouw- en bosbouwsector en in plattelandsgebieden op grond van de artikelen 107 en 108 van het Verdrag betreffende de werking van de Europese Unie met de interne markt verenigbaar worden verklaard (Pb EU 2022, L 327/50-51), met name artikel 38.
Ministerie van Landbouw, Natuur en Voedselkwaliteit Directoraat-generaal Natuur en Visserij
## Bezoekadres
Bezuidenhoutseweg 73 2594 AC Den Haag
## Postadres
Postbus 20401 2500 EK Den Haag
## Overheidsidentificatienr
00000001858272854000
T 070 379 8911 (algemeen) F 070 378 6100 (algemeen)
[www.rijksoverheid.nl/lnv](http://www.rijksoverheid.nl/lnv)
## Behandeld door
&lt;!-- image --&gt;
## Ons kenmerk
DGNV / 27782462
Uw kenmerk
Bijlage(n)
Dit artikel verklaart steun voor onderzoek en ontwikkeling in de landbouw- en de bosbouwsector verenigbaar met de interne markt en vrijgesteld van de voorgenoemde aanmeldingsverplichting uit artikel 108, derde lid VWEU, mits wordt voldaan aan de voorwaarden uit het eerste tot en met het tiende lid van het desbetreffende artikel, alsmede aan de voorwaarden uit het hoofdstuk I van Verordening (EU) nr. 2022/2472.
Ik heb geconstateerd dat Stichting het Noordbrabants Landschap geen onderneming in moeilijkheden is zoals bedoeld in artikel 2, onder punt 14, van Verordening (EU) nr. 2022/2472. Ik heb verder geconstateerd dat ertegen Stichting het Noordbrabants Landschap geen bevel tot terugvordering uitstaat als bedoeld in artikel 1, vijfde lid, onderdeel b, van Verordening (EU) nr. 2022/2472. Voorts heb ik vastgesteld dat met de uitvoering van dit projectplan niet is begonnen dan na de aanvraag van 23 maart 2023. Er gaat derhalve - onder meer om deze reden - een stimulerend effect uit van deze subsidieverlening aan Stichting het Noordbrabants Landschap.
Beknopte informatie over deze subsidieverlening is op grond van artikel 9, eerste lid, van Verordening (EU) nr. 2022/2472 gemeld aan de Europese Commissie. De volledige tekst van de onderhavige beschikking wordt gepubliceerd op de staatssteunwebsite op het internet.
## 1.4 Bewaartermijn boekhouding
Ik wijs u erop dat de Europese Commissie nog gedurende tien jaar na de verstrekking van deze subsidie, deze achteraf kan controleren. Ik raad u aan de relevante documenten met betrekking tot deze subsidie gedurende deze periode te bewaren.
## 2. Besluit
In het kader van mijn beleid gericht op het ontwikkelen van een netwerk van groen-blauwe dooradering verleen ik u hierbij, op grond van artikel 2a, eerste lid, onderdeel e groen onderzoek van de Kaderwet EZK- en LNV-subsidies, subsidie voor de uitvoering van het project pilotgebied van Gogh Nationaal Park, waarvoor u subsidie hebt aangevraagd.
## 2.1 Periode
Het project dient te worden uitgevoerd in de periode van 1 april 2023 tot en met 31 december 2024.
## 2.2 Subsidiebedrag
Het subsidiebedrag zal 100% van de volgende subsidiabele kosten bedragen, met dien verstande dat, indien ter zake van de subsidiabele kosten of een deel daarvan reeds uit anderen hoofde vanwege een bestuursorgaan of de Europese Commissie subsidie is verstrekt, slechts een zodanig bedrag aan subsidie wordt verstrekt, dat het totale bedrag aan subsidies niet meer bedraagt dan 100% van de subsidiabele kosten. Het subsidiebedrag kan niet meer bedragen dan toegestaan volgens de toepasselijke Europese steunkaders.
Dit bedrag is inclusief alle eventuele belastingen waaronder de BTW.
Directoraat-generaal Natuur en Visserij
Ons kenmerk DGNV / 27782462
De subsidie wordt ten hoogste vastgesteld op € 398.000 inclusief BTW gelet op de gegevens opgenomen in uw aanvraag en is berekend volgens de bij uw aanvraag gevoegde begroting.
## 2.3 Subsidiabele kosten
De volgende, rechtstreeks aan het project toe te rekenen kosten, daadwerkelijk gemaakt in de voornoemde periode en die betaald zijn vóór 1 april 2025 worden door mij subsidiabel geacht:
- interne kosten op basis van gebruik van de vaste-uurtarief-systematiek, waarbij gebruik wordt gemaakt van een uurtarief van € 115.
- aan derden verschuldigde kosten die direct voor de subsidiabele activiteiten worden gemaakt, bijvoorbeeld door uitbesteding van een deel van de subsidiabele activiteit en kosten van voor de subsidiabele activiteit geleverde goederen en diensten;
- reis- en verblijfskosten tot een maximum van 5% van de projectkosten; · reis- en verblijfskosten tot een maximum van 5% van de projectkosten;
- projectmanagement, met dien verstande dat ten hoogste 10% van de projectkosten in aanmerking is genomen.
De vóór indiening van de aanvraag gemaakte kosten komen niet voor subsidie in aanmerking.
Voor de toepassing van de hierboven genoemde punten geldt, dat winstopslagen bij transacties binnen een groep alleen in aanmerking zijn genomen voor zover het gebruikelijk is om die winstopslagen ook bij soortgelijke transacties buiten de groep in rekening te brengen.
## 2.4 BTW
U heeft mij opgegeven dat u niet BTW-plichtig bent. Het subsidiebedrag is inclusief alle eventuele belastingen waaronder de BTW. U dient mij de beschikking met betrekking tot uw BTW-plicht over de gesubsidieerde activiteiten uiterlijk bij het verzoek om een subsidievaststelling te overleggen. In het geval dat u deze beschikking niet kunt overleggen óf uit die beschikking volgt dat u wel BTWplichtig bent, zal de subsidie alsnog exclusief de belastingen waaronder BTW worden vastgesteld. Een teveel betaald subsidiebedrag zal worden teruggevorderd.
Directoraat-generaal Natuur en Visserij
Ons kenmerk DGNV / 27782462
## 2.5 Subsidiabele kosten voor dit project
Op grond van uw projectplan en begroting raam ik de subsidiabele kosten voor dit project op:
| Activiteit                                                                          |   Uren | Arbeidskosten   | Materiële kosten   |
|-------------------------------------------------------------------------------------|--------|-----------------|--------------------|
| Ontwikkeling van instrumentenkoffer________                                         |    780 | €91.400         |                    |
| Ontwikkeling methodiek en tooi voor private financiering en werving hiervan________ |    490 | €65.750         | €50.000            |
| Verkenning ruimtelijke mogelijkheden GBDA______                                     |    460 | €66.900         |                    |
| Verkenning fiscale mogelijkheden____________                                        |    100 | €16.600         |                    |
| Uittesten resultaten in startgebieden met grondeigenaren____________                |    255 | €29.325         |                    |
| Verkenning governance                                                               |    150 | €20.050         |                    |
| Rapportage_______________                                                           |     80 | € 9.200         |                    |
| Totaal                                                                              |        | €299.225        | €50.000            |
| Totaal begroot ex. BTW_____________   | 349.225   |
|---------------------------------------|-----------|
| BTW______________________________     | €73.337   |
| Totaal begroot incl. BTW____________  | €422.562  |
| Bijdrage van Van Gogh Nationaal Park  | €24.562   |
| Totaal subsidiabele kosten            | €398.000  |
## 2.6 Verplichtingen
Aan de subsidie zijn de volgende verplichtingen verbonden:
1. U dient het project volledig uit te voeren overeenkomstig het bij de aanvraag ingediende plan en binnen de daarin voorziene tijdsduur.
2. U dient mij onverwijld een schriftelijke melding te doen zodra aannemelijk is dat de activiteiten waarvoor de subsidie is verleend niet, niet tijdig of niet geheel zullen worden verricht of dat niet, niet geheel of niet tijdig aan de aan de subsidie verbonden verplichtingen zal worden voldaan.
3. U dient voor elke essentiële wijziging in de aard of de uitvoering van het plan mijn voorafgaande schriftelijke toestemming te vragen. Geen toestemming is vereist voor een wijziging van de in de subsidieverlening gespecificeerde kostenposten indien als gevolg van deze wijzing de omvang van een kostenpost niet meer dan 15% wijzigt. Aan mijn toestemming kan ik nadere verplichtingen verbinden.
4. U dient mij schriftelijk verslag uit te brengen over de voortgang van het project. In dit verslag dient duidelijk inzicht te worden gegeven in de voortgang van het project in vergelijking met de voorziene tijdsduur en kosten zoals opgenomen in het door u ingediende projectplan. Het eerste verslag brengt u uit over de periode van zes maanden na de datum van de
Directoraat-generaal Natuur en Visserij
Ons kenmerk
DGNV / 27782462
beschikking; de volgende verslagen steeds over de daarop volgende periode van twaalf maanden. Alle verslagen dienen binnen twee maanden na afloop van de betrokken periode bij mij ingediend te zijn.
5. De inrichting van uw administratie dient zodanig te zijn dat deze aansluit bij de door u ingediende begroting en daaruit te allen tijden op eenvoudige en duidelijke wijze de rechtstreeks aan het project te rekenen kosten kunnen worden afgelezen. Ter zake van de loonkosten dient door middel van een urenadministratie vastgestelde urenverantwoording aanwezig te zijn.
6. Op mijn verzoek dient u inlichtingen te verschaffen omtrent de voortgang of resultaten van het project. U bent verplicht om op mijn verzoek medewerking te verlenen aan een evaluatie van het beleid op grond waarvan deze subsidie is verstrekt. Deze verplichtingen gelden tot vijfjaar na de datum van de beschikking tot subsidievaststelling.
7. U doet mij onverwijld schriftelijke mededeling van de indiening bij de rechtbank van een verzoek tot het op u van toepassing verklaren van de schuldsaneringsregeling natuurlijke personen, tot verlening van surseance van betaling aan u of tot faillietverklaring van u.
8. Uiterlijk binnen 13 weken na de in deze beschikking genoemde einddatum dient u bij mij schriftelijk een verzoek om subsidievaststelling in. Dit verzoek dient vergezeld te gaan van:
- a. Een eindrapport waarin verloop en eindresultaten van het gesubsidieerde project zijn vastgelegd;
- b. Een gespecificeerde opgave van alle rechtstreeks aan het project toe te rekenen werkelijk gemaakte kosten, opgesteld conform de door u ingediende begroting;
- c. Een controleverklaring conform het in bijlage 1 van deze beschikking opgenomen controleprotocol.
- d. Een beschikking van de Belastingdienst waaruit volgt dat u voor de gesubsidieerde activiteiten niet BTW-plichtig bent.
9. U voert het project uit in overeenstemming met de verplichtingen, opgenomen in artikel 38 van Vrijstellingsverordening landbouw, Vo 2022/2472. Dit houdt, onder meer, in:
- a. De resultaten van het gesteunde project worden op een openbaar toegankelijke website beschikbaar gesteld vanaf de einddatum van het gesteunde project of vanaf de datum waarop informatie over die resultaten wordt gegeven aan leden van een specifieke organisatie, afhankelijk van wat als eerste plaatsvindt. De resultaten blijven op het internet beschikbaar gedurende ten minste vijf jaar vanaf de einddatum van het gesteunde project.
- b. Wanneer een organisatie voor onderzoek en/of kennisverspreiding ook economische activiteiten uitoefent, moet met betrekking tot de financiering, de kosten en de inkomsten van die economische activiteiten een gescheiden boekhouding worden gevoerd.
10. In het geval er activiteiten door een derde of derden worden uitgevoerd, dient opdrachtverlening aan deze derde(n) plaats te vinden op basis van transparante criteria en marktconforme tarieven.
Directoraat-generaal Natuur en Visserij
Ons kenmerk DGNV / 27782462
I
De beschikking tot subsidievaststelling zal ik geven binnen 13 weken na ontvangst van uw aanvraag daartoe dan wel nadat de voor het indienen ervan geldende termijn genoemd in verplichting 8 is verstreken. Indien de beschikking niet binnen 13 weken kan worden gegeven zal ik u daarvan in kennis stellen en daarbij een redelijke termijn noemen waarbinnen de beschikking tegemoet gezien kan worden.
## 2.8 Voorschot
I Ik verleen u bij deze een voorschot van 80% van het genoemde subsidiebedrag € 318.400. Het voorschot zal worden betaald binnen zes weken na de dag van verzending van deze beschikking op uw bankrekeningnummer: 5.1.2.
ten name van Stichting het Noordbrabants Landschap. Het restant van 5.1.2.e 20% van €79.600 zal worden overgemaakt binnen zes weken na de dag waarop de subsidie is vastgesteld.
## 2.9 Advies
Om eventuele problemen met de accountantscontrole op uw financiële verantwoording te voorkomen adviseer ik u om uw accountant zo vroeg mogelijk te betrekken.
## 3. Correspondentie
Alle correspondentie met betrekking tot deze subsidie dient u, met vermelding van bovenstaand verplichtingnummer, te zenden naar:
Ministerie van Landbouw, Natuur en Voedselkwaliteit
&lt;!-- image --&gt;
&lt;!-- image --&gt;
I
I
I
or Natuur en Stikstof, De Minister
9
5.1.2,e. 5.1.2.e mw. Wnd. Directeur Natuur
namens dez
t.a.v.
512e
5.1.2.e
5.1.2.e
Als u het niet eens bent met deze beslissing kunt u binnen zes weken na verzending van deze brief een bezwaarschrift indienen. Stuur het ondertekende bezwaarschrift met een kopie van deze beslissing naar Rijksdienst voor Ondernemend Nederland, afdeling Juridische Zaken, Postbus 40219, 8004 DE, Zwolle. Op onze internetsite https://mijn.rvo. nl/bezwaar vindt u meer belangrijke informatie over het indienen van een bezwaarschrift. Dit bestuit is verzonden op de in de aanhef van deze brief vermelde datum.
Directoraat-generaal Natuur en Visserij
Ons kenmerk DGNV / 27782462
## Bijlage 1
Controleprotocol beschikking tot (incidentele) subsidieverlening van de ministeries van Economische Zaken en Klimaat (EZK) en Landbouw, Natuur en Voedselkwaliteit (LNV)
## 1. Uitgangspunten
## 1.1. Doelstelling
Dit protocol heeft als doel het geven van aanwijzingen over de reikwijdte en de diepgang van de controle aan de accountant, belast met de controle van de door de subsidieontvanger bij het ministerie van Economische Zaken en Klimaat (EZK) en het ministerie van Landbouw, Natuur en Voedselveiligheid (LNV) in te dienen financieel verslag opgenomen in de aanvraag om subsidievaststelling. Financiële afrekening door EZK of LNV vindt plaats op basis van het in de aanvraag tot subsidievaststelling opgenomen financieel verslag als bedoeld in artikel 50 van het Kaderbesluit nationale EZK- en LNV-subsidies, voorzien van een controleverklaring van de accountant.
## 1.2. Definities
- Accountant: een registeraccountant of Accountant-Administratieconsulent als bedoeld in artikel 393, eerste lid, van Boek 2 van het Burgerlijk Wetboek aan wie de subsidieontvanger de opdracht heeft toegekend de aanvraag tot subsidievaststelling te controleren.
- Subsidieontvanger: een natuurlijke of rechtspersoon of diens gemachtigde aan wie namens EZK of LNV een subsidie is verstrekt.
- Controleverklaring: een schriftelijke verklaring van de accountant inhoudende een oordeel over de juistheid, de volledigheid en de financiële rechtmatigheid van een aanvraag tot subsidievaststelling.
## 1.3. Wet- en regelgeving
Voor de controle van het financieel verslag is de volgende wet- en regelgeving van toepassing:
- de voorwaarden en verplichtingen die in de (bijlagen bij) de beschikking tot subsidieverlening (of wijzigingen daarin) tot toetsingskader voor de accountant worden benoemd, voor zover dit de door hem te controleren financiële rechtmatigheid van het verslag betreft;
- indien de subsidieontvanger een aanbestedende dienst is volgens artikel 1.1 van de Aanbestedinqswet 2012: de Aanbestedingswet 2012, het Aanbestedinqsbesluit en de Gids Proportionaliteit.
Bij de uitvoering van de controle stelt de accountant vast dat:
- in het financieel verslag: a.
- 1°. geen kosten als subsidiabel zijn opgenomen die niet voor subsidie in aanmerking komen op grond van het toetsingskader in de beschikking tot subsidieverlening;
- 2°. uitsluitend kosten als subsidiabel zijn opgenomen die zijn gemaakt binnen de subsidiabele periode en voor rekening komen van de subsidieontvanger;
Directoraat-generaal Natuur en Visserij
Ons kenmerk
DGNV / 27782462
- b. de subsidieontvanger opgave doet van alle opbrengsten, waaronder subsidies, waarmee het programma / de activiteit waarop de subsidie betrekking heeft, mede is gefinancierd;
2. ingeval de subsidie strekt tot uitvoering van een project, kosten en c. opbrengsten aantoonbaar zijn gemaakt in het kader van de uitvoering van het projectplan en in overeenstemming met de bijbehorende projectbegroting waarop de beschikking tot subsidieverlening betrekking heeft.
## 2. Controleaanpak
## 2.1. Eisen voor de controleaanpak
De controle moet voldoen aan de controlestandaarden die onderdeel zijn van de nadere voorschriften Controle- en overige standaarden (NV COS), die door de Koninklijke Nederlandse Beroepsorganisatie van Accountants (NBA) zijn vastgesteld.
Voor de controle van aanbestedende diensten geldt dat bij aanbestedingen boven de Europese drempelbedragen voor de financiële rechtmatigheid van de in het financieel verslag opgenomen kosten de in dit protocol opgenomen goedkeuringstoleranties worden gehanteerd.
## 2.2. Materialiteit: goedkeuringstoleranties en gewenste zekerheid
Bij zijn oordeelsvorming over de naleving van de subsidievoorwaarden streeft de accountant naar een redelijke mate van zekerheid. Indien dit begrip voor het gebruik van statistische technieken gekwantificeerd moet worden, wordt een betrouwbaarheid van 95% gehanteerd.
Een controleverklaring met een goedkeurende strekking impliceert dat, gegeven eerder genoemde betrouwbaarheid, de som van de afwijking en de onzekerheid niet groter is dan twee procent van het totaalbedrag aan subsidiabele kosten dat in het financieel verslag wordt verantwoord. De hierna vermelde goedkeuringstoleranties zijn in dit kader van toepassing voor de bepaling van de strekking van de af te geven controleverklaring.
| Materialiteitstabel                                               | Controleverklaring   | Controleverklaring   | Controleverklaring          |
|-------------------------------------------------------------------|----------------------|----------------------|-----------------------------|
|                                                                   | Goedkeurend          | Beperking            | Oordeelonthouding/Afkeuring |
| Fouten in het financieel overzicht en onzekerheden in de controle | &lt;2 %                 | &gt; 2 % en &lt; 4 %       | &gt; 4%                        |
## 3. Verslaglegging
De accountant legt de uitkomsten van de controle vast in een controleverklaring. Hiervoor wordt de meest actuele NBA-voorbeeldtekst in de Handleiding Regelgeving Accountancy, deel 3, sectie II, hoofdstuk 10.3: 'Controleverklaring bij een subsidiedeclaratie in de (semi)publieke sector' als basis gehanteerd. In de verklaring dient te staan dat de accountant dit accountantsprotocol heeft gevolgd.
## 4. Reviewbeleid
De minister van EZK of LNV heeft als subsidieverstrekker te allen tijde de mogelijkheid een review uit te voeren of te laten uitvoeren bij de accountant Directoraat-generaal Natuur en Visserij
Ons kenmerk DGNV / 27782462
belast met het onderzoek naar de informatie opgenomen in de aanvraag tot vaststelling teneinde na te gaan of het onderzoek met inachtneming van de relevante regelgeving van de NBA en dit accountantsprotocol is uitgevoerd. Deze reviews komen niet in de plaats van andere controles dan wel reviews uitgevoerd door de Algemene Rekenkamer.
De accountant belast met het onderzoek en verantwoordelijk voor het verstrekken van het accountantsproduct bij de aanvraag tot vaststelling stemt er mee in dat de onderzoeksdossiers ten behoeve van bovengenoemde reviews integraal aan de reviewers ter inzage worden gegeven. Voorts zal de accountant, schriftelijk dan wel mondeling, alle gevraagde gegevens verstrekken die in het kader van voornoemde reviews worden opgevraagd. In dit kader wordt verwezen naar de bepalingen in hoofdstuk 6, paragraaf 1, van de Comptabiliteitswet 2016.
Directoraat-generaal Natuur en Visserij
Ons kenmerk DGNV / 27782462
## Directoraat-generaal Natuur en Visserij
## Ons kenmerk
DGNV / 27782462</t>
  </si>
  <si>
    <t>verleen [5360:5368]</t>
  </si>
  <si>
    <t>verleen [5360:5367]</t>
  </si>
  <si>
    <t>[...] kking tot deze subsidie gedurende deze periode te bewaren. ## 2. Besluit In het kader van mijn beleid gericht op het reduceren van 1 Megaton CO2equivalent in 2030 in lijn met de doelstelling van het Klimaatakkoord verleen ik u hierbij, op grond van artikel 2a, eerste lid, onderdeel c (landbouw) en d (natuur), van de Kaderwet EZK- en LNV-subsidies, subsidie voor de uitvoering van ## Directoraat-generaal Agro Directie Strategie, Kenni [...]</t>
  </si>
  <si>
    <t>Rijksoverheid__114_Besluit-op-subsidieverzoek-“Veenweidensloot-van-de-toekomst-–-VIPNL-project”.txt::Rechtsobject</t>
  </si>
  <si>
    <t>subsidie [5496:5505]</t>
  </si>
  <si>
    <t>subsidie [5496:5504]</t>
  </si>
  <si>
    <t>[...] 1 Megaton CO2equivalent in 2030 in lijn met de doelstelling van het Klimaatakkoord verleen ik u hierbij, op grond van artikel 2a, eerste lid, onderdeel c (landbouw) en d (natuur), van de Kaderwet EZK- en LNV-subsidies, subsidie voor de uitvoering van ## Directoraat-generaal Agro Directie Strategie, Kennis en Innovatie Ons kenmerk DGA-SKI! het project "Veenweidensloot van de Toekomst", waarvoor u subsidie hebt aangevraagd. ## 2.1 [...]</t>
  </si>
  <si>
    <t>Rijksoverheid__116_Beschikking-aanvraag-subsidie-Vereniging-De-Hollandsche-Molen.txt::Ontvanger</t>
  </si>
  <si>
    <t>Rijksoverheid__116_Beschikking-aanvraag-subsidie-Vereniging-De-Hollandsche-Molen.txt</t>
  </si>
  <si>
    <t>Vereniging De Hollandsche Molen</t>
  </si>
  <si>
    <t>vereniging de hollandsche molen</t>
  </si>
  <si>
    <t>Vereniging De Hollandsche Molen [56:87]</t>
  </si>
  <si>
    <t>- &amp;gt; Retouradres Postbus 1600 3800 BP Amersfoort Vereniging De Hollandsche Molen T. a. V. levens- - P&amp;lt;H,oaniï1&amp;lt;e besci-ming Zeebu~gerdijl&amp;lt; 139· - - - 1095 AA AMSTERDAM Datum 21 juni 2023 Betreft: Besluit op aanvraag subsidie ## Plnoonljle---~ Geachte , Met [...]</t>
  </si>
  <si>
    <t>Rijksoverheid__116_Beschikking-aanvraag-subsidie-Vereniging-De-Hollandsche-Molen.txt::Besluitvormend Orgaan</t>
  </si>
  <si>
    <t>De staatssecretaris van Onderwijs, Cultuur en Wetenschap [9987:10044]</t>
  </si>
  <si>
    <t>[...] verzoek u bij elk contact met de Rijksdienst voor het Cultureel Erfgoed het referentienummer van deze brief te gebruiken. Ik wens u veel succes met de uitvoering van de activiteiten. Met vriendelijke groet, De staatssecretaris van Onderwijs, Cultuur en Wetenschap, namens deze, de Rijksdienst voor het Cultureel Erfgoed, ## Persoonlijl&amp;lt;e levenssfeer - oesclierming algemeen directeur ## Heeft u bezwaar? Mocht u bezwaar hebben tegen dit besluit dan kunt u binnen zes w [...]</t>
  </si>
  <si>
    <t>Rijksoverheid__116_Beschikking-aanvraag-subsidie-Vereniging-De-Hollandsche-Molen.txt::Rechtshandeling</t>
  </si>
  <si>
    <t>verleen [620:630]</t>
  </si>
  <si>
    <t>verleen [621:628]</t>
  </si>
  <si>
    <t>&lt;!-- image --&gt;
&amp;gt; Retouradres Postbus 20401 2500 EK Den Haag
Stichting Veenweiden Innovatiecentrum - VIC Zegveld
Datum
## - 2 9 JIM 2023
Betreft subsidie VIPNL-project Veenweidensloot van de Toekomst. Verplichting nummer
Geachte
## 1. Aanvraag
Op 25 januari 2023 ontving ik per e-mail uw brief van 19 januari 2023, met kenmerk VWS VIPNL 23-26, waarin u subsidie aanvraagt voor het project "Veenweidensloot van de Toekomst". U heeft daarbij een projectplan en begroting aan mij overgelegd.
## 1.1 Beoordeling van uw aanvraag
Het project, zoals beschreven in het projectplan, past binnen het kader van het beleid omtrent het Klimaatakkoord. In het Klimaatakkoord is afgesproken om de uitstoot van broeikasgassen door veenweidegebieden in 2030 met 1 Megaton per jaar omlaag te brengen. Mijn beleid is erop gericht deze doelstelling te behalen. Uw project draagt hieraan bij door kennisleemten in te vullen en innovatie aan te jagen. Het proces ter vermindering van bovengenoemde uitstoot wordt bestuurlijk gecoirdineerd  via de Regiegroep Veenweiden. Hierin zitten het ministerie van LNV, provincies, waterschappen, gemeente en maatschappelijke organisaties. In de Regiegroep Veenweiden is een kennisagenda vastgesteld: Veenweide Innovatieprogramma Nederland (VIPNL). Het programma bestaat uit vier sporen: water, bodem, landgebruik en integrale bedrijfsvoering. Op deze thema's zijn de kennisleemten in kaart gebracht die aandacht moeten krijgen om de klimaatdoelstelling dichterbij te brengen.
Stichting Veenweiden Innovatiecentrum (VIC) Zegveld heeft zich opgeworpen als partij die het VIPNL-project "Veenweidensloot van de Toekomst" (VeeST) wil coordineren.
Dit project beoogt inzicht te geven in hoe een VeeST kan worden ontwikkeld en behouden én hoe negatieve effecten van hogere peilen kan worden gemitigeerd met beheer en onderhoud. Uitgangspunt is een systeembenadering met een gestandaardiseerde manier van gegevensinventarisatie. Meer integraal onderzoek waarin op een systematische manier de context en ook beheer en onderhoud wordt meegenomen is nodig, zeker als het gaat om omstandigheden waarin de verwachte hogere slootpeilen en hogere fluctuaties zich voordoen.
Directoraat-generaal Agro Directie Strategie, Kennis en
Innovatie
## Bezoekadres
Bezuidenhoutseweg 73 2594 AC Den Haag
## Postadres
Postbus 20401 2500 EK Den Haag
## Overheidsidentificatienr
00000001858272854000
T 070 379 8911 (algemeen) F 070 378 6100 (algemeen) www. rijksoverheid. nI/Inv
Behandeld door
Ons kenmerk DGA-SKIr
Uw kenmerk
Bijlage(n) 2
Zo kunnen gegevens uit verschillende praktijksituaties, veldexperimenten en pilots goed worden vergeleken en kunnen de juiste maatwerkadviezen worden gegeven ten behoeve van de Veenweidensloot die klaar is voor. de toekomst. Zo kunnen gegevens uit verschillende praktijksituaties, veldexperimenten en
## 1.2 Europeesrechtelijke aspecten
Op grond van artikel 7 van de Kaderwet EZK- en LNV-subsidies verleen ik geen subsidie als dit naar mijn oordeel leidt tot het verlenen van ongeoorloofde staatssteun in de zin van artikel 107 van het Verdrag betreffende de werking van de Europese Unie (hierna: VWEU).
Op basis van uw aanvraag kom ik tot het oordeel dat deze subsidie verstrekt kan worden op grond van Verordening (EU) nr. 2022/2472 van de Commissie van 14 december 2022 waarbij bepaalde categorieën steun in de landbouw- en bosbouwsector en in plattelandsgebieden op grond van de artikelen 107 en 108 van het Verdrag betreffende de werking van de Europese Unie met de interne markt verenigbaar worden verklaard (PbEU 2022, L 327), met name artikel 38.
Dit artikel verklaart steun voor onderzoek en ontwikkeling in de landbouw- en de bosbouwsector verenigbaar met de interne markt en vrijgesteld van de voorgenoemde aanmeldingsverplichting uit artikel 108, derde lid, VWEU, mits wordt voldaan aan de voorwaarden uit het tweede tot en met tiende lid van het desbetreffende artikel, alsmede aan de voorwaarden uit het hoofdstuk I van Verordening (EU) nr. 2022/2472.
Ik heb geconstateerd dat VIC Zegveld geen onderneming in moeilijkheden is zoals bedoeld in artikel 2, onder punt 59, van Verordening (EU) nr. 2022/2472. Ik heb verder geconstateerd dat er tegen VIC Zegveld geen bevel tot terugvordering uitstaat als bedoeld in artikel 1, vierde lid, onderdeel b, van Verordening (EU) nr. 2022/2472. Voorts heb ik vastgesteld dat met de uitvoering van dit projectplan niet eerder is begonnen dan na 1 februari 2023. Er gaat derhalve - onder meer om deze reden - een stimulerend effect uit van deze subsidieverlening aan VIC Zegveld.
Beknopte informatie over deze subsidieverlening is op grond van artikel 9, eerste lid, van Verordening (EU) nr. 2022/2472 gemeld aan de Europese Commissie. De volledige tekst van de onderhavige beschikking wordt gepubliceerd op het internet (www.riiksoverheid.n1).
## 1.3 Bewaartermijn boekhouding
Ik wijs u erop dat de Europese Commissie nog gedurende tien jaar na de verstrekking van deze subsidie deze achteraf kan controleren. Ik raad u aan de relevante documenten met betrekking tot deze subsidie gedurende deze periode te bewaren.
## 2. Besluit
In het kader van mijn beleid gericht op het reduceren van 1 Megaton CO2equivalent in 2030 in lijn met de doelstelling van het Klimaatakkoord verleen ik u hierbij, op grond van artikel 2a, eerste lid, onderdeel c (landbouw) en d (natuur), van de Kaderwet EZK- en LNV-subsidies, subsidie voor de uitvoering van
## Directoraat-generaal Agro
Directie Strategie, Kennis en Innovatie
Ons kenmerk DGA-SKI!
het project "Veenweidensloot van de Toekomst", waarvoor u subsidie hebt aangevraagd.
## 2.1 Periode
Het project dient te worden uitgevoerd in de periode van 1 februari 2023 tot en met 31 december 2026.
## 2.2 Subsidiebedrag
Het subsidiebedrag zal 62,5% van de hierna genoemde subsidiabele kosten bedragen, met dien verstande dat, indien ter zake van de subsidiabele kosten of een deel daarvan reeds uit anderen hoofde vanwege een bestuursorgaan of de Europese Commissie subsidie is verstrekt, slechts een zodanig bedrag aan subsidie wordt verstrekt, dat het totale bedrag aan subsidies niet meer bedraagt dan 100% van de subsidiabele kosten. Het subsidiebedrag kan niet meer bedragen dan toegestaan volgens de toepasselijke Europese steunkaders.
Dit bedrag is inclusief alle eventuele belastingen waaronder de BTW.
De subsidie wordt ten hoogste vastgesteld op € 1.248.817,- inclusief BTW, gelet op de gegevens opgenomen in uw aanvraag en is berekend volgens de bij uw aanvraag gevoegde begroting.
## 2.3 Subsidiabele kosten
De volgende, rechtstreeks aan het project toe te rekenen kosten, daadwerkelijk gemaakt in de voornoemde periode en die betaald zijn vóór 31 maart 2027 worden door mij subsidiabel geacht:
- interne kosten op basis van een integrale kostensystematiek, waarbij gebruik wordt gemaakt van een tarief per eenheid van een kostendrager waarin de directe en indirecte kosten per kostendrager zijn verwerkt (kostendragers zijn bijvoorbeeld personeel-/arbeidsuren, apparaat/machine-uren, output van apparaten en machines en verbruikte materialen) en die is gebaseerd op bedrijfseconomische en maatschappelijk aanvaardbare grondslagen en stelselmatig wordt toegepast;
- aan derden verschuldigde kosten die direct voor de subsidiabele activiteiten worden gemaakt, bijvoorbeeld door uitbesteding van een deel van de subsidiabele activiteit en kosten van voor de subsidiabele activiteit geleverde goederen en diensten;
- reis- en verblijfskosten tot een maximum van 5% van de totale projectkosten;
- projectmanagement, met dien verstande dat ten hoogste 10% van de totale projectkosten in aanmerking is genomen.
De vóór indiening van de aanvraag gemaakte kosten komen niet voor subsidie in aanmerking.
Voor de toepassing van de hierboven genoemde punten geldt, dat winstopslagen bij transacties binnen een groep alleen in aanmerking zijn genomen voor zover het gebruikelijk is om die winstopslagen ook bij soortgelijke transacties buiten de groep in rekening te brengen.
Directoraat-generaal Agro Directie Strategie, Kennis en Innovatie
Ons kenmerk DGA-SKI
## 2.4 BTW 2.4 BTW
U heeft mij opgegeven dat u niet BTW-plichtig bent. Het subsidiebedrag is inclusief alle eventuele belastingen waaronder de BTW. U dient mij de beschikking van de Belastingdienst met betrekking tot uw BTW-plicht over de gesubsidieerde activiteiten zo spoedig mogelijk, doch uiterlijk bij het verzoek om subsidievaststelling te overleggen. In het geval dat u deze beschikking niet kunt overleggen óf uit de beschikking volgt dat u wel BTW-plichtig bent, zal de subsidie bij subsidievaststelling alsnog exclusief de belastingen waaronder BTW worden vastgesteld. Een teveel betaald subsidiebedrag zal worden teruggevorderd. U heeft reeds een controlerapport van de Belastingdienst overlegd. Ik heb echter een beschikking nodig, zoals hiervoor omschreven.
## 2.5 Subsidiabele kosten voor dit project
Op grond van uw projectplan en begroting raam ik de subsidiabele kosten voor dit project op € 1.248.817,- inclusief BTW, zijnde 62,5% van de hieronder opgenomen totale begroting ad € 1.998.108,- incl. BTW. In uw apart aangeleverde financiële tabellen zijn genoemde bedragen gespecificeerd, incl. PxQ.
| Begroting VIPNL Veenweidensloot                                                                        | Samenvatting   | Samenvatting   | Samenvatting   |           |
|--------------------------------------------------------------------------------------------------------|----------------|----------------|----------------|-----------|
|                                                                                                        | 2023           | 2024           | 2025           | 2026      |
| Verkennende fase                                                                                       |                |                |                |           |
| tmentarisatie bestaande kennis en kennis hiaten                                                        | 16.200         |                |                |           |
| lnvervarisatie bestaande experimenten en onderzoekstoraties                                            | € 9.2C0        |                |                |           |
| Typering veenweideskiten (oa obv vedonderzoek)                                                         | t 32.563       |                |                |           |
| Ontwikkeling uniform analyse-kader/onderzoeksmethode                                                   | 10.836         |                |                |           |
| Ontwikkeling eerste opzet besls boom beheermaatregelen                                                 | C 10.836       |                |                |           |
| Wet (64a1 werksessies met experts en 3-tal met begeleidingsgroep)                                      | 27.540         |                |                |           |
| Rapportage (1) en communicatie-uitingen 13-tal)                                                        | g 12. 9E0      |                |                |           |
| Metergen broeikasgassen, vegetatie, profiel, bodem, sloot. bagger' (re specr&lt;catie). Externe iateasten | € 7.2.400      |                |                |           |
| Interne afstemmirg ondemoek (Sx projectoverleg)                                                        | €12.2(0        |                |                |           |
| Reiskosten                                                                                             |                |                |                |           |
| W91 leren van bestaande locaties en experimenten                                                       |                |                |                |           |
| Afstemming en Latwerk rig behandelingen                                                                |                | € 32.510       | 28.176         |           |
| Meten, bemonsteren, ve dwaamemingen                                                                    |                | € 63.180       | €65.707        |           |
| Met'rgen brcelkasgassen, vegetatie, prof.i, bodem, sloot, bagger' (ze specif Erterne iabkosten         |                | moe°           | €1(2.000       |           |
| Analyse en rapportages                                                                                 |                | € 27.102       | € 21.140       | &lt; 21.985  |
| Bespreking en terugkoppeling resu laten                                                                |                | €19.890        | €16.548        | C17.210   |
| WP2 Pdolloraties                                                                                       |                |                |                |           |
| Inrichten.] uitvoeren behandebngen,                                                                    |                | 45.825         | &lt; 31.772       |           |
| Meten, bemonsteren, veitxaamernir.gen"                                                                 |                | 36.660         | 31126          |           |
| Metingen broeikasgassen, vegetatie, profiel. bodem, sloot, bagger (ze speoficatie) Externe labkosten   |                | €140.0(0       | € 140.000      |           |
| Materiaal voor aanzeg behandefingen'•                                                                  |                | 632.002        | € 6.000        |           |
| Analyse en rapportages                                                                                 |                | € 29.012       | 20.572         | C 21.395  |
| Bespreking en terugkoppeling resu talen                                                                |                | €19.032        | 13.196         | 13.723    |
| WP3 inbedden in de praktijk                                                                            |                |                |                |           |
| Petform oprichten, onderhouden en van content veertien                                                 |                | € 21.715       | €15.056        | € 1.351   |
| Regionale demo's org eren                                                                              | € 15           | 680            | € 16.224       | 4.319     |
| Kennis en ervaringen ophaen                                                                            |                | 10.816         | €11249         |           |
| en vertalen naar adviezen Communicatie en sporen/projecten integratie VIP111. (3,75%)                  | € 13.761       | € 13.761       | €13.761        | € 13.761  |
| WPS VIPNL VIPM. programmacoordnatie (5,256)                                                            | 19.266         | € 19 266       | € 11266        | C.19.266  |
| Vindt landetijie arsternmng, communicatie en sporenffloyedenlielegrat (3,5%)                           | g 12.844       | € 12 844       | 12.844         | £ 12.894  |
| Totaal per jaar excl. BTW                                                                              | 201.625        |                |                |           |
|                                                                                                        | E              | E 679.213      | E 637.636      | E 132.855 |
| BTW 21% i                                                                                              | C 42.341       | 142.635        | € 133.904      | C 27.900  |
| Totaal per jaar incl. BTW                                                                              | t 243.966      | C 921.048      | C 771539       | C 150.754 |
| Totaal                                                                                                 | 1.651.329      |                |                |           |
| BTW                                                                                                    | 346.779        |                |                |           |
| Incl. BTW f                                                                                            | 1.998.108      |                |                |           |
Directoraat-generaal Agro Directie Strategie, Kennis en Innovatie
Ons kenmerk DGA-SKI/
## 2.6 Verplichtingen
Aan de subsidie zijn de volgende verplichtingen verbonden:
1. U dient het project volledig uit te voeren overeenkomstig het bij de aanvraag ingediende plan en binnen de daarin voorziene tijdsduur.
2. U dient mij onverwijld een schriftelijke melding te doen zodra aannemelijk is dat de activiteiten waarvoor de subsidie is verleend niet, niet tijdig of niet geheel zullen worden verricht of dat niet, niet geheel of niet tijdig aan de aan de subsidie verbonden verplichtingen zal worden voldaan.
3. U dient voor elke essentiële wijziging in de aard of de uitvoering van het plan mijn voorafgaande schriftelijke toestemming te vragen. Geen toestemming is vereist voor een wijziging van de in de subsidieverlening gespecificeerde kostenposten indien als gevolg van deze wijzing de omvang van een kostenpost niet meer dan 15% wijzigt. Aan mijn toestemming kan ik nadere verplichtingen verbinden.
4. U dient mij schriftelijk verslag uit te brengen over de voortgang van het project. In dit verslag dient duidelijk inzicht te worden gegeven in de voortgang van het project in vergelijking met de voorziene tijdsduur en kosten zoals opgenomen in het door u ingediende projectplan. Het eerste verslag brengt u uit over de periode t/m 31 december 2023; de volgende verslagen steeds over de daarop volgende periode van twaalf maanden. Alle verslagen dienen binnen twee maanden na afloop van de betrokken periode bij mij ingediend te zijn.
5. De inrichting van uw administratie dient zodanig te zijn dat deze aansluit bij de door u ingediende begroting en daaruit te allen tijden op eenvoudige en duidelijke wijze de rechtstreeks aan het project te rekenen kosten kunnen worden afgelezen. Ter zake van de loonkosten dient een door middel van een urenadministratie vastgestelde urenverantwoording aanwezig te zijn.
6. Bij gebruik van eén integrale kostensystematiek: uiterlijk bij de aanvraag om subsidievaststelling dient een rapport van feitelijke bevindingen over de uitkomst van het onderzoek van een accountant betreffende de gehanteerde integrale kostensystematiek aanwezig te zijn (zie bijlage 2).
7. Op mijn verzoek dient u inlichtingen te verschaffen omtrent de voortgang of resultaten van het project. U bent verplicht om op mijn verzoek medewerking te verlenen aan een evaluatie van het beleid op grond waarvan deze subsidie is verstrekt. Deze verplichtingen gelden tot vijf jaar na de datum van de beschikking tot subsidievaststelling.
8. U doet mij onverwijld schriftelijke mededeling van de indiening bij de rechtbank van een verzoek tot het op u van toepassing verklaren van de schuldsaneringsregeling natuurlijke personen, tot verlening van surseance van betaling aan u of tot faillietverklaring van u.
9. Uiterlijk binnen 13 weken na de in deze beschikking genoemde einddatum dient u bij mij schriftelijk een verzoek om subsidievaststelling in. Dit verzoek dient vergezeld te gaan van:
- a.  een eindrapport waarin verloop en eindresultaten van het gesubsidieerde project zijn vastgelegd;
- b.  een gespecificeerde opgave van alle rechtstreeks aan het project toe te rekenen werkelijk gemaakte kosten, opgesteld conform de door u ingediende begroting;
## Directoraat-generaal Agro Directoraat-generaal Agro
Directie Strategie, Kennis en Innovatie
Ons kenmerk DGA-SKI
- c.  een controleverklaring conform het in bijlage 1 van deze beschikking opgenomen controleprotocol;
- d.  een recente beschikking van de Belastingdienst waaruit volgt dat u voor de gesubsidieerde activiteiten niet BTW-plichtig bent.
10. U voert het project uit in overeenstemming met de verplichtingen, opgenomen in artikel 38 en Hoofdstuk I van Verordening (EU) Nr. 2022/2472 (ABER/LVV). Dit houdt, onder meer, in dat:
- vóór de begindatum van het project de volgende informatie openbaar toegankelijk wordt gemaakt:
- a.  dat het gesteunde project wordt uitgevoerd;
- b.  de doelstellingen van het gesteunde project;
- c.  de vermoedelijke datum van de publicatie van de resultaten die van het gesteunde project worden verwacht;
- d.  de plaats waar de van het gesteunde project verwachte resultaten op het internet zullen worden bekendgemaakt;
- e.  dat de resultaten van het gesteunde project gratis beschikbaar zullen zijn voor alle ondernemingen die in de betrokken sector of subsector actief zijn;
- de resultaten van het gesteunde project worden op een openbaar toegankelijke website beschikbaar gesteld voor een periode van ten minste vijf jaar vanaf de einddatum van het gesteunde project;
- indien u als organisatie voor onderzoek en/of kennisverspreiding ook economische activiteiten uitoefent, dient u met betrekking tot de financiering, de kosten en de inkomsten van die economische activiteiten een gescheiden boekhouding te voeren.
11. In het geval er activiteiten door een derde of derden worden uitgevoerd, dient opdrachtverlening aan deze derde(n) plaats te vinden op basis van transparante criteria en marktconforme tarieven.
## 2.7 Subsidievaststelling
De beschikking tot subsidievaststelling zal ik geven binnen 13 weken na ontvangst van uw aanvraag daartoe dan wel nadat de voor het indienen ervan geldende termijn genoemd in verplichting 9 is verstreken. Indien de beschikking niet binnen 13 weken kan worden gegeven zal ik u daarvan in kennis stellen en daarbij een redelijke termijn noemen waarbinnen de beschikking tegemoet gezien kan worden.
## 2.8 Voorschot
Ik verleen u bij dezen een voorschot van 20% van het genoemde subsidiebedrag van € 1.248.817,-, zijnde € 249.763,-. Het voorschot zal worden betaald binnen zes weken na de dag van verzending van deze beschikking op uw bankrekeningnummer: IBAN ten name van Stichting Veenweiden Innovatiecentrum te Zegveld.
Directoraat-generaal Agro Directie Strategie, Kennis en Innovatie
Ons kenmerk DGA-SKI!
Verdere voorschotten zullen als volgt worden overgemaakt:
€  249.763,- (20%) per 1 mei 2024;
€  249.763,- (20%) per 1 mei 2025; en
€  249.764,- (20%) per 1 mei 2026.
Het resterende bedrag wordt betaald na de subsidievaststelling en zal ten hoogste €  249.764,- (20%) bedragen.
## 2.9 Advies
Om eventuele problemen met de accountantscontrole op uw financiële verantwoording te voorkomen, adviseer ik u om uw accountant zo vroeg mogelijk te betrekken.
## 3. Correspondentie
Alle correspondentie met betrekking tot deze subsidie dient u, met vermelding van verplichtingnummer te zenden naar:
Ministerie van Landbouw, Natuur en Voedselkwaliteit
t.a.v.
Directie Strategie, Kennis en Innovatie Postbus 20401 2500 EK Den Haag
De Minister van Landbouw, Natuur en Voedselkwaliteit, namens deze:
Secret.  	•eneraal LNV
Jan-Kees Goet,
&lt;!-- image --&gt;
Als u het niet eens bent met deze beslissing kunt u binnen zes weken na verzending van deze brief een bezwaarschrift indienen. Stuur het ondertekende bezwaarschrift met een kopie van deze beslissing naar Rijksdienst voor Ondernemend Nederland, afdeling Juridische Zaken, Postbus 40219, 8004 DE, Zwolle.
Op de internetsite httos://mijn.rvo.n1/bezwaar   vindt u meer belangrijke informatie over het indienen van een bezwaarschrift. Dit besluit is verzonden op de in de aanhef van deze brief vermelde datum.
## Directoraat-generaal Agro
Directoraat-generaal Agro Directie Strategie, Kennis en Innovatie
Ons kenmerk DGA-SKI/</t>
  </si>
  <si>
    <t>[...] l', uit te voeren in de periode van 1 maart 2023 tot en met 31 december 2025. In mijn administratie is uw aanvraag bekend onder nummer: 1355982. Met deze beschikking beslis ik op uw aanvraag. ## Besluit Hierbij verleen ik u voor bovengenoemde periode een subsidie van ten hoogste € 213 .820,00. De subsidie is gebaseerd op artikel 1.2 van de Kaderregeling subsidies OCW, SZW en VWS en op artikel 7.1 van de Erfgoedwet. Dit is een proj [...]</t>
  </si>
  <si>
    <t>Rijksoverheid__116_Beschikking-aanvraag-subsidie-Vereniging-De-Hollandsche-Molen.txt::Rechtsobject</t>
  </si>
  <si>
    <t>subsidie [666:675]</t>
  </si>
  <si>
    <t>subsidie [666:674]</t>
  </si>
  <si>
    <t>[...] 023 tot en met 31 december 2025. In mijn administratie is uw aanvraag bekend onder nummer: 1355982. Met deze beschikking beslis ik op uw aanvraag. ## Besluit Hierbij verleen ik u voor bovengenoemde periode een subsidie van ten hoogste € 213 .820,00. De subsidie is gebaseerd op artikel 1.2 van de Kaderregeling subsidies OCW, SZW en VWS en op artikel 7.1 van de Erfgoedwet. Dit is een projectsubsidie als bedoeld in artikel 1. 5, on [...]</t>
  </si>
  <si>
    <t>Rijksoverheid__117_Besluit-op-verlening-subsidie-project-United-Ukrainian-Ballet.txt::Ontvanger</t>
  </si>
  <si>
    <t>Rijksoverheid__117_Besluit-op-verlening-subsidie-project-United-Ukrainian-Ballet.txt</t>
  </si>
  <si>
    <t>Stichting United Ukrainian Ballet Foundation</t>
  </si>
  <si>
    <t>stichting united ukrainian ballet foundation</t>
  </si>
  <si>
    <t>Stichting United Ukrainian Ballet Foundation [94:142]</t>
  </si>
  <si>
    <t>&lt;!-- image --&gt; &amp;gt;Retouradres Postbus 16375 2500 BJ Den Haag Aan het bestuur van Stichting United Ukrainian Ballet Foundation Korte Geer 1 C 2611 CA DELFT Datum 0 6 JUNI 2023 Betreft Verlening projectsubsidie A 2023 United Ukrainian Ballet ## Geacht bestuur, Bij brief van 16 mei 2023, door mij ontvangen op 18 mei 2 [...]</t>
  </si>
  <si>
    <t>- &amp;gt; Retouradres Postbus 1600  3800 BP  Amersfoort
Vereniging De Hollandsche Molen T.  a.  V. levens- -
P&amp;lt;H,oaniï1&amp;lt;e
besci-ming
Zeebu~gerdijl&amp;lt;  139· - - - 1095 AA  AMSTERDAM
Datum 21 juni 2023
Betreft:
Besluit op aanvraag subsidie
## Plnoonljle---~
Geachte
,
Met uw aanvraag van  21 februari  2023, vraagt u subsidie voor het project 'Programma Erfgoed Deal', uit te voeren in de periode van  1 maart 2023 tot en met 31 december 2025. In mijn administratie is uw aanvraag bekend onder nummer:  1355982. Met deze beschikking  beslis ik op uw aanvraag.
## Besluit
Hierbij  verleen  ik u voor bovengenoemde periode een subsidie van ten  hoogste €  213 .820,00.  De  subsidie is gebaseerd op artikel  1.2 van de Kaderregeling subsidies OCW, SZW en VWS en op artikel 7.1 van de Erfgoedwet. Dit is een projectsubsidie als bedoeld in artikel  1. 5,  onder d van de  Kaderregeling  subsidies OCW,  SZW en  VWS.  De subsidie wordt verleend onder voorwaarde dat de begrotingswetgever voldoende middelen ter beschikking stelt.
De  subsidie is bestemd voor de activiteiten, zoals vermeld in het activiteitenplan en voorzien in de begroting.  De activiteiten zijn gericht op het  verbinden van partijen en  initiatieven aan de ambities en doelstellingen  van de Erfgoed Deal.  Het gaat om de volgende activiteiten:
1. het organiseren en leidinggeven aan de operationele uitvoering van  het Programmabureau;
2. het organiseren en leidinggeven aan de advisering en beoordeling van projecten;
3. het organiseren,  (door)ontwikkelen  en leidinggeven aan de leeromgeving;
4. 4 . de samenwerking  en interactie met de partners van de Erfgoed Deal en andere programma's binnen het Rijk, de provincies en gemeenten entameren, coörd ineren of uitvoeren;
5.  het organiseren en uitvoeren van contacten met departementen ten behoeve van de uitbreiding van de financië le middelen van  de Erfgoed Deal.
De  activiteiten  waarvoor subsidie  wordt  verleend, moeten uiterlijk zij n verricht op 31 december 2025.
&lt;!-- image --&gt;
## Rijksdienst voor het Cultureel Erfgoed Ministerie van Onderwijs, Cultuur en Wetenschap
Smallepad  S 3811 MG Amersfoort Postbus 1600 3800 BP Amersfoort www. cultureel  erfgoed .n 1
## Contactpersoon
lnfoDesk T 033·4217456 F 033·4217799
Onze referentie 1355982
Uwe-mail van
21 februari  2023 Uw referentie
Bij lagen Het uiteindelijk vast te stellen subsidiebedrag is afhankelijk van de daadwerkelijk gerealiseerde kosten en opbrengsten. Daarbij wordt tevens rekening gehouden met eventueel gewijzigde opbrengsten.
Daarnaast kan bij de eindverantwoording op basis van artikel 53, lid 6, van de Algemene Groepsvrijstellingsverordening 1 (hierna: AGVV) een terugvordering aan de orde zijn.  Hierin  is bepaald dat het steunbedrag nooit hoger kan zijn dan het verschil tussen de in aanmerking komende kosten en de exploitatiewinst van de investering. U maakt deze gegevens bij de financiële  eindverantwoording inzichtelijk.
## Motivering bij het besluit
De Erfgoed Deal is een programma vanuit samenwerkende overheden, OCW, gemeenten en provincies. Daarnaast sluiten meerdere partners aan. De onderliggende visie is door de minister vastgesteld en  de uitvoering van het programma is voor een periode van drie jaar. De projectdoelen van deze subsidieaanvraag die door Vereniging De Hollandsche Molen worden uitgevoerd sluiten aan bij  de opgestelde visie Erfgoed Deal. De Erfgoed Deal is ook als uitvoeringsprogramma opgenomen in de National, e Omgevingsvisie.
## Waaraan moet u voldoen?
U moet voldoen aan de verplicht ingen in de wet- en regelgeving die van toepassing zijn op de subsidie en aan al hetgeen iin deze beschikking is opgenomen.
## Wet- en regelgeving
De volgende regelgeving is in ieder geval van toepassing op de subsidie:
- Erfgoedwet;
- Kaderregeling subsidies OCW,  SZW en VWS;
- Algemene wet bestuursrecht, in het bijzonder titel 4.2 Subsidies;
- Wet  bestuurlijke boete bijzondere meldingsplichten door ministers verstrekte subsidies.
De regelgeving kunt u raadplegen via www.wetten.overheid.nl.
U bent zelf verantwoordelijk voor de naleving hiervan en de eventuele gevolgen bij niet-naleving.
Onze referentie 1355982
## Kennisgeving Algemene Groepsvrijstellingsverordeninq 2  (AGVV)
Ik ben  verplicht om  subsidies die worden  verstrekt te melden op grond van de Europese regelgeving met betrekking tot staatssteun. Op grond van artikel 53 AGVV  in samenhang met artikel 11 AGVV wordt onderhavige subsidieverlening aangemeld bij de Europese  Commissie. Ik merk op dat ingevolge artikel 9, tweede lid,  van de  AGVV deze  beschikking (volledige tekst) op het internet bekend zal worden gemaakt.
## Verplichtingen
U geeft de contactpersoon van de Rijksdienst voor het Cultureel Erfgoed (hierna: RCE),  de penccnljk·-·-ermr,g, eenmaal per jaar een update van de werkzaamheden en de voorgang middels een telefonisch evaluatiegesprek. Dit vindt jaarlijks plaats in oktober.
Zonder volledig te zijn breng ik in het bijzonder de volgende bepalingen uit de wet- en regelgeving  onder uw aandacht.
## Meldingsplicht
Een  van  de verplichtingen waar u aan  moet voldoen betre~ de meldingsplicht.  U moet direct melding doen van feiten en omstandigheden die van  belang kunnen zijn  voor de subsidie. Daarvan  is in  ieder geval sprake als voor u aannemelijk is dat:
- -de activiteiten waarvoor de subsidie is verstrekt, niet, niet tijdig of niet geheel zullen worden verricht, of
- niet,  niet tijdig  of niet geheel zal worden voldaan aan de verplichtingen die aan de subsidie verbonden zijn.
Uw melding, voorzien van toelichting en  relevante stukken, kunt u schriftelijk doen bij uw contactpersoon, de Penccnlïu-.--~, te bereiken via telefoonnummer ---. Ook als u twijfelt of u iets moet melden, verzoek ik u contact op  te nemen met uw contactpersoon.
## Verantwoording
Voor de vaststelling van de subsidie dient u een activiteitenverslag en  een f inancieel verslag in. Aan  de hand hiervan toont u aan dat de activiteiten waarvoor subsidie is verl eend,  zijn  verricht en dat is voldaan aan  de verplichtingen die aan de subsidie verbonden zijn. Ook legt u daarmee rekening  en  verantwoording af omtrent de aan de activiteiten verbonden kosten en opbrengsten.
## Hoe ziet het activiteitenverslag eruit?
Het activiteitenverslag bevat een overzicht van de werkzaamheden waarvoor subsidie is verleend  en  van  de daarmee bereikte resultaten.  De inrichting van het verslag komt overeen met de inrichting van  het activiteitenplan. Het verslag bevat, voor zover van toepassing, een analyse van verschillen  tussen de voorgenomen activiteiten en beoogde resultaten, vermeld in het activiteitenplan, en de feitelijke realisatie ervan.
Onze r-eferentie l355982
## Hoe ziet het financieel verslag eruit?
Aan de hand van  het financieel verslag geeft u een  zodanig inzicht dat een verantwoord oordeel kan worden gevormd omtrent de  kosten en  opbrengsten per gerealiseerde activiteit, inclusief een toelichting per post (voor zover van toepassing). Het financieel verslag sluit aan  op  de begroting  op basis waarvan subsidie is verleend  en  gaat vergezeld van een controleverklaring en  een  rapport van  feitelijke bevindingen. Beide  zijn opgesteld door een accountant, met inachtneming van het accountantsprotocol, dat te vinden  is op www. rijksoverheid.  n  1/kaderregeling-su  bsidies-ocw-szw-vws.
De  modellen Ben D in  dit accountantsprotocol zijn van  toepassing.
Voor de aanvraag tot vaststelling van de subsidie dient u  het  door de minister vastgesteld formulier subsidievaststelling  te  gebruiken.  u kunt dit formulier opvragen bij de InfoDesk van de  RCE.
Het formulier inclusief bij lagen zendt u  binnen 22 weken  na de datum waarop de activiteiten uiterlij k moeten zijn verricht aan subsidies@cultureelerfqoed.nl onder vermelding van nummer 1355982. Dit  betekent dat het formulier uiterlijk op 2 juni 2026 moet zij n ingediend.
U dient in ieder geval de volgende bijlagen bij  het formulier te voegen:
- het activiteitenverslag;
- het financieel verslag;
- de controleverklaring van een accountant.
## Administratieplicht
U houdt een administratie bij  waaruit het volgende blijkt:
- -de voor de subsidievaststelling van  belang zijnde rechten en verplichtingen;
- -de betalingen en ontvangsten;
- -de kosten en opbrengsten.
De administratie en de daartoe behorende bescheiden worden gedurende 10 j aren  na  de vaststelling van de subsidie bewaard.
## Wat als u zich niet aan de voorschriften houdt?
Het niet voldoen aan de verplichtingen die aan de subsidie verbonden zijn of het niet (geheel) verrichten van de activiteiten kan tot gevolg  hebben dat  ik de subsidie geheel of gedeeltelijk terugvorder.
I k wijs u er verder op dat een  registratie van (  ernstige) onregelmatigheden bij subsidies wordt  bijgehouden met het oog  op  het tegengaan van misbruik van subsidie.
## Wanneer ontvangt u de subsidie?
U ontvangt de subsidie verdeeld over drie jaren. U ontvangt in :
Juni 2023
: (  64.640,00
Januari 2024
: (  73.340,00
Januari 2025
: (  75.840,00
De voorschotten maak ik aan u over op Bedrijlsmormatie-vertrouwe·.il&amp;lt; venstrekt .
## Wanneer wordt de subsidie vastgesteld? Wanneer wordt de subsidie vastgesteld?
Tenzij  u  hierover een ander bericht ontvangt, stel  ik de  subsidie vast binnen 22 weken na ontvangst van de gevraagde verantwoordingsinformatie. De vaststelling vindt plaats in  een  afzonderlijke beschikking.
## Heeft u vragen?
Voor vragen over deze beschikking  kunt u contact opnemen met de InfoDesk te bereiken via telefoonnummer 033-4217456. Ik verzoek u  bij elk contact met de Rijksdienst voor het Cultureel Erfgoed het referentienummer van  deze brief te gebruiken.
Ik wens u veel  succes met de uitvoering van de activiteiten.
Met vriendelijke groet,
De staatssecretaris van Onderwijs, Cultuur en  Wetenschap, namens deze, de Rijksdienst voor het Cultureel Erfgoed,
## Persoonlijl&amp;lt;e levenssfeer - oesclierming
algemeen directeur
## Heeft u bezwaar?
Mocht u bezwaar hebben tegen dit besluit dan kunt u binnen zes weken na de dag waarop dit besluit u  is toegezonden,  een  bezwaarschrift indienen.  U richt dit schriftelijke bezwaar aan de staatssecretaris van OCW en stuurt het onder vermelding van "Bezwaar", ter attentie  van DUO,  Postbus 30205, 2500 GE in Den Haag. Meer informatie over het maken van bezwaar vindt u op https:  //www  .duo.  n  1/zake  I  ijk/oneens- met-duo/bezwaar- maken  .jsp Onze referentie 1355982</t>
  </si>
  <si>
    <t>Rijksoverheid__117_Besluit-op-verlening-subsidie-project-United-Ukrainian-Ballet.txt::Besluitvormend Orgaan</t>
  </si>
  <si>
    <t>de staatssecretaris van O�i.i2. i .\_.Çultuur en Wetenschap</t>
  </si>
  <si>
    <t>de staatssecretaris van o�i.i2. i .\_.çultuur en wetenschap</t>
  </si>
  <si>
    <t>de staatssecretaris van O�i.i2. i .\_.Çultuur en Wetenschap [9777:9837]</t>
  </si>
  <si>
    <t>[...] beschikking kunt u contact opnemen met uw contactpersoon, van wie de contactgegevens zijn opgenomen in het briefhoofd. Ik wens u veel succes met de uitvoering van de activiteiten. Met vriendelijke groet, de staatssecretaris van O�i.i2. i .\_.Çultuur en Wetenschap, ersoonlijlielevenssfeer bescherming - &lt;!-- image --&gt; Onze referentie 38288319</t>
  </si>
  <si>
    <t>Rijksoverheid__117_Besluit-op-verlening-subsidie-project-United-Ukrainian-Ballet.txt::Rechtshandeling</t>
  </si>
  <si>
    <t>verleen [576:584]</t>
  </si>
  <si>
    <t>verleen [576:583]</t>
  </si>
  <si>
    <t>[...] mei 2023, hebt u een subsidieaanvraag ingediend voor een activiteitenplan dat uw Stichting van mei 2023 tot en met oktober 2023 wenst uit te voeren. Met deze brief beslis ik op uw aanvraag. ## Besluit Hierbij verleen ik u een subsidie van ten hoogste€ 500.000. De subsidie wordt verleend op grond artikel 1, eerste lid, van het Besluit op het specifiek cultuurbeleid en onder voorwaarde dat de begrotingswetgever voldoende midd [...]</t>
  </si>
  <si>
    <t>&lt;!-- image --&gt;
&amp;gt;Retouradres Postbus  16375  2500  BJ  Den  Haag
Aan het  bestuur van Stichting  United  Ukrainian  Ballet  Foundation Korte  Geer  1 C 2611  CA  DELFT
Datum
0 6  JUNI 2023
Betreft
Verlening  projectsubsidie A 2023  United Ukrainian Ballet
## Geacht bestuur,
Bij brief van  16  mei 2023,  door mij ontvangen op  18 mei 2023, hebt u een subsidieaanvraag ingediend voor een activiteitenplan dat uw Stichting  van mei 2023 tot en  met oktober 2023 wenst uit te  voeren.  Met deze brief beslis ik op uw aanvraag.
## Besluit
Hierbij verleen ik u een subsidie  van ten  hoogste€ 500.000.
De subsidie wordt verleend op grond artikel  1,  eerste lid,  van het  Besluit op  het specifiek cultuurbeleid en onder voorwaarde dat de begrotingswetgever voldoende middelen ter beschikking  stelt.
De  subsidie  is  bestemd voor de activiteiten,  zoals vermeld in het activiteitenplan en zoals voorzien in de begroting.
Het bedrag waarop de subsidie na het tijdvak waarvoor zij wordt verleend, wordt vastgesteld,  is afhankelijk van  de daadwerkelijk gerealiseerde kosten.  Een eventueel verschil tussen de gerealiseerde kosten en het ten hoogste verleende bedrag  wordt in mindering gebracht  bij de  vaststelling  en  zal worden teruggevorderd.  Bij eventuele  co-financiering kan er naar rato  worden teruggevorderd.
De activiteiten waarvoor subsidie wordt verleend,  moeten uiterlijk zijn verricht op 31  december  2023.
## Motivering bij het besluit
Op 23 december 2022 heeft het kabinet een financieel steunpakket aangekondigd voor Oekraïne van 2,5  miljard  euro,  waarin ook geld werd gereserveerd voor humanitaire hulp.  Op  3 april 2023 hebben de ministers van Buitenlandse  Zaken en voor  Buitenlandse  Handel en Ontwikkelingssamenwerking de Tweede  Kamer der  Staten Generaal ingelicht over een eerste steunpakket,  waarbij 5 miljoen euro werd bestemd voor behoud van identiteitsbepalende cultuur,  en  behoud van Erfgoed en  Kunsten Rijnstraat 50 Den  Haag Postbus 16375 2500 BJ Den  Haag www.rljksoverheld.nl Onze referentie 38288319
&lt;!-- image --&gt;
Contactpersoon ---
Als u belang hebt bij dit besluit, dan kunt  u hiertegen binnen 6 weken, gerekend vanaf de verzendCfacum, bezwaar maken. Stuur uw bezwaarschrift naar DUO,  Postbus 30205,  2500 GE Den Haag. U kunt uw bezwaar ook digitaal indienen op www.be2waarschriften9cw.nl.
talent en professioneel niveau van  (UJitvoerende)  kunstenaars door voortzetting van training,  repetities en uitvoering" 1
Uw instelling beoogt sinds de oprichting in 2022 om  uit Oekraïne gevluchte professionele dansers onderdak en ei=n succesvolle uitvoeringspraktijk te bieden. In 2022 hebt u succesvol een beroep kunnen doen op de Steunregeling voor gevluchte Oekraïense culturele makers. Uw instelling is een tijdelijk project,  en is erop gericht om,  indien de situatie in hun thuisland normaliseert,  de dansers terug te laten keren naar  Oekraïne.
De reeds met veel succes uitgevoerde programma's en uw nu ingediende activiteitenplan sluiten goed aan bij de doelstelling van het bovengenoemde steunpakket.
## Waar moet u aan voldoen?
U moet in ieder geval voldoen aan de  voorschriften die in  deze beschikking zijn opgenomen. Er staan ook verplichtin!gen in de wet- en  regelgeving die van toepassing zijn op de subsidie.
## Wet- en regelgeving
- De volgende regelgeving is in  ieder geval van toepassing op de subsidie:
- Wet op het specifiek cultuurbeleid,  Besluit op het specifiek cultuurbeleid en Regeling op het specifiek cultuurbeleid
- Algemene wet bestuursrecht,  in het bijzonder titel 4.2;
- Wet bestuurlijke boete bijzondere meldingsplichten door ministers verstrekte subsidies.
Overigens attendeer ik u ook op de Wet normering bezoldiging topfunctionarissen publieke en semipublieke sector en op de  (Europese) aanbestedings- en staatssteunregelgeving die van toepassing kunnen zijn.
De regelgeving kunt u raadplegen via  www.wetten.overheid.nl.
## Meldingsplicht
Een van de verplichtingen betreft de  meldingsplicht.  U moet direct melding doen van feiten en omstandigheden die van belang kunnen zijn voor de subsidie. Daarvan is in ieder geval sprake als voor u aannemelijk is  dat de activiteiten waarvoor  de  subsidie is  verleend,  niet,  niet tijdig of niet geheel zullen worden verricht,  of als  niet,  niet tijdig of niet geheel aan de aan de subsidie verbonden verplichtingen zal worden voldaan.
Uw melding kunt u, bij voorkeur bij  brief,  doen bij uw contactpersoon. Ook als u twijfelt of  u iets moet melden,  verzoek ik u contact op te nemen met uw contactpersoon.
Met het oog op het tegengaan van  misbruik  van subsidie,  wijs ik u erop dat er een misbruikregister wordt bijgehouden.
1 Kamerstukken II 2022/23,  36337,  nr 3,  p.  2
Onze referentie 38288319
## Beleidsonderzoek Beleidsonderzoek
U werkt mee aan een door of namens mij ingesteld onderzoek dat erop gericht is inlichtingen te verschaffen voor de ontwikkeling van beleid.
## Verantwoording
Om de subsidie vast te kunnen stellen,  dient u een activiteitenverslag en een financieel  verslag in.  Aan de  hand van dit activiteitenverslag en financieel verslag toont u aan dat de activiteiten  waarvoor subsidie is verleend,  zijn verricht en dat is voldaan aan de aan de subsidie veirbonden verplichtingen.
Het activiteitenverslag bevat een overzicht van de werkzaamheden waarvoor subsidie is verleend en van de daarmee bereikte resultaten.  De inrichting van het verslag komt overeen met de inrichting van het activiteitenplan.  Het verslag bevat, voor zover van toepassing, een analyse van verschillen tussen de voorgenomen activiteiten en beoogde resultaten, vermeld in het activiteitenplan, en  de  feitelijke realisatie.
Aan de hand van het financieel verslag legt u rekening en verantwoording af en geeft u inzicht in de besteding.  Het financieel verslag sluit aan op de begroting waarvoor subsidie is verleend en gaat vergezeld van een verklaring omtrent de getrouwheid en de rechtmatigheid,  afgegeven door een accountant.  U bedingt bij de accountant dat deze zijn onderzoek inricht overeenkomstig het accountantsprotocol cultuursubsidies instellingen 2021-2024.
Het activiteitenverslag en het financieel verslag zendt u binnen dertien weken na de datum waarop de  activiteiten  uiteirlijk  moeten zijn verricht aan:  Ministerie van Onderwijs,  Cultuur en Wetenschap,  Directie  Erfgoed en  Kunsten,  Postbus 16375, 2500  BJ  Den Haag.  Dit betekent dat  ! beide verslagen uiterlijk op 1 april 2024 moeten zijn ingediend.
## Wanneer wordt de subsidie vastg1esteld?
Tenzij u hierover een ander bericht ontvangt, stel ik de subsidie vast binnen 22 weken na ontvangst van de gevraagde verantwoordingsinformatie.  De vaststelling zal plaatsvinden in een afzonderlijke beschikking.
## Wat als u zich niet aan de voorsclhriften houdt?
Het niet voldoen aan de aan de subsidie verbonden verplichtingen of niet geheel uitvoeren van de activiteiten kan tot gevolg hebben dat ik de  subsidie geheel of gedeeltelijk terugvorder.
Voor het niet voldoen aan de meldin9splicht op grond van de Wet bestuurlijke boete meldingsplichten door ministers verstrekte subsidies kan ik een bestuurlijke boete opleggen.
## Informatieplicht OCW
## Algemene Groepsvriistellingsverorde1ning
Op basis van uw aanvraag kom ik tot: het oordeel dat de subsidie verstrekt kan worden met inachtneming van verordening (EU) nr. 651/2014 van de Commissie van 17 juni 2014 waarbij bepaalde categorieën op grond van de artikelen 107 en 108 van het Verdrag met de interne  markt verenigbaar worden verklaard (Pb EU, L 187  /1, ook wel Algemene Groepsvrijstellingsverordening genoemd, hierna: AGVV).
Onze referentie 38288319
Naar mijn oordeel is artikel  53  van toepassing. Dit artikel verklaart steun voor cultuur en instandhouding van het erfgoed verenigbaar met de interne markt en vrijgesteld van de aanmeldingsverplichting uit  artikel  108,  derde  lid,  VWEU,  mits wordt voldaan aan de voorwaarden het tweede lid van het desbetreffende artikel, alsmede aan de voorwaarden uit hoofdstuk I van de AGVV.
## Kennisgeving en publicatie
Ik ben verplicht om subsidies die worden  verstrekt in het kader van de genoemde verordening tijdig kennis te geven aan de Europese Commissie. Op grond van artikel  53 AGVV in  samenhang met artikel 11 AGW wordt onderhavige subsidieverlening dan ook kennisgegeven bij de Europese Commissie. Tevens wordt ingevolge artikel 9 van de AGVV de volledige tekstt van deze beschikking bekend gemaakt op de website van de Rijksoverheid.
## Bewaartermijn en monitoring
Op grond van artikel 12 AGVV kan de Europese Commissie tot  10 jaar na de steunverlening stukken daarover opvragen.  Het is daarom van belang dat u alle documenten met  betrekking tot de subsidie ten minste  10 jaar bewaart. Daarnaast dient er een goede dossiervorming plaats te vinden voor een eventueel tussentijds onderzoek  (monitoring)  door de Europese Commissie. Indien de Europese Commissie de steun alsnog als ongeoorloofd  aanmerkt,  kan de steun teruggevorderd worden.
## Wanneer ontvangt u de subsidie?
U ontvangt een voorschot van  100 procent van het  subsidiebedrag. U ontvangt binnen twee weken na dagtekening van deze brief het volledige bedrag van C  500.000.
Het voorschot wordt aan u overgemaakt op iJlelevenssfeer-bescherrnin!I  onder vermelding  van projectsubsidie A 2023  United Ukrainian  Ballet.
## Heeft u vragen?
Voor vragen over deze beschikking kunt u contact opnemen met  uw contactpersoon,  van wie de  contactgegevens zijn opgenomen in het briefhoofd.
Ik  wens u veel succes met de  uitvoering van de  activiteiten.
Met vriendelijke groet,
de  staatssecretaris van O�i.i2. i .\_.Çultuur en Wetenschap,
ersoonlijlielevenssfeer  bescherming
-
&lt;!-- image --&gt;
Onze referentie 38288319</t>
  </si>
  <si>
    <t>Rijksoverheid__117_Besluit-op-verlening-subsidie-project-United-Ukrainian-Ballet.txt::Rechtsobject</t>
  </si>
  <si>
    <t>Rijksoverheid__121_Besluit-op-subsidie-voor-implementatie-voor-het-Agrarisch-Natuur-en-Landschapsbeheer.txt</t>
  </si>
  <si>
    <t>subsidie [593:603]</t>
  </si>
  <si>
    <t>subsidie [593:601]</t>
  </si>
  <si>
    <t>[...] een subsidieaanvraag ingediend voor een activiteitenplan dat uw Stichting van mei 2023 tot en met oktober 2023 wenst uit te voeren. Met deze brief beslis ik op uw aanvraag. ## Besluit Hierbij verleen ik u een subsidie van ten hoogste€ 500.000. De subsidie wordt verleend op grond artikel 1, eerste lid, van het Besluit op het specifiek cultuurbeleid en onder voorwaarde dat de begrotingswetgever voldoende middelen ter beschikkin [...]</t>
  </si>
  <si>
    <t>Rijksoverheid__121_Besluit-op-subsidie-voor-implementatie-voor-het-Agrarisch-Natuur-en-Landschapsbeheer.txt::Ontvanger</t>
  </si>
  <si>
    <t>heer Alssema, heer van 't Westeinde</t>
  </si>
  <si>
    <t>heer alssema, heer van 't westeinde</t>
  </si>
  <si>
    <t>heer Alssema, heer van 't Westeinde [176:211]</t>
  </si>
  <si>
    <t>&amp;gt; Retouradres Postbus 20401 2500 EK Den Haag &lt;!-- image --&gt; Datum Betreft Subsidiebeschikking implementatie ANLb, verplichtingennummer 1400012850. Geachte heer Alssema, heer van 't Westeinde, ## 1. Aanvraag Op 23 februari 2022 ontving ik uw pro-forma aanvraag voor een subsidie voor de werkzaamheden die BoerenNatuur en de collectieven moeten uitvoeren in het kader van de implementatie van het Nationaal [...]</t>
  </si>
  <si>
    <t>Rijksoverheid__121_Besluit-op-subsidie-voor-implementatie-voor-het-Agrarisch-Natuur-en-Landschapsbeheer.txt::Besluitvormend Orgaan</t>
  </si>
  <si>
    <t>De Minister voor Natuur en Stikstof</t>
  </si>
  <si>
    <t>de minister voor natuur en stikstof</t>
  </si>
  <si>
    <t>De Minister voor Natuur en Stikstof [13598:13633]</t>
  </si>
  <si>
    <t>[...] stbus 20401 2500 EK Den Haag Directoraat-generaal Natuur, Visserij en Landelijk gebied Ons kenmerk DGNVLG / 22224445 Directoraat-generaal Natuur, Visserij en Landelijk gebied Ons kenmerk DGNVLG / 22224445 De Minister voor Natuur en Stikstof, namens deze: Donné Slangen wnd. Directeur-Generaal NVLG Als u het niet eens bent met deze beslissing kunt u binnen zes weken na verzending van deze brief een bezwaarschrift indienen. Stuur het ondertekende bez [...]</t>
  </si>
  <si>
    <t>Rijksoverheid__121_Besluit-op-subsidie-voor-implementatie-voor-het-Agrarisch-Natuur-en-Landschapsbeheer.txt::Rechtshandeling</t>
  </si>
  <si>
    <t>verstrek</t>
  </si>
  <si>
    <t>verstrek [4796:4805]</t>
  </si>
  <si>
    <t>verstrek [4796:4804]</t>
  </si>
  <si>
    <t>[...] 2. Besluit In het kader van mijn beleid gericht op instandhouding van soorten en habitats (conform Richtlijn 2009/147/EG van het Europees Parlement en de Raad van 30 november 2009 inzake het behoud van de vogelstand) verstrek ik u hierbij, op grond van artikel 2a, eerste lid, onder d van de Kaderwet EZK- en LNV-subsidies, subsidie voor de uitvoering van uw activiteiten ten behoeve van de implementatie ANLb die voortvloeien uit het Nationaal S [...]</t>
  </si>
  <si>
    <t>&amp;gt; Retouradres Postbus 20401 2500 EK Den Haag
&lt;!-- image --&gt;
Datum Betreft
Subsidiebeschikking implementatie ANLb, verplichtingennummer
1400012850.
Geachte
heer Alssema, heer van 't Westeinde,
## 1. Aanvraag
Op 23 februari 2022 ontving ik uw pro-forma aanvraag voor een subsidie voor de werkzaamheden die BoerenNatuur en de collectieven moeten uitvoeren in het kader van de implementatie van het Nationaal Strategisch Plan (hierna: NSP), meer specifiek in het kader van het Agrarisch Natuur en Landschapsbeheer (hierna: ANLb) en de implementatie binnen de overgangsgebieden. In aanvulling hierop heeft u op 10 mei 2022 het projectplan en de begroting aan mij overlegd.
## 1.1. Procesverloop
Op 1 januari 2023 start de volgende periode (2023-2027) van het Gemeenschappelijk Landbouwbeleid (hierna: GLB). Nederland heeft ter invulling van het nieuwe GLB een (concept) NSP ingediend bij de Europese Commissie. In het NSP blijft Nederland inzetten op een collectieve aanpak van het ANLb. U heeft, als overkoepelende organisatie van de 40 agrarische collectieven, aangegeven dat de implementatie hiervan een aanzienlijke extra werklast met zich meebrengt. Hiervoor vraagt u zowel van mij als van de twaalf provincies om een bijdrage.
## 1.2 Beoordeling van uw aanvraag
De activiteiten zoals beschreven in uw aanvraag passen binnen het Programma Natuur en de visie van het ministerie van Landbouw, Natuur en Voedselkwaliteit. De kern van dit beleid is de bescherming en het herstel van de biodiversiteit en gebieden in Nederland en daarbuiten. Activiteiten gericht op de verbetering van het beheer van het agrarisch gebied ten behoeve van het behoud van soorten en habitats in lijn met de Vogel- en Habitatrichtlijn dragen bij aan dit beleid.
## 1.3 Europeesrechtelijke aspecten
Op grond van artikel 7 van de Kaderwet EZK en LNV-subsidies verleen ik geen subsidie als dit naar mijn oordeel leidt tot het verlenen van ongeoorloofde staatssteun in de zin van artikel 107 van het Verdrag betreffende de werking van de Europese Unie (hierna: VWEU).
## Ministerie van Landbouw, Natuur en Voedselkwaliteit
Directoraat-generaal Natuur, Visserij en Landelijk gebied
## Bezoekadres
Bezuidenhoutseweg 73 2594 AC Den Haag
Postadres Postbus 20401 2500 EK Den Haag
Overheidsidentificatienr
00000001858272854000
T  070 379 8911 (algemeen) F  070 378 6100 (algemeen) www.rijksoverheid.nl/lnv
&lt;!-- image --&gt;
Ons kenmerk DGNVLG / 22224445 Uw kenmerk Op basis van uw aanvraag kom ik tot het oordeel dat de subsidie voor kennisoverdracht en voorlichting in het kader van de implementatie van het ANLb verstrekt kan worden op grond van verordening (EU) nr. 702/2014 van de Commissie van 25 juni 2014 waarbij bepaalde categorieën steun in de landbouwen bosbouwsector en in plattelandsgebieden op grond van de artikelen 107 en 108 van het Verdrag betreffende de werking van de Europese Unie met de interne markt verenigbaar worden verklaard (Pb EU 2014, L 193/33-36), met name artikel 21.
&lt;!-- image --&gt;
Dit artikel verklaart steun voor kennisoverdracht en voorlichting verenigbaar met de interne markt en vrijgesteld van de voorgenoemde aanmeldingsverplichting uit artikel 108, derde lid , VWEU, mits wordt voldaan aan de voorwaarden uit het eerste tot en met het achtste lid van het desbetreffende artikel, alsmede aan de voorwaarden uit het hoofdstuk I van Verordening (EU) nr. 702/2014.
Ik heb geconstateerd dat BoerenNatuur geen onderneming in moeilijkheden is zoals bedoeld in artikel 2, onder punt 14, van Verordening (EU) nr. 702/2014. Ik heb verder geconstateerd dat er tegen BoerenNatuur geen bevel tot terugvordering uitstaat als bedoeld in artikel 1, vijfde lid, onderdeel b, van Verordening (EU) nr. 702/2014. Voorts heb ik vastgesteld dat met de uitvoering van dit projectplan niet is begonnen dan na de aanvraag van 23 feburari 2022. Er gaat derhalve - onder meer om deze reden - een stimulerend effect uit van deze subsidieverlening aan BoerenNatuur.
Beknopte informatie over deze subsidieverlening is op grond van artikel 9, eerste lid, van Verordening (EU) nr. 702/2014 gemeld aan de Europese Commissie. De volledige tekst van de onderhavige beschikking wordt gepubliceerd op de staatssteunwebsite op het internet.
## 1.4 Bewaartermijn boekhouding
Ik wijs u erop dat de Europese Commissie nog gedurende tien jaar na de verstrekking van deze subsidie, deze achteraf kan controleren. Ik raad u aan de relevante documenten met betrekking tot deze subsidie gedurende deze periode te bewaren.
## 2. Besluit
In het kader van mijn beleid gericht op instandhouding van soorten en habitats (conform Richtlijn 2009/147/EG van het Europees Parlement en de Raad van 30 november 2009 inzake het behoud van de vogelstand) verstrek ik u hierbij, op grond van artikel 2a, eerste lid, onder d van de Kaderwet EZK- en LNV-subsidies, subsidie voor de uitvoering van uw activiteiten ten behoeve van de implementatie ANLb die voortvloeien uit het Nationaal Strategisch Plan voor het GLB 2023-2027. Binnen dit project wordt tevens subsidie beschikbaar gesteld voor de Agrarische Collectieven. BoerenNatuur neemt voor het deel van de subsidie wat voor de agrarische collectieven bestemd is, het penvoerderschap op namens de collectieven.
## 2.1 Periode
De activiteiten dienen te worden uitgevoerd in de periode van 23 februari 2022 tot en met 31 december 2023.
Directoraat-generaal Natuur, Visserij en Landelijk gebied
Ons kenmerk DGNVLG / 22224445
## 2.2 Subsidiebedrag
Het subsidiebedrag bedraagt 40% van de totale subsidiabele kosten, met dien verstande dat, indien ter zake van de subsidiabele kosten of een deel daarvan reeds uit anderen hoofde vanwege een bestuursorgaan of de Europese Commissie subsidie is verstrekt, slechts een zodanig bedrag aan subsidie wordt verstrekt, dat het totale bedrag aan subsidies niet meer bedraagt dan 100% van de subsidiabele kosten.
Dit bedrag is exclusief alle eventuele belastingen waaronder de BTW.
De subsidie wordt ten hoogste vastgesteld op € 1.362.380,00 exclusief BTW  gelet op de gegevens opgenomen in uw aanvraag en is berekend volgens de begroting die is opgenomen in uw aanvraag.
## 2.3 Subsidiabele kosten
De volgende, rechtstreeks aan het project toe te rekenen kosten, daadwerkelijk gemaakt in de voornoemde periode en die betaald zijn vóór 1 maart 2024 worden door mij subsidiabel geacht:
- -interne kosten op basis van gebruik van de vaste-uurtarief-systematiek, waarbij gebruik wordt gemaakt van de in de begroting gehanteerde tarieven en vermeerderd met de kosten van het gebruik van apparatuur en de kosten van verbruikte materialen en hulpmiddelen indien deze in de administratie te onderscheiden zijn.
- -aan derden verschuldigde kosten die direct voor de subsidiabele activiteiten worden gemaakt, bijvoorbeeld door uitbesteding van een deel van de subsidiabele activiteit en kosten van voor de subsidiabele activiteit geleverde goederen en diensten.
De vóór indiening van de aanvraag gemaakte kosten komen niet voor subsidie in aanmerking.
Voor de toepassing van de hierboven genoemde punten geldt, dat winstopslagen bij transacties binnen een groep alleen in aanmerking zijn genomen voor zover het gebruikelijk is om die winstopslagen ook bij soortgelijke transacties buiten de groep in rekening te brengen.
## 2.4 BTW
U heeft mij opgegeven dat u niet BTW-plichtig bent voor de uitvoering van de activiteiten door BoerenNatuur en de Agrarische Collectieven in het kader van deze subsidie. Deze kosten maken derhalve geen onderdeel uit van de subsidie. Voorts geeft u aan dat de BTW op de kosten van derden kunnen worden verrekend met de fiscus en deze kosten geen onderdeel uitmaken van de subsidie.
## 2.5 Subsidiabele kosten voor dit project
Op grond van uw projectplan en begroting zijn de totale projectkosten geraamd op: € 3.400.760, -. Dit is als volgt verdeeld over de projectonderdelen:
1. ICT-ontwikkeling
2. Beheerpakketten en -tarieven
€ 581.200,00 € 140.400,00
Directoraat-generaal Natuur, Visserij en Landelijk gebied
Ons kenmerk DGNVLG / 22224445
3. Voorbereiden collectieven en grondgebruikers op nieuwe ANLb
4. Projectmanagement BoerenNatuur
5. Accountantskosten
Totaal
€ 2.571.480,00 € 95.200,00 € 12.480,00
€ 3.400.760,00
Op grond van uw aanvraag raam ik de subsidiabele kosten op grond van deze beschikking op: € 1.36 2.380,- ten behoeve van de kosten van de bovenstaande onder de punten 1 tot en met 4 genoemde onderdelen tot een maximum van 40% van de totale projectkosten.
## 2.6 Verplichtingen
Aan de subsidie zijn de volgende verplichtingen verbonden:
1. U dient het project volledig uit te voeren overeenkomstig het bij de aanvraag ingediende plan en binnen de daarin voorziene tijdsduur.
2. U dient mij onverwijld een schriftelijke melding te doen zodra aannemelijk is dat de activiteiten waarvoor de subsidie is verleend niet, niet tijdig of niet geheel zullen worden verricht of dat niet, niet geheel of niet tijdig aan de aan de subsidie verbonden verplichtingen zal worden voldaan.
3. U dient voor elke essentiële wijziging in de aard of de uitvoering van het plan mijn voorafgaande schriftelijke toestemming te vragen. Geen toestemming is vereist voor een wijziging van de in de subsidieverlening gespecificeerde kostenposten indien als gevolg van deze wijzing de omvang van een kostenpost niet meer dan 15% wijzigt. Aan mijn toestemming kan ik nadere verplichtingen verbinden.
4. U dient mij schriftelijk verslag uit te brengen over de voortgang van het project. In dit verslag dient duidelijk inzicht te worden gegeven in de voortgang van het project in vergelijking met de voorziene tijdsduur en kosten zoals opgenomen in het door u ingediende projectplan. Het eerste verslag brengt u uit over de periode van zes maanden na de datum van de beschikking.
5. De inrichting van uw administratie dient zodanig te zijn dat deze aansluit bij de door u ingediende begroting en daaruit te allen tijde op eenvoudige en duidelijke wijze de rechtstreeks aan het project te rekenen kosten kunnen worden afgelezen. Ter zake van de loonkosten dient door middel van een urenadministratie vastgestelde urenverantwoording aanwezig te zijn.
6. Op mijn verzoek dient u inlichtingen te verschaffen omtrent de voortgang of resultaten van het project. U bent verplicht om op mijn verzoek medewerking te verlenen aan een evaluatie van het beleid op grond waarvan deze subsidie is verstrekt. Deze verplichtingen gelden tot vijf jaar na de datum van de beschikking tot subsidievaststelling.
7. U doet mij onverwijld schriftelijke mededeling van de indiening bij de rechtbank van een verzoek tot het op u van toepassing verklaren van de schuldsaneringsregeling natuurlijke personen, tot verlening van surseance van betaling aan u of tot faillietverklaring van u.
8. De resultaten van het project dienen voor eenieder zonder onderscheid kosteloos toegankelijk te zijn en mogen geen individuele bedrijven bevoordelen.
Directoraat-generaal Natuur, Visserij en Landelijk gebied
Ons kenmerk
DGNVLG / 22224445
9. De ICT-infrastructuur zal enkel worden ingezet voor de doeleinden zoals omschreven in uw projectplan.
10. In het geval er activiteiten door een derde of derden worden uitgevoerd, dient opdrachtverlening aan deze derde(n) plaats te vinden op basis van transparante criteria en marktconforme tarieven.
11. U voert de activiteiten met betrekking tot kennisoverdracht en voorlichting in het kader van de implementatie van het ANLb uit in overeenstemming met de verplichtingen, opgenomen in artikel 21 van Verordening (EU) nr. 702/2014.
12. Uiterlijk binnen 13 weken na de in deze beschikking genoemde einddatum dient u bij mij schriftelijk een verzoek om subsidievaststelling in. Dit verzoek dient vergezeld te gaan van:
- a. Een eindrapport waarin verloop en eindresultaten van het gesubsidieerde project zijn vastgelegd;
- b. Een gespecificeerde opgave van alle rechtstreeks aan het project toe te rekenen werkelijk gemaakte kosten, opgesteld conform de door u ingediende begroting;
- c. Een accountantsverklaring conform bijgaand model;
## 2.7 Subsidievaststelling
De beschikking tot subsidievaststelling zal ik geven binnen 13 weken na ontvangst van uw aanvraag daartoe dan wel nadat de voor het indienen ervan geldende termijn genoemd in verplichting 11 is verstreken. Indien de beschikking niet binnen 13 weken kan worden gegeven zal ik u daarvan in kennis stellen en daarbij een redelijke termijn noemen waarbinnen de beschikking tegemoet gezien kan worden.
## 2.8 Voorschot
Ik verleen u bij deze een voorschot van 80% de somma € 1.089.904,00 Het voorschot zal worden betaald binnen zes weken na de dag van verzending van deze beschikking op uw bankrekeningnummer: NL85 RABO 0308 9696 18 ten name van Boerennatuur. Het resterende deel (20%) zal worden betaald na de subsidievaststelling
## 2.9 Advies
Om eventuele problemen met de accountantscontrole op uw financiële verantwoording te voorkomen adviseer ik u om uw accountant zo vroeg mogelijk te betrekken.
## 3. Correspondentie
Alle correspondentie met betrekking tot deze subsidie dient u, met vermelding van bovenstaand verplichtingnummer, te zenden naar:
Ministerie van Landbouw, Natuur en Voedselkwaliteit
t.a.v. drs H. Raven Postbus 20401 2500 EK Den Haag
Directoraat-generaal Natuur, Visserij en Landelijk gebied
Ons kenmerk DGNVLG / 22224445
Directoraat-generaal Natuur, Visserij en Landelijk gebied
Ons kenmerk DGNVLG / 22224445
De Minister voor Natuur en Stikstof, namens deze:
Donné Slangen
wnd. Directeur-Generaal NVLG
Als u het niet eens bent met deze beslissing kunt u binnen zes weken na verzending van deze brief een bezwaarschrift indienen. Stuur het ondertekende bezwaarschrift met een kopie van deze beslissing naar Rijksdienst voor Ondernemend Nederland, afdeling Juridische Zaken, Postbus 40219, 8004 DE, Zwolle. Op onze internetsite www.mijn.rvo.nl/bezwaar vindt u meer belangrijke informatie over het indienen van een bezwaarschrift. Dit besluit is verzonden op de in de aanhef van deze brief vermelde datum.
Controleprotocol beschikking tot (incidentele) subsidieverlening van de ministeries van Economische Zaken en Klimaat (EZK) en Landbouw, Natuur en Voedselkwaliteit (LNV)
## 1. Uitgangspunten
## 1.1. Doelstelling
Dit protocol heeft als doel het geven van aanwijzingen over de reikwijdte en de diepgang van de controle aan de accountant, belast met de controle van de door de subsidieontvanger bij het ministerie van Economische Zaken en Klimaat (EZK) en het ministerie van Landbouw, Natuur en Voedselveiligheid (LNV) in te dienen financieel verslag opgenomen in de aanvraag om subsidievaststelling. Financiële afrekening door EZK of LNV vindt plaats op basis van het in de aanvraag tot subsidievaststelling opgenomen financieel verslag als bedoeld in artikel 50 van het Kaderbesluit nationale EZK- en LNV-subsidies, voorzien van een controleverklaring van de accountant.
## 1.2. Definities
- Accountant: een registeraccountant of Accountant-Administratieconsulent als bedoeld in artikel 393, eerste lid, van Boek 2 van het Burgerlijk Wetboek aan wie de subsidieontvanger de opdracht heeft toegekend de aanvraag tot subsidievaststelling te controleren.
- Subsidieontvanger: een natuurlijke of rechtspersoon of diens gemachtigde aan wie namens EZK of LNV een subsidie is verstrekt.
- Controleverklaring: een schriftelijke verklaring van de accountant inhoudende een oordeel over de juistheid, de volledigheid en de financiële rechtmatigheid van een aanvraag tot subsidievaststelling.
## 1.3. Wet- en regelgeving
Voor de controle van het financieel verslag is de volgende wet- en regelgeving van toepassing:
- -de voorwaarden en verplichtingen die in de (bijlagen bij) de beschikking tot subsidieverlening (of wijzigingen daarin) tot toetsingskader voor de accountant worden benoemd, voor zover dit de door hem te controleren financiële rechtmatigheid van het verslag betreft;
- -indien de subsidieontvanger een aanbestedende dienst is volgens artikel 1.1 van de Aanbestedingswet 2012: de Aanbestedingswet 2012, het Aanbestedingsbesluit en de Gids Proportionaliteit.
Bij de uitvoering van de controle stelt de accountant vast dat:
- a. in het financieel verslag:
2. 1°. geen kosten als subsidiabel zijn opgenomen die niet voor subsidie in aanmerking komen op grond van het toetsingskader in de beschikking tot subsidieverlening;
3. 2°. uitsluitend kosten als subsidiabel zijn opgenomen die zijn gemaakt binnen de subsidiabele periode en voor rekening komen van de subsidieontvanger;
- b. de subsidieontvanger opgave doet van alle opbrengsten, waaronder subsidies, waarmee het programma / de activiteit waarop de subsidie betrekking heeft, mede is gefinancierd;
Directoraat-generaal Natuur, Visserij en Landelijk gebied
Ons kenmerk DGNVLG / 22224445
- c. ingeval de subsidie strekt tot uitvoering van een project, kosten en opbrengsten aantoonbaar zijn gemaakt in het kader van de uitvoering van het projectplan en in overeenstemming met de bijbehorende projectbegroting waarop de beschikking tot subsidieverlening betrekking heeft.
## 2. Controleaanpak
## 2.1. Eisen voor de controleaanpak
De controle moet voldoen aan de controlestandaarden die onderdeel zijn van de nadere voorschriften Controle- en overige standaarden (NV COS), die door de Koninklijke Nederlandse Beroepsorganisatie van Accountants (NBA) zijn vastgesteld.
Voor de controle van aanbestedende diensten geldt dat bij aanbestedingen boven de Europese drempelbedragen voor de financiële rechtmatigheid van de in het financieel verlag opgenomen kosten de in dit protocol opgenomen goedkeuringstoleranties worden gehanteerd.
## 2.2. Materialiteit: goedkeuringstoleranties en gewenste zekerheid
Bij zijn oordeelsvorming over de naleving van de subsidievoorwaarden streeft de accountant naar een redelijke mate van zekerheid. Indien dit begrip voor het gebruik van statistische technieken gekwantificeerd moet worden, wordt een betrouwbaarheid van 95% gehanteerd.
Een controleverklaring met een goedkeurende strekking impliceert dat, gegeven eerdergenoemde betrouwbaarheid, de maximale afwijking niet groter is dan één procent en de maximale onzekerheid niet groter is dan drie procent van het totaalbedrag aan subsidiabele kosten dat in het financieel verslag wordt verantwoord. De hierna vermelde goedkeuringstoleranties zijn in dit kader van toepassing.
| Aard van de aangelegenheid                                                                                       | Controleverklaring   | Controleverklaring   | Controleverklaring   | Controleverklaring   |
|------------------------------------------------------------------------------------------------------------------|----------------------|----------------------|----------------------|----------------------|
|                                                                                                                  | Goedkeurend          | Met beperking        | Oordeelonthouding    | Afkeurend            |
| Afwijkingen in het financieel verslag (fouten)                                                                   | &lt;1%                  |  1% en &lt; 3%         | N.v.t.               |  3%                 |
| Het niet in staat zijn om voldoende en geschikte controle-informatie te verkrijgen (onzekerheden in de controle) | &lt;3%                  |  3% en &lt;10%         |  10%                | N.v.t.               |
Voor de financiële rechtmatigheid worden alle geconstateerde fouten die van invloed zijn op de hoogte van de vaststelling van subsidie, voor zover mogelijk door de subsidieontvanger gecorrigeerd. Hierbij is het niet van belang of de tolerantiegrenzen worden overschreden.
Directoraat-generaal Natuur, Visserij en Landelijk gebied
Ons kenmerk DGNVLG / 22224445
Indien de accountant zowel fouten in de verantwoordingsinformatie als onzekerheden in de controle aantreft, dan weegt hij deze bij zijn oordeelsvorming altijd in onderlinge samenhang.
## 3. Verslaglegging
De accountant legt de uitkomsten van de controle vast in een controleverklaring. Hiervoor wordt de meest actuele NBA-voorbeeldtekst in de Handleiding Regelgeving Accountancy, deel 3, sectie II, hoofdstuk 10.3: 'Controleverklaring bij een subsidiedeclaratie in de (semi)publieke sector' als basis gehanteerd. In de verklaring dient te staan dat de accountant dit accountantsprotocol heeft gevolgd.
Directoraat-generaal Natuur, Visserij en Landelijk gebied
Ons kenmerk
DGNVLG / 22224445</t>
  </si>
  <si>
    <t>Rijksoverheid__121_Besluit-op-subsidie-voor-implementatie-voor-het-Agrarisch-Natuur-en-Landschapsbeheer.txt::Rechtsobject</t>
  </si>
  <si>
    <t>subsidie [4903:4912]</t>
  </si>
  <si>
    <t>subsidie [4903:4911]</t>
  </si>
  <si>
    <t>[...] lijn 2009/147/EG van het Europees Parlement en de Raad van 30 november 2009 inzake het behoud van de vogelstand) verstrek ik u hierbij, op grond van artikel 2a, eerste lid, onder d van de Kaderwet EZK- en LNV-subsidies, subsidie voor de uitvoering van uw activiteiten ten behoeve van de implementatie ANLb die voortvloeien uit het Nationaal Strategisch Plan voor het GLB 2023-2027. Binnen dit project wordt tevens subsidie beschikbaar gesteld voor d [...]</t>
  </si>
  <si>
    <t>Rijksoverheid__123_Besluit-verlening-subsidie-voor-project-Rebecca.txt::Ontvanger</t>
  </si>
  <si>
    <t>ITEC B.V.</t>
  </si>
  <si>
    <t>itec b.v</t>
  </si>
  <si>
    <t>ITEC B.V. [54:63]</t>
  </si>
  <si>
    <t>&amp;gt; Retouradres: Postbus 93144, 2509 AC Den Haag ITEC B.V. Jonkerbosplein 52 6534 AB NIJMEGEN Datum 28 december 2022 Betreft Rebecca Geachte Met genoegen deel ik u mee dat op 15 september 2022 de Public Authorities Board positief heeft besloten over financi [...]</t>
  </si>
  <si>
    <t>&amp;gt; Retouradres: Postbus 93144, 2509 AC  Den Haag
ITEC B.V.
Jonkerbosplein 52 6534 AB NIJMEGEN
Datum
28 december 2022
Betreft
Rebecca
Geachte
Met genoegen deel ik u mee dat op 15 september 2022 de Public Authorities Board positief heeft besloten over financiering van het project . De Executive Director heeft vervolgens met het mandaat van de Public Authorities Board overeenstemming bereikt over de JU Grant Agreement.
Op grond van artikel 2, eerste lid onder b, van de Kaderwet EZK- en LNV-subsidies verleen ik subsidie voor de uitvoering van het Nederlandse aandeel in het project, zoals beschreven in de Annex 1 van de JU Grant Agreement. Deze annex maakt integraal onderdeel uit van deze beschikking. Het project wordt uitgevoerd in het kader van de Verordening (EU) 2021/2085 van de Raad van 19 november 2021 betreffende de oprichting van de "gemeenschappelijke ondernemingen onder Horizon Europe".
## Voor dit project geldt het volgende:
- De subsidi 770.118.
- 3.034.222. In bijlage 1 vindt u een overzicht van de projectkosten en een toelichting op eventuele correcties op de door u ingediende begroting.
- Indien reeds door een bestuursorgaan of de Europese Commissie subsidie is verstrekt voor de subsidiabele kosten of een deel daarvan, wordt slechts een zodanig bedrag aan subsidie verstrekt dat het totale bedrag aan subsidies niet meer bedraagt dan het bedrag dat kan worden verstrekt overeenkomstig de eligibility criteria.
- Met betrekking tot de subsidiabele kosten zijn de artikelen 10 tot en met 14 van het Kaderbesluit nationale EZK- en LNV-subsidies, alsmede de artikelen 1.2, 1.4, 1.5 en 3.1.1 van de Regeling nationale EZK- en LNV-subsidies van overeenkomstige toepassing.
- De projectkosten zijn subsidiabel vanaf 1 januari 2023, de startdatum van het project.
- Het project moet uiterlijk op 1 juli 2026 zijn uitgevoerd. Kosten die na deze datum worden gemaakt, komen niet meer voor subsidie in aanmerking.
- Rebecca partijen: Almende B.V., AquaSmart Engineering B.V. en Stichting IMEC Nederland.
1 Anders dan de bijdrage van de Europese Commissie die via de KDT Joint Undertaking aan het project is toegekend.
&lt;!-- image --&gt;
## Rijksdienst voor Ondernemend Nederland
Rijksdienst voor Ondernemend Nederland
Prinses Beatrixlaan 2 2595 AL  Den Haag Postbus 93144 2509 AC  Den Haag www.rvo.nl
&lt;!-- image --&gt;
Projectnaam
Rebecca
Referentienummer KDT222003
Ons kenmerk
ECSEL220DS2EOU
Bijlage(n)
3.
U treedt als penvoerder namens de Nederlandse deelnemers op. Uitbetaling van de subsidie vindt plaats aan de afzonderlijke deelnemers.
- Voorschotten worden verstrekt overeenkomstig artikel 45 van het Kaderbesluit nationale EZK- en LNV-subsidies, met dien verstande dat in totaal maximaal 90% van het verleende subsidiebedrag als voorschot kan worden verstrekt. Het voorschot wordt elk kwartaal automatisch verstrekt gedurende de looptijd van het project. De voorschotten zullen in termijnen aan de deelnemers worden betaald.
- In bijlage 3 treft u een overzicht van de verschillende voorschotten en betaaldata aan. De voorschotten zullen binnen twee weken na de betreffende voorschotdatum verstrekt worden. De voorschotten zullen worden overgemaakt op de bankrekeningnummers zoals genoemd in deze bijlage.
alsmede de eligibility criteria.
Voor de subsidievaststelling moet u na afloop van het project een verzoek indienen volgens verplichting 11 in de bijlage 2. Uw verzoek zal vervolgens binnen 13 weken na ontvangst worden afgehandeld.
De eligibility criteria, Kaderbesluit nationale EZK- en LNV-subsidies en Regeling nationale EZK- en LNV-subsidies zijn te vinden op de website: http://www.rvo.nl/subsidies-regelingen/kdt-ju
## Europeesrechtelijke aspecten:
De subsidie mag niet leiden tot het verlenen van ongeoorloofde staatssteun in de zin van artikel 107 van het Verdrag betreffende de werking van de Europese Unie. Hierbij geldt dat staatssteun in beginsel verboden is. Een steunmaatregel kan echter verenigbaar zijn met de interne markt, indien deze valt binnen de juridische kaders van de Europese Commissie of door haar is goedgekeurd.
Op basis van het projectplan zie ik geen aanleiding om tot het oordeel te komen dat de verlening van subsidie voor de activiteiten van het project die worden uitgevoerd door  Stichting IMEC Nederland en waarvan de subsidiabele kosten zijn opgenomen in Bijlage 1 (bij deze beschikking) leiden tot staatssteun, mits door deze onderzoeksorganisatie aan de volgende voorwaarden wordt voldaan:
paragraaf 1.3, onderdeel ff (elementen waardoor deze onderzoeksorganisatie(s) een onderzoeksorganisatie zijn en blijven) en paragraaf 2.1.1 van de Kaderregeling betreffende staatssteun voor onderzoek, ontwikkeling en innovatie (PbEU C(2022) 7388) (hierna: Kaderregeling O&amp;amp;O&amp;amp;I) randnummers 19, 20, onderdeel a, onder II, onderdeel b en randnummer 21 en randnummers 28 tot en met 30.
Op de subsidie bestemd voor de aan het project deelnemende bedrijven waarvan de subsidiabele kosten eveneens zijn opgenomen in de hiervoor genoemde Bijlage 1 is de Verordening (EU) nr. 651/2014 van de Commissie van 17 juni 2014 per deelnemende bedrijf van toepassing waarbij bepaalde categorieën steun op grond van de artikelen 107 en 108 van het Verdrag met de interne markt verenigbaar worden verklaard (de algemene groepsvrijstellingsverordening), PbEU 2014, L 187 (hierna: AGVV). Het betreft steun ten behoeve van industrieel onderzoek zoals bedoeld in artikel 25, tweede lid, onderdeel b, en experimentele ontwikkeling zoals bedoeld in artikel 25, tweede lid, onderdeel c, van de AGVV. De hiervoor genoemde voorwaarden heb ik ook als verplichtingen toegevoegd aan deze beschikking. Ingevolge artikel 9, eerste lid, en artikel 11 van de AGVV wordt deze beschikking (volledige tekst) op het internet bekend gemaakt en wordt deze beschikking aan de Europese Commissie kennisgegeven. Het subsidiebedrag zal ten hoogste het percentage van de subsidiabele kosten bedragen zoals per deelnemer aangegeven in de begroting (bijlage 1), met dien verstande dat, indien ter zake van de subsidiabele kosten of een deel daarvan reeds uit anderen hoofde vanwege een bestuursorgaan of de Europese Commissie een subsidie is verstrekt, slechts een zodanig bedrag aan subsidie aan de aan het project deelnemende bedrijven wordt verstrekt, dat het totale bedrag aan subsidies niet meer bedraagt dan de steunintensiteiten vermeld in artikel 25, leden 5 en 6 van de AGVV, van de totale in aanmerking komende kosten over de periode waarvoor subsidie is verleend. Uw aanvraag is bij Rijksdienst voor Ondernemend Nederland bekend onder referentienummer KDT222003. Ik verzoek u dit nummer te vermelden bij verdere correspondentie. Uw contactpersoon voor het project is . bezwaarschrift naar de Rijksdienst voor Ondernemend Nederland, afdeling Juridische Als u het niet eens bent met deze beslissing, kunt u binnen zes weken na verzending van deze brief schriftelijk een bezwaarschrift indienen. De datum bovenaan deze brief is de verzenddatum. U stuurt het ondertekende Zaken, Postbus 40219, 8004 DE Zwolle.
&lt;!-- image --&gt;
## Bijlage 1: Begroting per deelnemer
## Projectnummer: KDT222003
Op basis van de door u ingediende begroting en het bepaalde in artikel 4 van het Besluit zijn de subsidiabele kosten als volgt vastgesteld:
| Naam organisatie                                    |     | ITEC B.V. Onderzoek en ontwikkeling   | Almende B.V. Onderzoek en ontwikkeling   | AquaSmart Engineering B.V. Onderzoek en ontwikkeling   | Stichting IMEC Nederland Onderzoek en ontwikkeling   | Totaal Onderzoek en ontwikkeling   |
|-----------------------------------------------------|-----|---------------------------------------|------------------------------------------|--------------------------------------------------------|------------------------------------------------------|------------------------------------|
| 1. Loonkosten                                       |     |                                       |                                          |                                                        |                                                      |                                    |
| Loonkosten direct personeel                         | EUR | 540.200                               | 412.500                                  | 255.200                                                | 1.032.372                                            | 2.240.272                          |
| Kosten van arbeid, anders dan loonkosten            | EUR | 0                                     | 0                                        | 0                                                      | 0                                                    | 0                                  |
| Totaal                                              | EUR | 540.200                               | 412.500                                  | 255.200                                                | 1.032.372                                            | 2.240.272                          |
| 2. Opslag voor algemene kosten: 50% van de          |     |                                       |                                          |                                                        |                                                      |                                    |
| onder 1 genoemde kosten                             | EUR | 270.100                               | 206.250                                  | 127.600                                                | 0                                                    | 603.950                            |
| 3. Kosten van machines en apparatuur:               |     |                                       |                                          |                                                        |                                                      |                                    |
| Uitsluitend voor het project aangeschaft            | EUR | 0                                     | 0                                        | 0                                                      | 0                                                    | 0                                  |
| Niet uitsluitend voor het project aangeschaft       | EUR | 0                                     | 0                                        | 0                                                      | 0                                                    | 0                                  |
| Totaal                                              | EUR | 0                                     | 0                                        | 0                                                      | 0                                                    | 0                                  |
| 4. Kosten van verbruikte materialen en hulpmiddelen | EUR | 20.000                                | 10.000                                   | 35.000                                                 | 60.000                                               | 125.000                            |
| 5. Aan derden verschuldigde kosten                  | EUR | 15.000                                | 15.000                                   | 15.000                                                 | 20.000                                               | 65.000                             |
| Totale projectkosten                                | EUR | 845.300                               | 643.750                                  | 432.800                                                | 1.112.372                                            | 3.034.222                          |
| Subsidiepercentage                                  |     | 20%                                   | 30%                                      | 30%                                                    | 25%                                                  |                                    |
| Totaal toegekende subsidie                          | EUR | 169.060                               | 193.125                                  | 129.840                                                | 278.093                                              | 770.118                            |
Bovenstaande begroting wijkt niet af van de oorspronkelijke begroting.
## Bijlage 2: Verplichtingen van de subsidie ontvanger.
1. U dient (uw deel van) het project volledig uit te voeren overeenkomstig Annex 1 van de JU Grant Agreement van het project en binnen de daarin voorziene tijdsduur. Wijzigingen van Annex 1 van de JU Grant Agreement en de begroting en daarmee van het project, dienen tot stand te komen in overleg met de Joint Undertaking en de Rijksdienst voor Ondernemend Nederland. De door de Joint Undertaking verleende toestemming geldt dan eveneens als mijn toestemming voor afwijking van deze beschikking. Aan de toestemming kunnen nadere voorschriften worden verbonden. Op de subsidieverlening zijn tevens de artikelen 38, 40 en 41 van het Kaderbesluit nationale EZK- en LNV-subsidies van overeenkomstige toepassing.
2. De subsidieontvanger meldt aan Rijksdienst voor Ondernemend Nederland indien de subsidiabele kosten in een kalenderjaar meer dan 25% afwijken van de begroting. Dit geldt in ieder geval voor:
3. materiaalkosten);
3. U dient het onderzoeksproject in Nederland uit te voeren, tenzij ik voorafgaande schriftelijke toestemming heb gegeven voor gedeeltelijke uitvoering buiten Nederland.
4. De Stichting IMEC Nederland dient ingevolge van paragraaf 2.1.1 van de Kaderregeling O&amp;amp;O&amp;amp;I in haar administratie een onderscheid te maken naar economische en niet-economische activiteiten, evenals naar de kosten, de financiering en de inkomsten van deze activiteiten. Economische en niet economische activiteiten en het gebruik van de onderzoekinfrastructuur voor economische en niet-economische activiteiten en de kosten en financiering en inkomsten ervan dienen duidelijk te worden onderscheiden. Een correcte toerekening van de kosten, financiering en inkomsten dient te worden aangetoond met een controleverklaring, die bij het verzoek om vaststelling van de subsidie moet worden meegezonden.
5. De Stichting IMEC Nederland dient paragraaf 1.3 onder ff (elementen waardoor u een onderzoeksorganisatie bent in het kader van de Kaderregeling O&amp;amp;O&amp;amp;I) in acht te nemen. Deze staan vermeld in paragraaf 1.3 onder ff universiteiten of onderzoeksinstellingen, agentschappen voor technologieoverdracht, innovatie-intermediairs, entiteiten voor fysieke of virtuele onderzoeksgerichte samenwerking), ongeacht haar rechtsvorm (publiek- of privaatrechtelijke organisatie) of financieringswijze, die zich in hoofdzaak
bezighoudt met het onafhankelijk verrichten van fundamenteel onderzoek, industrieel onderzoek of experimentele ontwikkeling, of met het breed verspreiden van de resultaten van die activiteiten door middel van onderwijs, publicaties of kennisoverdracht. Wanneer dit soort entiteit ook economische activiteiten uitoefent, moet met betrekking tot de financiering van, de kosten van en de inkomsten uit die economische activiteiten een gescheiden boekhouding worden gevoerd. Ondernemingen die een beslissende invloed op dit soort entiteit kunnen uitoefenen in hun hoedanigheid van bijvoorbeeld aandeelhouder of lid van de organisatie, mogen geen preferente toegang tot de door deze entiteit verkregen onderzoeksresultaten genieten. U dient paragraaf 2.2.2 (voorwaarden die gelden bij de samenwerking tussen onderzoeksorganisaties en ondernemingen) in acht te nemen. Deze voorwaarden worden vermeld onder de randnummers 28 tot en met 30 van de Kaderregeling O&amp;amp;O&amp;amp;I.
6. a. U dient zorg te dragen voor een verantwoord gebruik van de uit het innovatieproject voortvloeiende resultaten, waaronder het intellectuele eigendom, dat is voortgevloeid uit het innovatieproject, evenals voor de exploitatie van deze resultaten overeenkomstig de subsidieaanvraag. Voorts dient u te zorgen voor de bescherming van octrooieerbare kennis.
- b.  Indien kennis en andere resultaten door één van de subsidieontvangers aan derden worden overgedragen, dan vindt dit plaats op basis van marktconforme voorwaarden.
- c.  U dient mij voorafgaand over een transactie in zin van het lid b. te informeren.
7. U doet mij onverwijld schriftelijk mededeling van de indiening bij de rechtbank van een verzoek tot het op u van toepassing verklaren van de schuldsaneringsregeling natuurlijke personen, tot verlening van surseance van betaling aan of tot faillietverklaring van één van de leden van het samenwerkingsverband.
8. U dient een administratie te voeren die zodanig is ingericht dat daaruit te allen tijde op eenvoudige en duidelijke wijze alle rechtstreeks aan het onderzoeksproject toe te rekenen kosten kunnen worden afgelezen. U dient een tijdverantwoording bij te houden van alle bij de onderzoeksprojecten betrokken personen.
9. U dient mij een maal per jaar, schriftelijk verslag uit te brengen over de voortgang van het project. In dit verslag dient duidelijk financieel inzicht te worden gegeven in de voortgang van het project in vergelijking met de voorziene tijdsduur en kosten zoals opgenomen in Annex 1 van de JU Grant Agreement.
10. U bent verplicht, op verzoek van de Minister, inlichtingen te verschaffen omtrent de voortgang of resultaten van het project. Tevens bent u verplicht, op verzoek van de Minister, uw medewerking te verlenen aan een evaluatie van het beleid op grond waarvan deze subsidie is verstrekt.
11. Uiterlijk binnen 13 weken na de in de subsidieverlening genoemde einddatum dient u bij mij een schriftelijk verzoek om subsidievaststelling in. Een formulier wordt via de website ter beschikking gesteld. Dit verzoek dient vergezeld te gaan van:
- a.  Een eindrapportage met de resultaten van het project voor de Nederlandse deelnemers;
- b.  Een gespecificeerde opgave van alle rechtstreeks aan uw gedeelte van het project toe te rekenen werkelijk gemaakte en betaalde kosten, opgesteld conform de in bijlage 1 vermelde begroting;
- c.  Een controleverklaring conform BIJLAGE 1.3, BEHORENDE BIJ ARTIKEL 1.5 VAN DE REGELING NATIONALE EZK- EN LNV-SUBSIDIES;
- d.  Indien er gebruikt wordt gemaakt van integrale kosten systematiek, zoals bedoeld in artikel 12 van het Kaderbesluit nationale EZK- en LNV-subsidies, een rapport van feitelijke bevindingen conform BIJLAGE 1.1, BEHORENDE BIJ ARTIKEL 1.2, EERSTE LID, VAN DE REGELING NATIONALE EZK- EN LNVSUBSIDIES.
## Bijlage 3: overzicht bevoorschotting
| Naam                 |                      |   ITEC B.V. |   Almende BV |   AquaSmart Engineering B.V. |   Stichting IMEC Nederland |
|----------------------|----------------------|-------------|--------------|------------------------------|----------------------------|
| Betaaldatum          |                      |             |              |                              |                            |
| 15-1-2023            | EUR                  |      10.868 |       12.415 |                        8.347 |                     17.877 |
| 1-4-2023             | EUR                  |      10.868 |       12.415 |                        8.347 |                     17.877 |
| 1-7-2023             | EUR                  |      10.868 |       12.415 |                        8.347 |                     17.877 |
| 1-10-2023            | EUR                  |      10.868 |       12.415 |                        8.347 |                     17.877 |
| 1-1-2024             | EUR                  |      10.868 |       12.415 |                        8.347 |                     17.877 |
| 1-4-2024             | EUR                  |      10.868 |       12.415 |                        8.347 |                     17.877 |
| 1-7-2024             | EUR                  |      10.868 |       12.415 |                        8.347 |                     17.877 |
| 1-10-2024            | EUR                  |      10.868 |       12.415 |                        8.347 |                     17.877 |
| 1-1-2025             | EUR                  |      10.868 |       12.415 |                        8.347 |                     17.877 |
| 1-4-2025             | EUR                  |      10.868 |       12.415 |                        8.347 |                     17.877 |
| 1-7-2025             | EUR                  |      10.868 |       12.415 |                        8.347 |                     17.877 |
| 1-10-2025            | EUR                  |      10.868 |       12.415 |                        8.347 |                     17.877 |
| 1-1-2026             | EUR                  |      10.868 |       12.415 |                        8.347 |                     17.877 |
| 1-4-2026             | EUR                  |      10.870 |       12.417 |                        8.345 |                     17.882 |
| Totaal per deelnemer | Totaal per deelnemer |     152.154 |      173.812 |                      116.856 |                    250.283 |
IBAN</t>
  </si>
  <si>
    <t>Rijksoverheid__123_Besluit-verlening-subsidie-voor-project-Rebecca.txt::Rechtshandeling</t>
  </si>
  <si>
    <t>verleen [531:539]</t>
  </si>
  <si>
    <t>verleen [531:538]</t>
  </si>
  <si>
    <t>[...] xecutive Director heeft vervolgens met het mandaat van de Public Authorities Board overeenstemming bereikt over de JU Grant Agreement. Op grond van artikel 2, eerste lid onder b, van de Kaderwet EZK- en LNV-subsidies verleen ik subsidie voor de uitvoering van het Nederlandse aandeel in het project, zoals beschreven in de Annex 1 van de JU Grant Agreement. Deze annex maakt integraal onderdeel uit van deze beschikking. Het project wordt uitgev [...]</t>
  </si>
  <si>
    <t>Rijksoverheid__123_Besluit-verlening-subsidie-voor-project-Rebecca.txt::Rechtsobject</t>
  </si>
  <si>
    <t>[...] rector heeft vervolgens met het mandaat van de Public Authorities Board overeenstemming bereikt over de JU Grant Agreement. Op grond van artikel 2, eerste lid onder b, van de Kaderwet EZK- en LNV-subsidies verleen ik subsidie voor de uitvoering van het Nederlandse aandeel in het project, zoals beschreven in de Annex 1 van de JU Grant Agreement. Deze annex maakt integraal onderdeel uit van deze beschikking. Het project wordt uitgevoerd in het [...]</t>
  </si>
  <si>
    <t>&lt;!-- image --&gt;
Geachte,
In antwoord op het verzoek van 14 februari 2025, deel ik u mede dat er ingevolge artikel 2:25 van de Algemene Plaatselijke Verordening van Rotterdam een vergunning verleend wordt voor:
Evenement : Categorie : Datum en tijd(en) evenement :
Werelds Delfshaven 2025
A-evenement
Zaterdag 19 juli 2025 van 12:00 uur-23:00 uur Zondag 20 juli 2025 van 13:00 uur-22:00 uur
Locatie :
Heemraadsplein
Gebied
:
Delfshaven, Rotterdam
Data en tijden op- en afbouw :
Opbouw
Woensdag 16 juli 2025 van 10:00 uur-18:00 uur Donderdag 17 juli 2025 van 9:00 uur-19:00 uur Vrijdag 18 juli 2025 van 9:00 uur-21:00 uur Afbouw
Maandag 21 juli 2025 van 9:00 uur-22:00 uur
Bezoekersaantal :
Maximaal 499 bezoekers gelijktijdig
## Zondagswet
Tevens verleen ik u ontheffing van het bepaalde in artikel 3, eerste lid van de Zondagswet om gedurende de tijd na 13:00 uur gerucht te verwekken dat op een afstand van meer dan 200 meter van het punt van de geluidsbron hoorbaar is.
Ook verleen ik u op grond van artikel 4, derde lid van de Zondagswet ontheffing van het in artikel 4, eerste lid van de Zondagswet gestelde verbod: 'het is verboden op zondag voor 13:00 uur openbare vermakelijkheden te houden, daartoe gelegenheid te geven of daaraan deel te nemen'.
In dit verband breng ik u onder de aandacht dat ongeacht deze ontheffing onverminderd van kracht blijft artikel 2, eerste lid van de Zondagswet luidende: 'het is verboden op zondag in de nabijheid van kerken of andere gebouwen voor de openbare eredienst in gebruik, zonder strikte noodzaak gerucht te verwekken, waardoor de godsdienstoefening wordt gehinderd'
U dient zorg voor te dragen dat het gaan naar en het huiswaarts keren van kerkdiensten als gevolg van genoemd evenement niet of nagenoeg niet wordt belemmerd.
Ik behoud mij te allen tijde het recht voor om op grond van de openbare orde en veiligheid of omwille van de gezondheid van bezoekers alsnog te besluiten deze vergunning in te trekken c.q. aanvullende voorschriften aan de vergunning te verbinden.
Aan deze vergunning zijn de in de bijlage opgenomen voorschriften verbonden. De in de bijlage opgenomen voorschriften laten verplichtingen van vergunninghouder voortvloeiende uit andere weten regelgeving onverlet.
Tot slot wijs ik u erop, dat u aansprakelijk bent voor alle schade die door het gebruik van deze vergunning aan eigendommen van de gemeente of van anderen mocht worden toegebracht.
Postadres:
Postbus 70012
3000 KP Rotterdam
Directie Veiligheid, Horeca &amp;amp; Evenementen
Website:
www.rotterdam.nl
E-mail:
Telefoon:
Inlichtingen bij:
Kenmerk:
111428-2025
Betreft:
Evenementenvergunning
Datum:
22 mei 2025
De burgemeester van Rotterdam, Voor deze,
Mr. M.B.T. Heijmink
Teamleider Horeca &amp;amp; Evenementen
## Bijlage(n) behorende bij de evenementenvergunning
Bijlage I
: Voorschriften
Bijlage II
: Geluidsvoorschriften
Bijlage III
: Artikelen BBGBOP (niet ter publicatie)
Bijlage IV
: Veiligheidsplan (niet ter publicatie)
Bijlage V
: Situatieschets (niet ter publicatie)
Bijlage VI
: Draaiboek (niet ter publicatie)
## Zo maakt u bezwaar
Bezwaar maken kan binnen 6 weken na de datum dat dit besluit bekend is gemaakt. U maakt digitaal bezwaar op www.rotterdam.nl/bezwaar.
## Of stuur een brief naar:
Burgemeester van Rotterdam
T.a.v. Algemene Bezwaarschriften Commissie
Postbus 1011
3000 BA Rotterdam
## Zet in uw brief:
- tegen welk besluit u bezwaar maakt, inclusief het kenmerk van dit besluit. Dit staat rechtsboven op de eerste pagina. Of stuur een kopie van het besluit mee;
- waarom u bezwaar maakt;
- de datum waarop u bezwaar maakt.;
- uw naam, adres en handtekening;
- uw telefoonnummer.
## Direct in de problemen door dit besluit?
Als u bezwaar maakt, kan het besluit nog wel worden uitgevoerd. Hebt u daardoor direct een ernstig probleem of kunt u de uitkomst van het bezwaar niet afwachten?
U kunt dan een voorlopige beslissing aan de rechter vragen. Dat kan alleen als er sprake is van een spoedeisende situatie. Deze beslissing heet voorlopige voorziening. De rechter beslist hierover. De kosten van een voorlopige voorziening moet u meestal zelf betalen.
Krijgt u een voorlopige voorziening van de rechter? Dan voert de gemeente het besluit niet uit, tot u een beslissing op uw ingediende bezwaar hebt gekregen.
U kunt een voorlopige voorziening aanvragen op www.rechtspraak.nl. Zoek op 'voorlopige voorziening bestuursrecht aanvragen'.
Of stuur een brief naar: Rechtbank Rotterdam Sector Bestuursrecht Postbus 50951 3007 BM Rotterdam
&lt;!-- image --&gt;
&lt;!-- image --&gt;
## Bijlage I; Voorschriften behorende bij de evenementenvergunning voor 'Werelds Delfshaven 2025' d.d. zaterdag 19 juli 2025 en zondag 20 juli 2025 op locatie Heemraadsplein in gebied Delfshaven
Organisatie :
Naam contactpersoon :
Telefoonnummer contactpersoon
## Openbare Orde en Veiligheid
- De organisator is te allen tijde verantwoordelijk voor een juiste uitvoering van het evenement en de daarbij behorende plannen die een onderdeel uitmaken van de verleende vergunning.
- Een vertegenwoordiger van de organisator moet beschikbaar zijn als aanspreekpunt voor de politie.
- De vergunninghouder is verplicht deze vergunning op verzoek van een ambtenaar (belast met de zorg voor de naleving van de voorschriften) te laten zien.
- Het parcours/terrein wordt aanvaard in de staat waarin het zich bevindt; de gemeente kan niet aansprakelijk worden gesteld voor eventuele gevolgen voortvloeiende uit genoemde staat.
- Iedereen is verplicht om op en rond het evenemententerrein alle aanwijzingen, gegeven door (hulp-)diensten in het belang van de openbare orde of veiligheid van personen en goederen, stipt op te volgen.
- Eventueel inzet van particulier toezicht (ook toegangscontrole) op het evenemententerrein moet door een erkend beveiligingsbedrijf worden uitgevoerd met gediplomeerd personeel voorzien van een geldig beveiligingslegitimatiebewijs.
- Beveiligingswerkzaamheden dienen tijdig schriftelijk te worden gemeld bij Bijzondere Wetten afdeling EXO via mailbox: korpscheftaken.rotterdam@politie.nl.
- Indien alcohol wordt geschonken zal de locatie waar de activiteit/festiviteit wordt gehouden als evenemententerrein worden aangemerkt.
- Een evenemententerrein dient duidelijk herkenbaar te zijn afgescheiden van de openbare weg.
- Er dient op te worden toegezien dat er geen alcoholhoudende drank wordt meegenomen naar de openbare weg, zijnde buiten het evenemententerrein of anders bepaald met betrekking tot het alcoholverstrekkingspunt of de locatie.
- De verstrekking van drinkwaren, zowel zwak alcoholisch als niet alcoholhoudende drank, dient uitsluitend te geschieden in zachte plastic bekers, zachte petflessen of kartons. Het gebruik van glaswerk is verboden.
- Het is alleen toegestaan voorverpakte, c.q. fabrieksmatig voorbereide, alcoholhoudende mixdrank te verkopen c.q. aanwezig te hebben. Ter plaatse gemixte alcoholhoudende drank zullen worden aangemerkt als sterk alcoholhoudende drank en worden in beslag genomen.
- De vergunninghouder moet om het evenemententerrein te creëren een afscheiding met aanduidingsborden plaatsen met de tekst: 'VANAF HIER IS HET NUTTIGEN VAN ALCOHOL TOEGESTAAN.' Bij het verlaten van het evenemententerrein dienen aanduidingsborden te worden geplaatst met de tekst: 'VANAF HIER GEEN ALCOHOL TOEGESTAAN.'
- Het maximaal toelaatbare aantal personen in de tent is met het oog op de brandveiligheid bepaald op 150 zittende personen of max. 300 staande personen.
- Bij het plaatsen van bijv. bouwsels &amp;amp; fietsen blijven de in-/(nood)uitgangen en calamiteitenroute vrij en bereikbaar.
- Het hoog ingehekte gedeelte rond de theatertent heeft een (nood)uitgang die niet via de theatertent loopt.
- Bij foodtrucks/kramen wordt een geschikt blusmiddel geplaatst (min. 6 kg of liter) en is de onderlinge afstand en de afstand tot een bouwwerk min. 2 meter.
- Het cateringtentje heeft min. 2 meter afstand tot de theatertent.
- Er is te allen tijde voldoende verlichting om o.a. veilig te kunnen vluchten, dit geldt ook bij stroomuitval.
- Bouwsels worden op een adequate wijze gezekerd om wegwaaien en/of losschieten te voorkomen.
- De organisatie dient te voldoen aan de veldnorm evenementen zorg, https://www.evenementenz.org/wp/ en de richtlijnen van het RIVM, https://www.rivm.nl/hygienerichtlijnen/evenementen.
- De organisatie dient zich te houden aan de hygiënerichtlijnen voor evenementen die gesteld zijn door het RIVM https://www.rivm.nl/hygienerichtlijnen/evenementen.
:
&lt;!-- image --&gt;
- Bij het bereiden van voedsel dienen de HACCP richtlijnen te worden opgevolgd.
- Toiletten dienen regelmatig schoongemaakt te worden en voorzien te zijn van hygiënemiddelen.
- Na het evenement dient de organisatie/EZO binnen 5 werkdagen bij de GHOR een overzicht aan te leveren van de aard en hoeveelheid van de zorgcontacten, conform de 'evenementrapportage GHOR Rotterdam-Rijnmond'. De rapportage is toegevoegd in Bijlage III: BBGBOP. Deze gegevens worden meegenomen in de vergunningaanvragen voor volgende evenementen. De rapportage dient verzonden te worden naar: evenementenvrr@vr-rr.nl.
## Verkeer
- Alle toegangswegen naar het evenemententerrein inclusief de calamiteitenroute volgens de voorwaarden vanuit bijlage 3 (Artikelen BBGBOP) dienen beschikbaar te zijn voor hulpdiensten.
- De vrije doorgang van openbaar vervoersdiensten mag op geen enkele wijze worden belemmerd.
- Het evenement of de activiteiten mogen de bereikbaarheid van woningen, winkels of (horeca)bedrijven niet belemmeren.
- Alle verkeersmaatregelen (redactieborden, etc.) worden uiterlijk 72 uur voorafgaand aan het evenement geplaatst en uiterlijk 48 uur na afloop van het evenement verwijderd.
- Begeleidende voertuigen (belast met de aanvoer van het eventueel benodigde materialen) mogen op het terrein aanwezig zijn als desbetreffend voertuig actief wordt gelost of geladen.
- Voertuigen van medewerkers mogen niet op het terrein geparkeerd worden en dienen gebruik te maken van de bestaande voorzieningen zoals parkeergarages en andere parkeervoorzieningen.
- Voor eventuele benodigde parkeervergunningen en/of ontheffingen kan men mailen naar apostz@rotterdam.nl of bellen naar 14010.
- De verkeersregelaars moeten 1 week voor aanvang van het evenement bij het team Verkeersregie worden aangemeld om toestemming te verkrijgen
- (teamverkeersregie@rotterdam.nl). Ook verkeersregelaars met een landelijke aanstelling of evenementenverkeersregelaars met een jaaraanstelling moeten zich bij het Team Verkeersregie aanmelden.
## Plaatsen van podia, tenten, kramen en andere voorwerpen
- Het is verboden eigendommen van de gemeente te verwijderen; alle voorwerpen dienen in principe los op de ondergrond te worden geplaatst.
- Aan eigendommen van de gemeente, zoals hekken, bomen, borden, banken en lantaarnpalen mag niets worden bevestigd behoudens in bijzondere gevallen, waarvoor door of vanwege de directeur Openbare Werken gemeente Rotterdam schriftelijk is verklaard dat daartegen geen bezwaren zijn.
- Eventueel ter plaatse aanwezige brandkranen en -putten dienen voor de brandweer direct toegankelijk te blijven.
- De organisatie dient zich te houden aan de voorschriften zoals gesteld in het desbetreffende Locatieprofiel.
- Voertuigen die gebruikt worden op de grasmat mogen geen nokkenbanden hebben, maar moeten zijn voorzien van gazonbanden met een lage bandenspanning.
- Indien er afvalwater geloosd moet worden, dient dit in overleg met Stadsbeheer ingeregeld te worden. Stadsbeheer geeft de te gebruiken rioolputten aan. Het lozen op een regenkolk is niet toegestaan.
- Indien er toestemming is om tenten met grondpennen te verankeren, dient er te allen tijde een KLIC-melding gemaakt te worden (www.kadaster.nl/-/graafmelding).
- Afsluiters en ruimtes voor gas, elektra, water en stadsverwarming dienen toegankelijk te blijven.
- Tijdelijke kabels en/of leidingen moeten in kokers gelegd worden of worden afgedekt.
- Er mogen geen voertuigen of materialen geplaatst worden op het gras.
- Indien het nodig is om de gazons te betreden met voertuigen tijdens de op- en afbouw, dit eerst bespreken met de toezichthouder. Rijplaten worden geadviseerd.
- Het is niet toegestaan om binnen de kroonprojecties van de bomen te rijden, voertuigen te parkeren, aggregaten neer te zetten en/of deze ruimte als opslaglocatie te gebruiken.
- Bij eetkramen en/of foodtrucks moet de organisator voorzieningen treffen die vetvlekken op het straatmeubilair voorkomen.
- De organisatie dient rekening te houden met de werkzaamheden voor het gemaal op het heemraadsplein.
- Er mogen geen aggregaten of warm stotende machines onder of vlakbij een boom staan.
- De dekplaat voor het gemaal mag niet zwaar worden belast.
## Afval en milieu
- De organisator/vergunninghouder is verantwoordelijk voor het veegschoon houden van het evenementengebied.
- Tijdens het evenement dient de organisator/vergunninghouder afvalbakken te plaatsen op het evenemententerrein en langs de aan en aflooproute. De containers/ afvalbakken moeten afsluitbaar zijn doormiddel van een deksel. De organisator/ vergunninghouder dient de afvalbakken regelmatig te legen.
- De organisator/vergunninghouder dient direct na afloop het evenementen terrein en de buitenruimte vanaf de grens buitenkant plus 250 meter veegschoon op te leveren. Indien het verwijderen van het afval niet in eigen beheer kan geschieden, dient tijdig contact met Stadsbeheer Schone Stad (e-mail: schonestadverkoopsb@rotterdam.nl) te worden opgenomen.
- Gemeentelijke afvalkorven, die als gevolg van het evenement, overlopen dienen door de organisator/vergunninghouder te worden "afgeroomd".
- Het is de organisator/ vergunninghouder niet toegestaan afval te deponeren in de gemeentelijke, voor publieke en huishoudens bedoelde, afvalinzameling faciliteiten.
- Bij eetkramen of foodtrucks moet de organisator/ vergunninghouder voorzieningen treffen die voorkomen dat de ondergrond vervuild of beschadigd raakt.
- Eventuele extra kosten die gemaakt worden om de buitenruimte weer op het oorspronkelijke schoonniveau te brengen kunnen achteraf worden doorbelast aan de organisatie.
- De organisator dient rekening te houden met het te verwachten aantal bezoekers zorg te dragen voor voldoende sanitaire voorzieningen.
## Aansprakelijkheid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&lt;!-- image --&gt;
&lt;!-- image --&gt;
## Bijlage II: geluidsvoorschriften bij de evenementenvergunning voor 'Werelds Delfshaven 2025' d.d. zaterdag 19 juli 2025 en zondag 20 juli 2025 op locatie Heemraadsplein in gebied Delfshaven
Om overmatige geluidoverlast te voorkomen zijn aan de voorliggende evenementenvergunning krachtens de APV de volgende geluidvoorschriften verbonden voor de duur van het evenement:
## Algemene zorgplicht
1. Muziek en ander geluid, al dan niet elektronisch versterkt, mogen geen ernstige of onnodige geluidoverlast voor de omgeving veroorzaken; indien van dergelijke geluidoverlast mocht blijken, is de politie bevoegd de geluiduitzending te doen onderbreken en een verminderd geluidniveau aan te geven, dan wel - in geval van herhaling - voortijdig te doen beëindigen. Grenswaarden geluidniveaus
2. Het equivalente geluidniveau gedurende 1 minuut (Leq,1 min) veroorzaakt door de versterkte weergave van muziek en stemgeluid mag ter plaatse van de gevel (invallend geluid) van de omliggende woningen en andere geluidgevoelige gebouwen en terreinen in de omgeving niet meer bedragen dan:
65 dB(A) en 75 dB(C) in de uren, waarin het evenement plaatsvindt.
## Meet- en beoordelingsmethode
3. Het meten en berekenen van de geluidniveaus en het beoordelen van de meetresultaten moet plaatsvinden overeenkomstig de Handleiding meten en rekenen Industrielawaai 1999.
4. In afwijking van de Handleiding meten en rekenen Industrielawaai hoeft voor de beoordeling van het equivalente geluidniveau van muziekgeluid geen toeslag van 10 dB toegepast te worden, voordat getoetst wordt aan de grenswaarden uit voorschrift 2.
## Eindtijd
5. Het versterkt ten gehore brengen van muziek en ander geluid moet om uiterlijk op zaterdag 19 juli 2025 om 23:00 uur en zondag 20 juli 2025 om 22:00 uur worden beëindigd.
## Muziekinstallatie en monitoring
6. Het geluidniveau, dat voortgebracht wordt door de geluidapparatuur, moet gedurende het gehele evenement door een geluidtechnicus gemonitord worden. De geluidtechnicus moet hiervoor bij de mengtafel over een geluidniveaumeter (type 1, 2 of 3) beschikken, die geschikt is voor geluidmetingen van het dB(A)- en dB(C)-geluidniveau.
2. Ter plaatse van de mengtafel moeten de van toepassing zijnde geluidgrenswaarden duidelijk vermeld worden (bijvoorbeeld door het vastplakken op de mengtafel van gaffer tape of een geplastificeerde kaart, waarop de grenswaarden vermeld zijn).
Als de geluidgrenswaarden overschreden worden, moet de geluidtechnicus het geluidniveau verminderen.
De geluidtechnicus moet de aanwijzingen van de politie of van een namens de vergunningverlener controlerende instantie voor een wijziging van de instellingen van de apparatuur stipt en onmiddellijk opvolgen en tot nader order uitvoeren.
&lt;!-- image --&gt;
7. De geluidapparatuur moet voorzien zijn van een equalizer. De equalizer moet zodanig ingesteld zijn, dat frequenties lager dan 40 Hz met een verval van minimaal 8 dB per tertsband afgefilterd worden en dat de in voorschrift 2 gespecificeerde dB(A)- en dB(C)-geluidniveaus niet overschreden worden. De luidsprekers moeten zodanig opgesteld worden, dat de geluidproductie zoveel mogelijk van de gevels van de dichtstbij gelegen woningen en andere geluidgevoelige gebouwen en terreinen (ziekenhuizen, bejaardentehuizen etc.) af gericht is en gericht is naar het publiek op het evenemententerrein.
8. Een geluidwagen of omroepinstallatie mag geen geluid voortbrengen in de directe nabijheid van kerken of andere gebouwen voor de openbare eredienst in gebruik, evenals ziekenhuizen, verpleeginrichtingen of begraafplaatsen.
## Aggregaten en koelcontainers/koelmachines
9. Voor de aggregaten en koelcontainers/koelmachines moet van geluidarme of geluidgedempte typen gebruik gemaakt worden, in overeenstemming met de huidige stand der techniek. De aggregaten en koelcontainers/koelmachines moeten op zo groot mogelijke afstand van de woningen en andere geluidgevoelige gebouwen en terreinen opgesteld worden. Dit geldt in het bijzonder voor aggregaten en koelcontainers/koelmachines, die in bedrijf zijn buiten de uren waarin de evenementsactiviteiten plaatsvinden.
## Op- en afbouw
10. Het opbouwen en het afbreken van het evenement moet zoveel mogelijk plaatsvinden in de uren gelegen tussen 08:00 en 23:00 uur. In ieder geval mogen tussen 23:00 en 08:00 uur geen overlastveroorzakende opbouw- of afbreekactiviteiten uitgevoerd worden in de nabijheid van woningen en andere geluidgevoelige gebouwen en terreinen.
## Bewonersbrief
11. Bewoners van nabijgelegen woningen en andere geluidgevoelige gebouwen en terreinen en werknemers van omliggende bedrijven moeten tenminste een week voordat het evenement plaatsvindt schriftelijk geïnformeerd worden door de vergunninghouder over de te ondernemen activiteiten.
Hierbij moeten de tijdstippen van het evenement, evenals mogelijke overlast veroorzakende activiteiten of beperkingen kenbaar gemaakt worden.
Tevens moet minimaal één telefoonnummer worden vermeld, waarop aanvullende informatie te verkrijgen is.
Verder moet vermeld worden dat bij geluidoverlast contact gezocht kan worden met de Meldkamer van DCMR Milieudienst Rijnmond, telefoonnummer 0888-333 555 (24 uur per dag bereikbaar) of via https://www.dcmr.nl/melding-maken.
Een afschrift van de informatiebrief moet gestuurd worden naar DCMR Milieudienst Rijnmond, t.a.v. de Meldkamer via info@dcmr.nl.
De informatiebrief moet tenminste verspreid worden naar de woningen, andere geluidgevoelige gebouwen en terreinen en bedrijven in een straal van 50 meter van het evenement.
## Toelichting:
Onder 'andere geluidgevoelige gebouwen en terreinen' vallen onderwijsgebouwen, ziekenhuizen en verpleeghuizen, verzorgingstehuizen, psychiatrische inrichtingen, kinderdagverblijven, woonwagenstandplaatsen en bestemde ligplaatsen voor woonschepen.
Bij een groot aantal woningen in een flatgebouw is het wellicht aan te bevelen gebruik te maken van posters die in de entreehal nabij de brievenbussen goed zichtbaar worden opgehangen.</t>
  </si>
  <si>
    <t>ROT_46c_delfshaven_Vergunning.txt::Besluitvormend Orgaan</t>
  </si>
  <si>
    <t>De burgemeester van Rotterdam</t>
  </si>
  <si>
    <t>de burgemeester van rotterdam</t>
  </si>
  <si>
    <t>De burgemeester van Rotterdam [2760:2789]</t>
  </si>
  <si>
    <t>[...] m Directie Veiligheid, Horeca &amp;amp; Evenementen Website: www.rotterdam.nl E-mail: Telefoon: Inlichtingen bij: Kenmerk: 111428-2025 Betreft: Evenementenvergunning Datum: 22 mei 2025 De burgemeester van Rotterdam, Voor deze, Mr. M.B.T. Heijmink Teamleider Horeca &amp;amp; Evenementen ## Bijlage(n) behorende bij de evenementenvergunning Bijlage I : Voorschriften Bijlage II : Geluidsvoorschriften Bijlage III [...]</t>
  </si>
  <si>
    <t>ROT_46c_delfshaven_Vergunning.txt::Rechtshandeling</t>
  </si>
  <si>
    <t>vergunning [183:194]</t>
  </si>
  <si>
    <t>vergunning [183:193]</t>
  </si>
  <si>
    <t>&lt;!-- image --&gt; Geachte, In antwoord op het verzoek van 14 februari 2025, deel ik u mede dat er ingevolge artikel 2:25 van de Algemene Plaatselijke Verordening van Rotterdam een vergunning verleend wordt voor: Evenement : Categorie : Datum en tijd(en) evenement : Werelds Delfshaven 2025 A-evenement Zaterdag 19 juli 2025 van 12:00 uur-23:00 uur Zondag 20 juli 2025 van 13:00 uur-22:00 uur Loca [...]</t>
  </si>
  <si>
    <t>ROT_46c_delfshaven_Vergunning.txt::Rechtsobject</t>
  </si>
  <si>
    <t>&lt;!-- image --&gt;
Geachte,
In antwoord op het verzoek van 4 april 2024, deel ik u mede dat er ingevolge artikel 2:25 van de Algemene Plaatselijke Verordening van Rotterdam een vergunning verleend wordt voor:
Evenement :
STRANO 40 Jaar
Categorie
:
A-evenement
Datum en tijd(en) evenement :
Vrijdag 27 september 2024 van 17:00 tot 23:00 uur
Zaterdag 28 september 2024 van 14:00 tot 23:00 uur
Locatie :
Van Oldenbarneveltstraat 154
Gebied :
Centrum, Rotterdam
Data en tijden op- en afbouw
:
Opbouw
Vrijdag 27 september 2024 van 09:00 tot 17:00 uur Afbouw
Zondag 29 september 2024 van 09:00 tot 23:00 uur
Bezoekersaantal :
Maximaal 175 bezoekers gelijktijdig
## Zondagswet
Tevens verleen ik u ontheffing van het bepaalde in artikel 3, eerste lid van de Zondagswet om gedurende de tijd na 13:00 uur gerucht te verwekken dat op een afstand van meer dan 200 meter van het punt van de geluidsbron hoorbaar is.
Ook verleen ik u op grond van artikel 4, derde lid van de Zondagswet ontheffing van het in artikel 4, eerste lid van de Zondagswet gestelde verbod: 'het is verboden op zondag voor 13:00 uur openbare vermakelijkheden te houden, daartoe gelegenheid te geven of daaraan deel te nemen'.
In dit verband breng ik u onder de aandacht dat ongeacht deze ontheffing onverminderd van kracht blijft artikel 2, eerste lid van de Zondagswet luidende: 'het is verboden op zondag in de nabijheid van kerken of andere gebouwen voor de openbare eredienst in gebruik, zonder strikte noodzaak gerucht te verwekken, waardoor de godsdienstoefening wordt gehinderd'
U dient zorg voor te dragen dat het gaan naar en het huiswaarts keren van kerkdiensten als gevolg van genoemd evenement niet of nagenoeg niet wordt belemmerd.
Ik behoud mij te allen tijde het recht voor om op grond van de openbare orde en veiligheid of omwille van de gezondheid van bezoekers alsnog te besluiten deze vergunning in te trekken c.q. aanvullende voorschriften aan de vergunning te verbinden.
Aan deze vergunning zijn de in de bijlage opgenomen voorschriften verbonden. De in de bijlage opgenomen voorschriften laten verplichtingen van vergunninghouder voortvloeiende uit andere weten regelgeving onverlet.
Tot slot wijs ik u erop, dat u aansprakelijk bent voor alle schade die door het gebruik van deze vergunning aan eigendommen van de gemeente of van anderen mocht worden toegebracht.
Postadres:
Postbus 70012
3000 KP Rotterdam
Directie Veiligheid, Evenementen
Website:
www.rotterdam.nl
E-mail:
Telefoon:
Inlichtingen bij:
Kenmerk:
239584-2024
Betreft:
Evenementenvergunning
Datum:
26 september 2024
De burgemeester van Rotterdam, Voor deze,
## M.B.T. Heijmink
Teamleider Horeca &amp;amp; Evenementen
## Bijlage(n) behorende bij de evenementenvergunning
Bijlage I
: Voorschriften
Bijlage II
: Geluidsvoorschriften
Bijlage III
: Artikelen BBGBOP (niet ter publicatie)
Bijlage IV
: Veiligheidsplan (niet ter publicatie)
Bijlage V
: Situatieschets (niet ter publicatie)
## Zo maakt u bezwaar
Bezwaar maken kan binnen 6 weken na de datum dat dit besluit bekend is gemaakt. U maakt digitaal bezwaar op www.rotterdam.nl/bezwaar.
## Of stuur een brief naar:
Burgemeester van Rotterdam T.a.v. Algemene Bezwaarschriften Commissie Postbus 1011 3000 BA Rotterdam
## Zet in uw brief:
- tegen welk besluit u bezwaar maakt, inclusief het kenmerk van dit besluit. Dit staat rechtsboven op de eerste pagina. Of stuur een kopie van het besluit mee;
- waarom u bezwaar maakt;
- de datum waarop u bezwaar maakt.;
- uw naam, adres en handtekening;
- uw telefoonnummer.
## Direct in de problemen door dit besluit?
Als u bezwaar maakt, kan het besluit nog wel worden uitgevoerd. Hebt u daardoor direct een ernstig probleem of kunt u de uitkomst van het bezwaar niet afwachten?
U kunt dan een voorlopige beslissing aan de rechter vragen. Dat kan alleen als er sprake is van een spoedeisende situatie. Deze beslissing heet voorlopige voorziening. De rechter beslist hierover. De kosten van een voorlopige voorziening moet u meestal zelf betalen.
Krijgt u een voorlopige voorziening van de rechter? Dan voert de gemeente het besluit niet uit, tot u een beslissing op uw ingediende bezwaar hebt gekregen.
U kunt een voorlopige voorziening aanvragen op www.rechtspraak.nl. Zoek op 'voorlopige voorziening bestuursrecht aanvragen'.
## Of stuur een brief naar:
Rechtbank Rotterdam Sector Bestuursrecht Postbus 50951 3007 BM Rotterdam
&lt;!-- image --&gt;
&lt;!-- image --&gt;
## Bijlage I; Voorschriften behorende bij de evenementenvergunning voor 'STRANO 40 Jaar' d.d. 27 &amp;amp; 28 september 2024 t.h.v. Van Oldenbarneveltstraat 154
Organisatie :
Naam contactpersoon :
Telefoonnummer contactpersoon :
## Openbare Orde en Veiligheid
- De organisator is te allen tijde verantwoordelijk voor een juiste uitvoering van het evenement en de daarbij behorende plannen die een onderdeel uitmaken van de verleende vergunning.
- Een vertegenwoordiger van de organisator moet beschikbaar zijn als aanspreekpunt voor de politie.
- De vergunninghouder is verplicht deze vergunning op verzoek van een ambtenaar (belast met de zorg voor de naleving van de voorschriften) te laten zien.
- Het parcours/terrein wordt aanvaard in de staat waarin het zich bevindt; de gemeente kan niet aansprakelijk worden gesteld voor eventuele gevolgen voortvloeiende uit genoemde staat.
- Iedereen is verplicht om op en rond het evenemententerrein alle aanwijzingen, gegeven door (hulp-)diensten in het belang van de openbare orde of veiligheid van personen en goederen, stipt op te volgen.
- Eventueel inzet van particulier toezicht (ook toegangscontrole) op het evenemententerrein moet door een erkend beveiligingsbedrijf worden uitgevoerd met gediplomeerd personeel voorzien van een geldig beveiligingslegitimatiebewijs.
- Beveiligingswerkzaamheden dienen tijdig schriftelijk te worden gemeld bij Bijzondere Wetten afdeling EXO via mailbox: korpscheftaken.rotterdam@politie.nl.
- Indien alcohol wordt geschonken zal de locatie waar de activiteit/festiviteit wordt gehouden als evenemententerrein worden aangemerkt.
- Een evenemententerrein dient duidelijk herkenbaar te zijn afgescheiden van de openbare weg.
- Er dient op te worden toegezien dat er geen alcoholhoudende drank wordt meegenomen naar de openbare weg, zijnde buiten het evenemententerrein of anders bepaald met betrekking tot het alcoholverstrekkingspunt of de locatie.
- De verstrekking van drinkwaren, zowel zwak alcoholisch als niet alcoholhoudende drank, dient uitsluitend te geschieden in zachte plastic bekers, zachte petflessen of kartons. Het gebruik van glaswerk is verboden.
- Het is alleen toegestaan voorverpakte, c.q. fabrieksmatig voorbereide, alcoholhoudende mixdrank te verkopen c.q. aanwezig te hebben. Ter plaatse gemixte alcoholhoudende drank zullen worden aangemerkt als sterk alcoholhoudende drank en worden in beslag genomen.
- De vergunninghouder moet om het evenemententerrein te creëren een afscheiding met aanduidingsborden plaatsen met de tekst: 'VANAF HIER IS HET NUTTIGEN VAN ALCOHOL TOEGESTAAN.' Bij het verlaten van het evenemententerrein dienen aanduidingsborden te worden geplaatst met de tekst: 'VANAF HIER GEEN ALCOHOL TOEGESTAAN.'
## Verkeer
- Alle toegangswegen naar het evenemententerrein inclusief de calamiteitenroute volgens de voorwaarden vanuit bijlage 3 dienen beschikbaar te zijn voor hulpdiensten.
- De vrije doorgang van openbaar vervoersdiensten mag op geen enkele wijze worden belemmerd.
- Het evenement of de activiteiten mogen de bereikbaarheid van woningen, winkels of (horeca)bedrijven niet belemmeren.
- Alle verkeersmaatregelen (redactieborden, etc.) worden uiterlijk 72 uur voorafgaand aan het evenement geplaatst en uiterlijk 48 uur na afloop van het evenement verwijderd.
- Begeleidende voertuigen (belast met de aanvoer van het eventueel benodigde materialen) mogen op het terrein aanwezig zijn als desbetreffend voertuig actief wordt gelost of geladen.
- Voertuigen van medewerkers mogen niet op het terrein geparkeerd worden en dienen gebruik te maken van de bestaande voorzieningen zoals parkeergarages en andere parkeervoorzieningen.
- Voor de benodigde parkeervergunningen en/of ontheffingen kan men mailen naar apostz@rotterdam.nl of bellen naar 14010.
## Plaatsen van podia, tenten, kramen en andere voorwerpen
- Het is verboden eigendommen van de gemeente te verwijderen; alle voorwerpen dienen in principe los op de ondergrond te worden geplaatst.
- Aan eigendommen van de gemeente, zoals hekken, bomen, borden, banken en lantaarnpalen mag niets worden bevestigd behoudens in bijzondere gevallen, waarvoor door of vanwege de directeur Openbare Werken gemeente Rotterdam schriftelijk is verklaard dat daartegen geen bezwaren zijn.
- Eventueel ter plaatse aanwezige brandkranen en -putten voor de brandweer direct toegankelijk blijven.
- Voorafgaand aan het evenement dient een nulmeting van het evenemententerrein te worden gedaan door de organisatie.
- Ondernemers en bewoners dienen geïnformeerd te zijn over de geplande werkzaamheden t.b.v. het evenement.
- Beschermende maatregelen aanbrengen bij hijswerkzaamheden bij en nabij bomen, straatmeubilair, verkeersborden, lichtmasten etc.
- Brandkranen dienen vrij te blijven van obstakels.
- Kolken dienen afgedekt te worden (en na het Evenement te worden gecontroleerd).
- Het verkeer en voetgangers dienen niet belemmerd te worden bij het laden en lossen van goederen.
- De locatie dient opgeleverd te worden zoals het voor aanvang van het evenement is aangetroffen.
## Afval en milieu
- De organisator/vergunninghouder is verantwoordelijk voor het veegschoon houden van het evenementengebied.
- Tijdens het evenement dient de organisator/vergunninghouder afvalbakken te plaatsen op het evenemententerrein en langs de aan en aflooproute. De containers/ afvalbakken moeten afsluitbaar zijn doormiddel van een deksel. De organisator/ vergunninghouder dient de afvalbakken regelmatig te legen.
- De organisator/vergunninghouder dient direct na afloop het evenementen terrein en de buitenruimte vanaf de grens buitenkant plus 250 meter veegschoon op te leveren. Indien het verwijderen van het afval niet in eigen beheer kan geschieden, dient tijdig contact met Stadsbeheer Schone Stad (e-mail: schonestadverkoopsb@rotterdam.nl) te worden opgenomen.
- Gemeentelijke afvalkorven, die als gevolg van het evenement, overlopen dienen door de organisator/vergunninghouder te worden "afgeroomd".
- Het is de organisator/ vergunninghouder niet toegestaan afval te deponeren in de gemeentelijke, voor publieke en huishoudens bedoelde, afvalinzameling faciliteiten.
- Bij eetkramen of foodtrucks moet de organisator/ vergunninghouder voorzieningen treffen die voorkomen dat de ondergrond vervuild of beschadigd raakt.
- Eventuele extra kosten die gemaakt worden om de buitenruimte weer op het oorspronkelijke schoonniveau te brengen kunnen achteraf worden doorbelast aan de organisatie.
- De organisator dient rekening te houden met het te verwachten aantal bezoekers zorg te dragen voor voldoende sanitaire voorzieningen.
## Aansprakelijkheid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&lt;!-- image --&gt;
&lt;!-- image --&gt;
## Bijlage II: geluidsvoorschriften bij de evenementenvergunning voor 'STRANO 40 Jaar' d.d. 27 &amp;amp; 28 september 2024 t.h.v. Van Oldenbarneveltstraat 154
## Algemene zorgplicht
1. Muziek en ander geluid, al dan niet elektronisch versterkt, mogen geen ernstige of onnodige geluidoverlast voor de omgeving veroorzaken; indien van dergelijke geluidoverlast mocht blijken, is de politie bevoegd de geluiduitzending te doen onderbreken en een verminderd geluidniveau aan te geven, dan wel - in geval van herhaling - voortijdig te doen beëindigen.
2. Bovendien is de politie bevoegd bij overtreding van de voorschriften strafrechtelijk op te treden.
## Grenswaarden geluidniveaus
2. Het equivalente geluidniveau gedurende 1 minuut (Leq,1 min) veroorzaakt door de versterkte weergave van muziek en stemgeluid mag ter plaatse van de gevel (invallend geluid) van de omliggende woningen en andere geluidgevoelige gebouwen en terreinen in de omgeving niet meer bedragen dan:
85 dB(A) en 95 dB(C) in de uren, waarin het evenement plaatsvindt.
## Meet- en beoordelingsmethode
3. Het meten en berekenen van de geluidniveaus en het beoordelen van de meetresultaten moet plaatsvinden overeenkomstig de Handleiding meten en rekenen Industrielawaai 1999.
4. In afwijking van de Handleiding meten en rekenen Industrielawaai hoeft voor de beoordeling van het equivalente geluidniveau van muziekgeluid geen toeslag van 10 dB toegepast te worden, voordat getoetst wordt aan de grenswaarden uit voorschrift 2.
## Eindtijd
5. Het versterkt ten gehore brengen van muziek en ander geluid moet om uiterlijk 23:00 uur worden beëindigd.
## Muziekinstallatie en monitoring
6. Het geluidniveau, dat voortgebracht wordt door de geluidapparatuur, moet gedurende het gehele evenement door een geluidtechnicus gemonitord worden. De geluidtechnicus moet hiervoor bij de mengtafel over een geluidniveaumeter (type 1, 2 of 3) beschikken, die geschikt is voor geluidmetingen van het dB(A)- en dB(C)-geluidniveau.
Ter plaatse van de mengtafel moeten de van toepassing zijnde geluidgrenswaarden duidelijk vermeld worden (bijvoorbeeld door het vastplakken op de mengtafel van gaffer tape of een geplastificeerde kaart, waarop de grenswaarden vermeld zijn).
- Als de geluidgrenswaarden overschreden worden, moet de geluidtechnicus het geluidniveau verminderen.
- De geluidtechnicus moet de aanwijzingen van de politie of van een namens de vergunningverlener controlerende instantie voor een wijziging van de instellingen van de apparatuur stipt en onmiddellijk opvolgen en tot nader order uitvoeren.
7. De geluidapparatuur moet voorzien zijn van een equalizer. De equalizer moet zodanig ingesteld zijn, dat frequenties lager dan 40 Hz met een verval van minimaal 8 dB per tertsband afgefilterd worden en dat de in voorschrift 2 gespecificeerde dB(A)- en dB(C)-geluidniveaus niet overschreden worden.
&lt;!-- image --&gt;
8. De luidsprekers moeten zodanig opgesteld worden, dat de geluidproductie zoveel mogelijk van de gevels van de dichtstbij gelegen woningen en andere geluidgevoelige gebouwen en terreinen (ziekenhuizen, bejaardentehuizen etc.) af gericht is en gericht is naar het publiek op het evenemententerrein.
9. Een geluidwagen of omroepinstallatie mag geen geluid voortbrengen in de directe nabijheid van kerken of andere gebouwen voor de openbare eredienst in gebruik, evenals ziekenhuizen, verpleeginrichtingen of begraafplaatsen.
## Zondagswet
10. Op grond van de Zondagswet is het niet toegestaan op zondagen geluid te produceren, dat op een afstand van meer dan 200 meter van de geluidbron hoorbaar is. De burgemeester kan voor de tijd na 13:00 uur ontheffing verlenen van dit verbod.
## Op- en afbouw
11. Het opbouwen en het afbreken van het evenement moet zoveel mogelijk plaatsvinden in de uren gelegen tussen 08:00 en 23:00 uur. In ieder geval mogen tussen 23:00 en 08:00 uur geen overlastveroorzakende opbouw- of afbreekactiviteiten uitgevoerd worden in de nabijheid van woningen en andere geluidgevoelige gebouwen en terreinen.
## Bewonersbrief
12. Bewoners van nabijgelegen woningen en andere geluidgevoelige gebouwen en terreinen en werknemers van omliggende bedrijven moeten tenminste een week voordat het evenement plaatsvindt schriftelijk geïnformeerd worden door de vergunninghouder over de te ondernemen activiteiten.
2. Hierbij moeten de tijdstippen van het evenement, evenals mogelijke overlast veroorzakende activiteiten of beperkingen kenbaar gemaakt worden.
3. Tevens moet minimaal één telefoonnummer worden vermeld, waarop aanvullende informatie te verkrijgen is.
Verder moet vermeld worden dat bij geluidoverlast contact gezocht kan worden met de Meldkamer van DCMR Milieudienst Rijnmond, telefoonnummer 0888-333 555 (24 uur per dag bereikbaar) of via https://www.dcmr.nl/melding-maken.
13. De informatiebrief moet tenminste verspreid worden naar de woningen, andere geluidgevoelige gebouwen en terreinen en bedrijven binnen een straal van 50 meter van het evenement.
Een afschrift van de informatiebrief moet gestuurd worden naar DCMR Milieudienst Rijnmond, t.a.v. de Meldkamer via info@dcmr.nl.
## Toelichting:
Onder 'andere geluidgevoelige gebouwen en terreinen' vallen onderwijsgebouwen, ziekenhuizen en verpleeghuizen, verzorgingstehuizen, psychiatrische inrichtingen, kinderdagverblijven, woonwagenstandplaatsen en bestemde ligplaatsen voor woonschepen.
Bij een groot aantal woningen in een flatgebouw is het wellicht aan te bevelen gebruik te maken van posters die in de entreehal nabij de brievenbussen goed zichtbaar worden opgehangen.</t>
  </si>
  <si>
    <t>verleend [194:203]</t>
  </si>
  <si>
    <t>verleend [194:202]</t>
  </si>
  <si>
    <t>&lt;!-- image --&gt; Geachte, In antwoord op het verzoek van 14 februari 2025, deel ik u mede dat er ingevolge artikel 2:25 van de Algemene Plaatselijke Verordening van Rotterdam een vergunning verleend wordt voor: Evenement : Categorie : Datum en tijd(en) evenement : Werelds Delfshaven 2025 A-evenement Zaterdag 19 juli 2025 van 12:00 uur-23:00 uur Zondag 20 juli 2025 van 13:00 uur-22:00 uur Locatie : [...]</t>
  </si>
  <si>
    <t>ROT_132e_rotterdam-centrum_Vergunning.txt::Besluitvormend Orgaan</t>
  </si>
  <si>
    <t>De burgemeester van Rotterdam [2693:2722]</t>
  </si>
  <si>
    <t>&lt;!-- image --&gt;
## Geachte
In antwoord op het verzoek van 10 maart 2024, deel ik u mede dat er ingevolge artikel 2:25 van de Algemene Plaatselijke Verordening van Rotterdam een vergunning verleend wordt voor:
Evenement
:  14th of May Memorial Regatta Rotterdam
Categorie
:  A-evenement
Datum en tijd(en) evenement
:   Zaterdag 11 mei 2024 08.00 - 18.00 uur
Locatie
:  Wijnhaven (de Oude Haven sloepen)
Gebied
:  Centrum
Data en tijden op- en afbouw
:  Opbouw:
Vrijdag 10 mei 2024 van 12.30 -19.00 uur Afbouw:
Zaterdag 11 mei 2024 17.00 - 18.00 uur
Bezoekersaantal :
250 gelijktijdig
Ik behoud mij te allen tijde het recht voor om op grond van de openbare orde en veiligheid of omwille van de gezondheid van bezoekers alsnog te besluiten deze vergunning in te trekken c.q. aanvullende voorschriften aan de vergunning te verbinden.
Aan deze vergunning zijn de in de bijlage opgenomen voorschriften verbonden. De in de bijlage opgenomen voorschriften laten verplichtingen van vergunninghouder voortvloeiende uit andere wet- en regelgeving onverlet.
Tot slot wijs ik u erop, dat u aansprakelijk bent voor alle schade die door het gebruik van deze vergunning aan eigendommen van de gemeente of van anderen mocht worden toegebracht.
De burgemeester van Rotterdam, Voor deze,
mr. D. Çevik
Plaatsvervangend Teamleider Evenementen
Postadres:
Postbus 70012
3000 KP Rotterdam
## Directie Veiligheid, Evenementen
Website:
www.rotterdam.nl
E-mail:
Telefoon:
Inlichtingen bij:
Kenmerk:
168190- 2024
Betreft:
Evenementenvergunning
Datum:
1 mei 2024
## Bijlage(n) behorende bij de evenementenvergunning
Bijlage I
: Voorschriften
Bijlage II
: Geluidsvoorschriften
Bijlage III
: Artikelen BBGBOP (niet ter publicatie)
Bijlage IV
: Situatieschets (niet ter publicatie)
Bijlage V
: Veiligheidsplan (niet ter publicatie)
## Niet eens met de beslissing
Bezwaar maken kan binnen 6 weken na de datum dat dit besluit bekend is gemaakt.
U maakt digitaal bezwaar op www.rotterdam.nl/bezwaar .
## Of stuur een brief naar:
Burgemeester van Rotterdam T.a.v. Algemene Bezwaarschriften Commissie Postbus 1011 3000 BA Rotterdam
## Zet in uw brief:
- tegen welk besluit u bezwaar maakt, inclusief het kenmerk van dit besluit. Dit staat rechtsboven op de eerste pagina. Of stuur een kopie van het besluit mee;
- waarom u bezwaar maakt;
- de datum waarop u bezwaar maakt.;
- uw naam, adres en handtekening;
- uw telefoonnummer
## Direct in de problemen door dit besluit?
Als u bezwaar maakt, kan het besluit nog wel worden uitgevoerd. Hebt u daardoor direct een ernstig probleem of kunt u de uitkomst van het bezwaar niet afwachten?
U kunt dan een voorlopige beslissing aan de rechter vragen. Dat kan alleen als er sprake is van een spoedeisende situatie. Deze beslissing heet voorlopige voorziening. De rechter beslist hierover. De kosten van een voorlopige voorziening moet u meestal zelf betalen.
Krijgt u een voorlopige voorziening van de rechter? Dan voert de gemeente het besluit niet uit, tot u een beslissing op uw ingediende bezwaar hebt gekregen.
U kunt een voorlopige voorziening aanvragen op www.rechtspraak.nl . Zoek op 'voorlopige voorziening bestuursrecht aanvragen' .
## Of stuur een brief naar :
Rechtbank Rotterdam Sector Bestuursrecht Postbus 50951 3007 BM Rotterdam
&lt;!-- image --&gt;
&lt;!-- image --&gt;
Bijlage I; Voorschriften behorende bij de evenementenvergunning van: 14th of May Memorial Regatta Rotterdam d.d. 11 mei 2024 te Wijnhaven (de Oude Haven sloepen)
Organisatie :
Naam contactpersoon :
Telefoonnummer contactpersoon :
## Openbare Orde en Veiligheid
- Een vertegenwoordiger van de organisator moet beschikbaar zijn als aanspreekpunt voor de politie.
- De organisator is te allen tijde verantwoordelijk voor een juiste uitvoering van het evenement en de daarbij behorende plannen die een onderdeel uitmaken van de verleende vergunning
- De vergunninghouder is verplicht deze vergunning op verzoek van een ambtenaar (belast met de zorg voor de naleving van de voorschriften) te laten zien.
- Het parcours/terrein wordt aanvaard in de staat waarin het zich bevindt; de gemeente kan niet aansprakelijk worden gesteld voor eventuele gevolgen voortvloeiende uit genoemde staat.
- Iedereen is verplicht om op en rond het evenemententerrein alle aanwijzingen, gegeven door (hulp-)diensten in het belang van de openbare orde of veiligheid van personen en goederen, stipt op te volgen.
- Eventueel inzet van particulier toezicht (ook toegangscontrole) op het evenemententerrein moet door een erkend beveiligingsbedrijf worden uitgevoerd met gediplomeerd personeel voorzien van een geldig beveiligingslegitimatiebewijs.
- Beveiligingswerkzaamheden dienen tijdig schriftelijk te worden gemeld bij Bijzondere Wetten afdeling EXO via mailbox: korpscheftaken.rotterdam@politie.nl.
- Indien alcohol wordt geschonken zal de locatie waar de activiteit/festiviteit wordt gehouden als evenemententerrein worden aangemerkt.
- Een evenemententerrein dient duidelijk herkenbaar te zijn afgescheiden van de openbare weg.
- Er dient op te worden toegezien dat er geen alcoholhoudende drank wordt meegenomen naar de openbare weg, zijnde buiten het evenemententerrein of anders bepaald met betrekking tot het alcoholverstrekkingspunt of de locatie.
- De verstrekking van drinkwaren, zowel zwak alcoholisch als niet alcoholhoudende drank, dient uitsluitend te geschieden in zachte plastic bekers, zachte petflessen of kartons. Het gebruik van glaswerk is verboden.
- Het is alleen toegestaan voorverpakte, c.q. fabrieksmatig voorbereide, alcoholhoudende mixdrank te verkopen c.q. aanwezig te hebben. Ter plaatse gemixte alcoholhoudende drank zullen worden aangemerkt als sterk alcoholhoudende drank en worden in beslag genomen.
- De vergunninghouder moet om het evenemententerrein te creëren een afscheiding met aanduidingsborden plaatsen met de tekst: 'VANAF HIER IS HET NUTTIGEN VAN ALCOHOL TOEGESTAAN.' Bij het verlaten van het evenemententerrein dienen aanduidingsborden te worden geplaatst met de tekst: 'VANAF HIER GEEN ALCOHOL TOEGESTAAN.'
## Verkeer
- De vrije doorgang van openbaar vervoersdiensten mag op geen enkele wijze worden belemmerd.
- Het evenement of de activiteiten mogen de bereikbaarheid van woningen, winkels of (horeca)bedrijven niet belemmeren.
- Alle verkeersmaatregelen (redactieborden, etc.) worden uiterlijk 72 uur voorafgaand aan het evenement geplaatst en uiterlijk 48 uur na afloop van het evenement verwijderd.
- Begeleidende voertuigen (belast met de aanvoer van het eventueel benodigde materialen) mogen op het terrein aanwezig zijn als desbetreffend voertuig actief wordt gelost of geladen.
&lt;!-- image --&gt;
- Voertuigen van medewerkers mogen niet op het terrein geparkeerd worden en dienen gebruik te maken van de bestaande voorzieningen zoals parkeergarages en andere parkeervoorzieningen.
- Voor eventuele benodigde parkeervergunningen en/of ontheffingen kan men mailen naar apostz@rotterdam.nl of bellen naar 14010.
- De verkeersregelaars moeten 1 week voor aanvang van het evenement bij het team Verkeersregie worden aangemeld om toestemming te verkrijgen
(teamverkeersregie@rotterdam.nl). Ook verkeersregelaars met een landelijke aanstelling of evenementenverkeersregelaars met een jaaraanstelling moeten zich bij het Team Verkeersregie aanmelden.
- Parkeeroverlast als gevolg van het evenement moet worden voorkomen. De organisator zorgt voor voldoende parkeergelegenheid (inclusief fietsers) en/of verwijzing daarnaar voor bezoekers van dit evenement.
- Afzetten en reserveren van parkeerplaatsen kan uitsluitend met toestemming van de politie en Stadsbeheer Toezicht &amp;amp; Handhaving.
- Parkeerverboden worden uiterlijk 72 uur voor aanvang van (de opbouw) het evenement geplaatst.
- Alle redactieborden zijn geel van kleur en worden maximaal 7 dagen voorafgaand aan het evenement geplaatst en uiterlijk 48 uur na afloop van het evenement verwijderd.
- De organisator maakt gebruik van hekken (rood-wit schrikhek, 2,5 meter breed + C01) als afzetmateriaal van de Wijnhaven 1 tot en met 23 en draagt zorg voor de zichtbaarheid en de veiligheid hiervan.
- De uit te voeren verkeersmaatregelen worden uitgevoerd volgens het ingediende stuk met de naam 'Verkeersplan.pdf versie 7.00 editie 2023'.
## Plaatsen van podia, tenten, kramen en andere voorwerpen op openbare gemeentegrond
- Indien er toestemming is om tenten met grondpennen te verankeren, dient er te allen tijde een KLIC-melding gemaakt te worden (www.kadaster.nl/-/graafmelding).
- Het is verboden eigendommen van de gemeente te verwijderen; alle voorwerpen dienen in principe los op de ondergrond te worden geplaatst.
- Aan eigendommen van de gemeente, zoals hekken, bomen en lantarenpalen mag niets worden bevestigd
- Eventueel ter plaatse aanwezige brandkranen en -putten voor de brandweer direct toegankelijk blijven.
- Het is niet toegestaan eigendommen van de gemeente te verwijderen en/of te verplaatsen.
- Aan eigendommen van de gemeente zoals hekken, bomen, borden, banken en lantaarnpalen mag niets worden bevestigd behoudens in bijzondere gevallen, waarvoor door of vanwege de directeur Openbare Werken gemeente Rotterdam schriftelijk is verklaard dat daartegen geen bezwaren zijn.
- Alle voorwerpen dienen los op de grond te worden geplaatst.
- Het plaatsen van vlaggenmasten, bevestigingspunten en banieren in de grond is niet toegestaan.
- Eventueel ter plaatse aanwezige brandkranen en -putten voor de brandweer direct toegankelijk blijven.
- Er mogen geen voertuigen geplaatst worden op het gras. Ook tijdelijk opslag is niet toegestaan op het gras.
- Indien dit nodig is om de gazons te betreden met voertuigen, dient dit eerst besproken te worden met een beheer van het rayonkantoor.
- Het is niet toegestaan om binnen de kroonprojecties van de bomen te rijden, voertuigen te parkeren en/of deze ruimte als opslaglocatie te gebruiken.
- Aggregaten moge niet onder of in de nabijheid van bomen worden geplaatst.
- De tenten tegen de gevel zo kort mogelijk laten staan i.v.m. de brandveiligheid. In deze tent dienen daarom geen risicobronnen aanwezig te zijn die de kans op het ontstaan van brand vergroten.
## Afval en milieu
- De organisator/vergunninghouder is verantwoordelijk voor het veegschoon houden van het evenementengebied.
- Tijdens het evenement dient de organisator/vergunninghouder afvalbakken te plaatsen op het evenemententerrein en langs de aan en aflooproute. De containers/ afvalbakken moeten afsluitbaar zijn doormiddel van een deksel. De organisator/ vergunninghouder dient de afvalbakken regelmatig te legen.
- De organisator/vergunninghouder dient direct na afloop het evenementen terrein en de buitenruimte vanaf de grens buitenkant plus 250 meter veegschoon op te leveren. Indien het verwijderen van het afval niet in eigen beheer kan geschieden, dient tijdig contact met Stadsbeheer Schone Stad (e-mail: schonestadverkoopsb@rotterdam.nl) te worden opgenomen.
- Gemeentelijke afvalkorven, die als gevolg van het evenement, overlopen dienen door de organisator/vergunninghouder te worden "afgeroomd".
- Het is de organisator/ vergunninghouder niet toegestaan afval te deponeren in de gemeentelijke, voor publieke en huishoudens bedoelde, afvalinzameling faciliteiten.
- Bij eetkramen of foodtrucks moet de organisator/ vergunninghouder voorzieningen treffen die voorkomen dat de ondergrond vervuild of beschadigd raakt.
- Eventuele extra kosten die gemaakt worden om de buitenruimte weer op het oorspronkelijke schoonniveau te brengen kunnen achteraf worden doorbelast aan de organisatie.
- De organisator dient rekening te houden met het te verwachten aantal bezoekers zorg te dragen voor voldoende sanitaire voorzieningen.
## Aansprakelijkheid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&lt;!-- image --&gt;
&lt;!-- image --&gt;
## Bijlage II: geluidsvoorschriften bij de evenementenvergunning voor 14th of May Memorial Regatta Rotterdam d.d. 11 mei 2024 te Wijnhaven (de Oude Haven sloepen)
Om overmatige geluidsoverlast te voorkomen zijn aan deze evenementenvergunning krachtens de APV-geluidsvoorwaarden verbonden voor de duur van het evenement: Om overmatige geluidoverlast te voorkomen zijn aan de voorliggende evenementenvergunning krachtens de APV de volgende geluidvoorschriften verbonden voor de duur van het evenement:
## Algemene zorgplicht
1. Muziek en ander geluid, al dan niet elektronisch versterkt, mogen geen ernstige of onnodige geluidoverlast voor de omgeving veroorzaken; indien van dergelijke geluidoverlast mocht blijken, is de politie bevoegd de geluiduitzending te doen onderbreken en een verminderd geluidniveau aan te geven, dan wel - in geval van herhaling - voortijdig te doen beëindigen.
2. Bovendien is de politie bevoegd bij overtreding van de voorschriften strafrechtelijk op te treden.
## Grenswaarden geluidniveaus
2. Het equivalente geluidniveau gedurende 1 minuut (Leq,1 min) veroorzaakt door de versterkte weergave van muziek en stemgeluid mag ter plaatse van de gevel (invallend geluid) van de omliggende woningen en andere geluidgevoelige gebouwen en terreinen in de omgeving niet meer bedragen dan: 65 dB(A) en 75 dB(C) in de uren, waarin het evenement plaatsvindt.
## Meet- en beoordelingsmethode
3. Het meten en berekenen van de geluidniveaus en het beoordelen van de meetresultaten moet plaatsvinden overeenkomstig de Handleiding meten en rekenen Industrielawaai 1999.
4. In afwijking van de Handleiding meten en rekenen Industrielawaai hoeft voor de beoordeling van het equivalente geluidniveau van muziekgeluid geen toeslag van 10 dB toegepast te worden, voordat getoetst wordt aan de grenswaarden uit voorschrift 2.
## Eindtijd
5. Het versterkt ten gehore brengen van muziek en ander geluid moet om uiterlijk 18.00 uur worden beëindigd.
## Muziekinstallatie en monitoring
6. Het geluidniveau, dat voortgebracht wordt door de geluidapparatuur, moet gedurende het gehele evenement door een geluidtechnicus gemonitord worden. De geluidtechnicus moet hiervoor bij de mengtafel over een geluidniveaumeter (type 1, 2 of 3) beschikken, die geschikt is voor geluidmetingen van het dB(A)- en dB(C)-geluidniveau. Ter plaatse van de mengtafel moeten de van toepassing zijnde geluidgrenswaarden duidelijk vermeld worden (bijvoorbeeld door het vastplakken op de mengtafel van gaffer tape of een geplastificeerde kaart, waarop de grenswaarden vermeld zijn). Als de geluidgrenswaarden overschreden worden, moet de geluidtechnicus het geluidniveau verminderen.
De geluidtechnicus moet de aanwijzingen van de politie of van een namens de
&lt;!-- image --&gt;
vergunningverlener controlerende instantie voor een wijziging van de instellingen van de apparatuur stipt en onmiddellijk opvolgen en tot nader order uitvoeren.
7. De geluidapparatuur moet voorzien zijn van een equalizer. De equalizer moet zodanig ingesteld zijn, dat frequenties lager dan 40 Hz met een verval van minimaal 8 dB per tertsband afgefilterd worden en dat de in voorschrift 2 gespecificeerde dB(A)- en dB(C)geluidniveaus niet overschreden worden.
8. De luidsprekers moeten zodanig opgesteld worden, dat de geluidproductie zoveel mogelijk van de gevels van de dichtstbij gelegen woningen en andere geluidgevoelige gebouwen en terreinen (ziekenhuizen, bejaardentehuizen etc.) af gericht is en gericht is naar het publiek op het evenemententerrein.
## Aggregaten en koelcontainers/koelmachines
9. Voor de aggregaten en koelcontainers/koelmachines moet van geluidarme of geluidgedempte typen gebruik gemaakt worden, in overeenstemming met de huidige stand der techniek.
De aggregaten en koelcontainers/koelmachines moeten op zo groot mogelijke afstand van de woningen en andere geluidgevoelige gebouwen en terreinen opgesteld worden. Dit geldt in het bijzonder voor aggregaten en koelcontainers/koelmachines, die in bedrijf zijn buiten de uren waarin de evenementsactiviteiten plaatsvinden.
## Op- en afbouw
10. Het opbouwen en het afbreken van het evenement moet zoveel mogelijk plaatsvinden in de uren gelegen tussen 09:00 en 21:00 uur. In ieder geval mogen tussen 21:00 en 09:00 uur geen overlastveroorzakende opbouw- of afbreekactiviteiten uitgevoerd worden in de nabijheid van woningen en andere geluidgevoelige gebouwen en terreinen.
## Bewonersbrief
11. Bewoners van nabijgelegen woningen en andere geluidgevoelige gebouwen en terreinen en werknemers van omliggende bedrijven moeten tenminste een week voordat het evenement plaatsvindt schriftelijk geïnformeerd worden door de vergunninghouder over de te ondernemen activiteiten.
Hierbij moeten de tijdstippen van het evenement, evenals mogelijke overlast veroorzakende activiteiten of beperkingen kenbaar gemaakt worden.
Tevens moet minimaal één telefoonnummer worden vermeld, waarop aanvullende informatie te verkrijgen is.
Verder moet vermeld worden dat bij geluidoverlast contact gezocht kan worden met de Meldkamer van DCMR Milieudienst Rijnmond, telefoonnummer 0888-333 555 (24 uur per dag bereikbaar) of via https://www.dcmr.nl/melding-maken.
De informatiebrief moet tenminste verspreid worden naar de woningen, andere geluidgevoelige gebouwen en terreinen en bedrijven 50 meter rond het evenement.
Een afschrift van de informatiebrief moet gestuurd worden naar DCMR Milieudienst Rijnmond, t.a.v. de Meldkamer via info@dcmr.nl.
## Toelichting:
Onder 'andere geluidgevoelige gebouwen en terreinen' vallen onderwijsgebouwen, ziekenhuizen en verpleeghuizen, verzorgingstehuizen, psychiatrische inrichtingen, kinderdagverblijven, woonwagenstandplaatsen en bestemde ligplaatsen voor woonschepen.
&lt;!-- image --&gt;
Bij een groot aantal woningen in een flatgebouw is het wellicht aan te bevelen gebruik te maken van posters die in de entreehal nabij de brievenbussen goed zichtbaar worden opgehangen.</t>
  </si>
  <si>
    <t>[...] otterdam Directie Veiligheid, Evenementen Website: www.rotterdam.nl E-mail: Telefoon: Inlichtingen bij: Kenmerk: 239584-2024 Betreft: Evenementenvergunning Datum: 26 september 2024 De burgemeester van Rotterdam, Voor deze, ## M.B.T. Heijmink Teamleider Horeca &amp;amp; Evenementen ## Bijlage(n) behorende bij de evenementenvergunning Bijlage I : Voorschriften Bijlage II : Geluidsvoorschriften Bijlage III [...]</t>
  </si>
  <si>
    <t>&lt;!-- image --&gt;
## Geachte,
In antwoord op uw verzoek d.d. 08-07-2021 deel ik u mede, dat er ingevolge artikel 2:25 van de Algemene Plaatselijke Verordening van Rotterdam een vergunning verleend wordt voor:
Evenement
:  Jubileumviering RKSV Spartaan'20
Type evenement
:  Evenement met coronatoegangsbewijs
Categorie
:  A-evenement
Datum en tijden evenement
:   Zaterdag 23-10-2021 van 16.00-23.00 uur
Locatie
Gebied
:
:
Oldegaarde 251
Charlois
Data en tijden op- en afbouw
:  Opbouw: 22-10-2021 van 08.00 - 17.00
Afbouw 25-10-2021 Afbouw van de tent
Bezoekersaantal
:  Gelijktijdig 450 bezoekers Maximaal 300 bezoekers in de tent toegestaan
## COVID-19
De wereldwijde pandemie van COVID-19 heeft grote impact op de samenleving. Om de verspreiding van het virus zoveel mogelijk in te dammen zijn diverse maatregelen van kracht. Per 25 september 2021 geldt dat evenementen enkel zijn toegestaan indien wordt gewerkt met coronatoegangsbewijzen.
Vanwege COVID-19 dienen er nog steeds extra (gezondheids) maatregelen te worden getroffen door de organisator. U dient aan te tonen op welke manier u invulling geeft aan de algemene regels. Het door u aangeleverde (veiligheid)Coronaplan (bijlage VI) voor dit evenement toont aan dat u voldoende extra maatregelen treft om het evenement op een veilige wijze te laten plaatsvinden. De extra maatregelen zijn passend en voldoen aan de gestelde eisen zoals vermeld in de Tijdelijke Regeling Maatregelen COVID-19.
Ik behoud mij te allen tijde het recht voor om op grond van de openbare orde en veiligheid of omwille van de gezondheid van bezoekers alsnog te besluiten deze vergunning in te trekken c.q. aanvullende voorschriften aan de vergunning te verbinden.
Ook de maatregelen ten aanzien van COVID-19 zijn aan veranderingen onderhevig waardoor aanvullende voorwaarden of beperkingen gesteld kunnen worden.
Postadres:
Postbus 70012
3000 KP Rotterdam
## Directie Veiligheid, Evenementen
Website:
www.rotterdam.nl
E-mail:
Telefoon:
Inlichtingen bij:
Kenmerk:
430810-2021
Betreft:
Evenementenvergunning
Datum:
19-10-2021
&lt;!-- image --&gt;
Aan deze vergunning zijn de in de bijlage opgenomen voorschriften verbonden. De in de bijlage opgenomen voorschriften laten verplichtingen van vergunninghouder voortvloeiende uit andere wet- en regelgeving onverlet.
Tot slot wijs ik u erop, dat u aansprakelijk bent voor alle schade die door het gebruik van deze vergunning aan eigendommen van de gemeente of van anderen mocht worden toegebracht.
De burgemeester van Rotterdam, Voor deze,
M. Ben Addi Hoofd Stadszaken
&lt;!-- image --&gt;
## Bijlage(n) behorende bij de evenementenvergunning
Bijlage I
: Voorschriften
Bijlage II
: Geluidsvoorschriften
Bijlage III
: Artikelen BGBOP
Bijlage IV
: Situatietekening (niet ter publicatie)
Bijlage V
: Veiligheidsplan (niet ter publicatie)
Bijlage VI
: Draaiboek + Coronaplan (niet ter publicatie)
## Niet eens met deze beslissing?
Dan kunt u, of een andere belanghebbende, een bezwaarschrift indienen. Dit moet binnen zes weken na de bekendmaking van het besluit. U stuurt het bezwaarschrift naar:
##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ook digitaal indienen op Rotterdam.nl/pdc:bezwaar indienen, m.b.v. het webformulier (zie 'mijn loket'). Hiervoor is nodig een DigiD-code, of voor bedrijven een E-herkenning, die kan worden aangevraagd via digid.nl, respectievelijk eherkenning.nl. U kunt het bezwaarschrift niet op een andere digitale wijze, bijvoorbeeld per e-mail, indienen. Zie voor meer informatie www.rechtspraak.nl.
## Bijlage I; Voorschriften behorende bij de evenementenvergunning van:
Organisatie :
Naam contactpersoon :
Telefoonnummer contactpersoon
## Openbare Orde en Veiligheid
- De organisator is te allen tijde verantwoordelijk voor een juiste uitvoering van het evenement en de daarbij behorende plannen die een onderdeel uitmaken van de verleende vergunning.
- Bij evenementen met coronatoegangsbewijzen zijn de regels zoals opgenomen in art. 5.1, 5.2 en 6.30 van de Tijdelijke regeling maatregelen Covid-19 van toepassing.
- Een vertegenwoordiger van de organisator moet beschikbaar zijn als aanspreekpunt voor de politie. Een vertegenwoordiger van de organisatie moet beschikbaar te zijn als aanspreekpunt voor de politie. Diens naam en (mobiel) nummer dienen te worden doorgegeven aan de coördinator evenementen van het district Rijnmond Rotterdam, telefoon 0900-8844.
- De vergunninghouder is verplicht deze vergunning op verzoek van een ambtenaar (belast met de zorg voor de naleving van de voorschriften) te laten zien.
- Het parcours / terrein wordt aanvaard in de staat waarin het zich bevindt; de gemeente kan niet aansprakelijk worden gesteld voor eventuele gevolgen voortvloeiende uit genoemde staat.
- Iedereen is verplicht om op en rond het evenemententerrein alle aanwijzingen, gegeven door (hulp)diensten in het belang van de openbare orde of veiligheid van personen en goederen, stipt op te volgen.
- Eventueel inzet van particulier toezicht (ook toegangscontrole) op het evenemententerrein moet door een erkend beveiligingsbedrijf worden uitgevoerd met gediplomeerd personeel voorzien van een geldig beveiligingslegitimatiebewijs. Beveiligingswerkzaamheden dienen tijdig schriftelijk te worden gemeld bij Bijzondere Wetten afdeling EXO via mailbox: korpscheftaken.rotterdam@politie.nl .
- Een evenemententerrein dient duidelijk herkenbaar te zijn afgescheiden van de openbare weg.
- Er dient op te worden toegezien dat er geen alcoholhoudende drank wordt meegenomen naar de openbare weg, zijnde buiten het evenemententerrein of anders bepaald met betrekking tot het alcoholverstrekkingspunt of de locatie.
- De verstrekking van drinkwaren, zowel zwak alcoholisch als niet alcoholhoudende drank, dient uitsluitend te geschieden in zachte plastic bekers, zachte petflessen of kartons. Het gebruik van glaswerk is verboden.
- Het is alleen toegestaan voorverpakte, c.q. fabrieksmatig voorbereide, alcoholhoudende mixdrank te verkopen c.q. aanwezig te hebben. Ter plaatse gemixte alcoholhoudende drank zullen worden aangemerkt als sterk alcoholhoudende drank en worden in beslag genomen.
- De vergunninghouder moet om het evenemententerrein te creëren een afscheiding met aanduidingsborden plaatsen met de tekst: 'VANAF HIER IS HET NUTTIGEN VAN ALCOHOL TOEGESTAAN.' Bij het verlaten van het evenemententerrein dienen aanduidingsborden te worden geplaatst met de tekst: 'VANAF HIER GEEN ALCOHOL TOEGESTAAN.'
## Verkeer
- De vrije doorgang van openbaar vervoersdiensten mag op geen enkele wijze worden belemmerd.
- Het evenement of de activiteiten mogen de bereikbaarheid van woningen, winkels of (horeca)bedrijven niet belemmeren.
- Alle verkeersmaatregelen (redactieborden, etc.) worden uiterlijk 72 uur voorafgaand aan het evenement geplaatst en uiterlijk 48 uur na afloop van het evenement verwijderd.
:
&lt;!-- image --&gt;
&lt;!-- image --&gt;
- Begeleidende voertuigen (belast met de aanvoer van het eventueel benodigde materialen) mogen op het terrein aanwezig zijn als desbetreffend voertuig actief wordt gelost of geladen.
- Voertuigen van medewerkers mogen niet op het terrein geparkeerd worden en dienen gebruik te maken van de bestaande voorzieningen zoals parkeergarages en andere parkeervoorzieningen.
- Voor eventuele benodigde parkeervergunningen en / of ontheffingen kan men mailen naar apostz@rotterdam.nl of bellen naar 14010.
- Verkeersregelaars moeten 1 week voor aanvang van het evenement bij de Verkeersregie worden aangemeld om hun aanstelling te verkrijgen. Telefoonnummer 010-26 78 450 / e-mailadres: teamverkeersregie@rotterdam.nl. Ook verkeersregelaars met een landelijke aanstelling of evenementenverkeersregelaars met een jaaraanstelling moeten bij de Verkeersmarinier aangemeld worden.
## Plaatsen van podia, tenten, kramen en andere voorwerpen
- Het is verboden eigendommen van de gemeente te verwijderen; alle voorwerpen dienen in principe los op de ondergrond te worden geplaatst.
- Aan eigendommen van de gemeente, zoals hekken, bomen en lantarenpalen mag niets worden bevestigd.
- Eventueel ter plaatse aanwezige brandkranen en -putten voor de brandweer direct toegankelijk blijven.
## Afval en milieu
- De organisator / vergunninghouder is verantwoordelijk voor het veegschoon houden van het evenementengebied.
- Tijdens het evenement dient de organisator / vergunninghouder afvalbakken te plaatsen op het evenemententerrein en langs de aan en aflooproute. De containers / afvalbakken moeten afsluitbaar zijn doormiddel van een deksel. De organisator / vergunninghouder dient de afvalbakken regelmatig te legen.
- De organisator / vergunninghouder dient direct na afloop het evenementen terrein en de buitenruimte vanaf de grens buitenkant plus 250 meter veegschoon op te leveren.
- Gemeentelijke afvalkorven, die als gevolg van het evenement, overlopen dienen door de organisator / vergunninghouder te worden "afgeroomd".
- Het is de organisator / vergunninghouder niet toegestaan afval te deponeren in de gemeentelijke, voor publieke en huishoudens bedoelde, afvalinzameling faciliteiten.
- Bij eetkramen of foodtrucks moet de organisator / vergunninghouder voorzieningen treffen die voorkomen dat de ondergrond vervuild of beschadigd raakt.
- Eventuele extra kosten die gemaakt worden om de buitenruimte weer op het oorspronkelijke schoonniveau te brengen kunnen achteraf worden doorbelast aan de organisatie.
## Bewonersinformatie
Bewoners van nabij gelegen woningen en bedrijven moeten vooraf worden geïnformeerd over het evenement en de te organiseren activiteiten, door middel van een bewonersbrief. Deze bewonersbrief bevat tenminste de volgende informatie:
- Datum(s) en tijd(en) evenement.
- Datum(s) en tijd(en) op- en afbouw.
- Verkeersmaatregelen (locaties en tijden van o.a. afsluitingen).
- Parkeerbeperkingen (locaties en tijden).
- Regeling doorlaatbewijzen en regeling voor bewoners met parkeervergunningen.
- Consequenties voor het openbaar vervoer.
- Bereikbaarheid van het evenement per openbaar vervoer.
- P+R terreinen die voor het evenement van belang zijn.
- Internetsite waar extra informatie te vinden is.
- Telefoonnummer van de organisatie waarop informatie verkrijgbaar is (ook op de dag zelf).
&lt;!-- image --&gt;
- Telefoonnummer van de Meldkamer van de DCMR Milieudienst Rijnmond (0888333555, 24 uur per dag bereikbaar) waar contact mee kan worden gezocht bij geluidsoverlast.
- De organisatie levert uiterlijk 4 dagen van tevoren een kopie van bovengenoemde bewonersbrief (incl. de locaties waar deze brief is verspreid door middel van opgave postcodegebieden) aan Team Evenementen (Postbus 70012, 3000 KP Rotterdam) en DCMR Milieudienst Rijnmond (t.a.v. de Meldkamer en Bureau Geluid, Postbus 843, 3100 AV Schiedam).
## Brandveilig gebruik
De melding welke is ingediend bij de evenementen aanvraag is getoetst aan de indieningsvereisten zoals opgenomen in artikel 2.3 van het Besluit brandveilig gebruik en basishulpverlening overige plaatsen. Uw gebruiksmelding voldoet hieraan.
Dit betekent dat u voldaan heeft aan de meldingsplicht. Dit houdt niet in dat voldaan is aan de eisen met betrekking tot het brandveilig gebruik van uw verblijfsruimte. Hiervoor zal  de verblijfsruimte  mogelijke op een later tijdstip nog worden geïnspecteerd.
Wellicht ten overvloede maak ik u erop attent dat afwijkend gebruik ten opzichte van de gedane melding eveneens gemeld dient te worden bij het bevoegde gezag, ook al betreft het afwijkend gebruik van slechts zeer tijdelijke aard.
De bij of krachtens het Besluit brandveilig gebruik en basishulpverlening overige plaatsen gegeven voorschriften zijn van toepassing op elk gebruik van een bouwwerk, tenzij bij het desbetreffende voorschrift anders is aangegeven.
## Aantal personen
Naar aanleiding van de door u ingediende stukken is het maximaal toelaatbare aantal personen in de inrichting met het oog op de brandveiligheid bepaald op 300 personen;
## Aansprakelijkheid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 Bijlage II: geluidsvoorschriften bij de evenementenvergunning
Om overmatige geluidsoverlast te voorkomen zijn aan deze evenementenvergunning krachtens de APV geluidsvoorwaarden verbonden voor de duur van het evenement:
1. Muziek en ander geluid, al dan niet mechanisch/elektronisch versterkt, mogen geen ernstige geluidsoverlast voor de omgeving veroorzaken; indien van dergelijke geluidsoverlast mocht blijken, is de politie bevoegd de geluidsuitzending te doen onderbreken en een verminderd geluidsniveau aan te geven; dan wel - in geval van herhaling - voortijdig te doen beëindigen. Bovendien is de politie bevoegd bij overtreding van de voorschriften strafrechtelijk op te treden.
&lt;!-- image --&gt;
2. Het equivalente geluidsniveau gedurende 1 minuut (Leq,1 min) veroorzaakt door de aangevraagde activiteiten en de bij de aangevraagde activiteiten betrokken toestellen en installaties, te weten:
- [ ] het doen van aankondigingen
- [ ] achtergrondmuziek
- [ ] optreden van artiesten/playback/festival
- [ ] anders, namelijk: ..
- [ ] levende muziek zonder geluidsinstallatie
levende muziek met geluidsinstallatie
- [ ] geluid door middel van een geluidsinstallatie
- [x] muziek door middel van een geluidsinstallatie
mag op 20 meter afstand van de geluidsbron niet meer bedragen dan: 95 dB(A) in de uren, waarin het evenement plaatsvindt.
3. Het meten en berekenen van de geluidniveaus, en het beoordelen van de meetresultaten moet plaatsvinden overeenkomstig de Meet- en rekenvoorschriften industrielawaai.
4. In afwijking van de Meet- en rekenvoorschriften industrielawaai hoeft voor de beoordeling van het equivalente geluidsniveau gedurende 1 minuut (Leq,1 min) van muziekgeluid geen verhoging van 10 dB toegepast te worden, voordat getoetst wordt aan de normwaarde uit voorschrift 2.
5. De luidsprekers dienen dusdanig opgesteld te worden, zodat de geluidproductie zoveel mogelijk naar het bedoelde publiek op het evenemententerrein gericht is. Ten behoeve van de doorstroming van verkeer op de stoep of de rijbaan dienen tevens de aanwijzingen van de politie met betrekking tot de opstelling van de luidsprekers opgevolgd te worden.
6. Het opbouwen en het afbreken van het evenement dient zoveel mogelijk plaats te vinden in de uren gelegen tussen 08.00 en 23.00 uur. In ieder geval mogen tussen 23.00 en 08.00 uur geen overlast veroorzakende opbouw- of afbreekactiviteiten uitgevoerd worden.
7. De plaatsing van het podium dient op een dusdanig manier te geschieden dat omwonenden zo min mogelijk worden belast met de 'geluidsstraling'.
## Bijlage III: Artikelen BGBOP
Zie bijlage van de mail met de naam: Bijlage III Artikelen BGBOP
## Bijlage IV: Situatietekening (niet ter publicatie)
Zie bijlage van de mail met de naam:
Bijlage IV In de Tent vDO- versie 4 Bijlage IV plattegrond\_23okt versie 3
## Bijlage V: Veiligheidsplan (niet ter publicatie)
Zie bijlage van de mail met de naam: Bijlage V Aevenementen veiligheidsplan Spartaan'20 versie 3
## Bijlage VI: Draaiboek + Coronaplan (niet ter publicatie)
Zie bijlage van de mail met de naam: Bijlage VI draaiboek en veiligheidsplan versie 2</t>
  </si>
  <si>
    <t>ROT_319e_rotterdam-centrum_Vergunning.txt::Besluitvormend Orgaan</t>
  </si>
  <si>
    <t>De burgemeester van Rotterdam [1292:1321]</t>
  </si>
  <si>
    <t>[...] re wet- en regelgeving onverlet. Tot slot wijs ik u erop, dat u aansprakelijk bent voor alle schade die door het gebruik van deze vergunning aan eigendommen van de gemeente of van anderen mocht worden toegebracht. De burgemeester van Rotterdam, Voor deze, mr. D. Çevik Plaatsvervangend Teamleider Evenementen Postadres: Postbus 70012 3000 KP Rotterdam ## Directie Veiligheid, Evenementen Website: www.rotterdam.nl E-mail: Telefoon: [...]</t>
  </si>
  <si>
    <t>ROT_319e_rotterdam-centrum_Vergunning.txt::Rechtshandeling</t>
  </si>
  <si>
    <t>&lt;!-- image --&gt;
## Geachte
In antwoord op het verzoek van 11 mei 2023, deel ik u mede dat er ingevolge artikel 2:25 van de Algemene Plaatselijke Verordening van Rotterdam een vergunning verleend wordt voor:
Evenement Categorie
:  Zazz concerten
:  A-evenement
Datum en tijd(en) evenement
:   9 juni 2023 van 19.00-22.00 uur 23 juni 2023 van 20.00-21.00 uur 25 juni 2023 van 16.00-19.00 uur 4 augustus 2023 van 19.00-22.00 uur 7 september 2023 van 21.00-22.45 uur
Locatie Gebied
:  Binnentuin Van der Takstraat 102 B
:  Feijenoord
Data en tijden op- en afbouw
:  Opbouw:
9 juni 2023 van 16.00-18.00 uur 23 juni 2023 van 18.00-20.00 uur 25 juni 2023 van 13.00-15.00 uur 4 augustus 2023 van 16.00-18.00 uur 7 september 2023 van 19.00-20.00 uur
Afbouw:
9 juni 2023 van 22.00-23.00 uur 23 juni 2023 van 21.00-22.00 uur 25 juni 2023 van 20.00-21.00 uur 4 augustus 2023 van 22.00-23.00 uur 7 september 2023 van 22.45-23.00 uur
Bezoekersaantal
:  25 bezoekers tegelijkertijd
## Zondagswet
Tevens verleen ik u ontheffing van het bepaalde in artikel 3, eerste lid van de Zondagswet om gedurende de tijd na 13:00 uur gerucht te verwekken dat op een afstand van meer dan 200 meter van het punt van de geluidsbron hoorbaar is.
Ook verleen ik u op grond van artikel 4, derde lid van de Zondagswet ontheffing van het in artikel 4, eerste lid van de Zondagswet gestelde verbod: 'het is verboden op zondag voor 13:00 uur openbare vermakelijkheden te houden, daartoe gelegenheid te geven of daaraan deel te nemen'.
In dit verband breng ik u onder de aandacht dat ongeacht deze ontheffing onverminderd van kracht blijft artikel 2, eerste lid van de Zondagswet luidende: 'het is verboden op zondag in de nabijheid van kerken of andere gebouwen voor de openbare eredienst in gebruik, zonder strikte noodzaak gerucht te verwekken, waardoor de godsdienstoefening wordt gehinderd'
U dient zorg voor te dragen dat het gaan naar en het huiswaarts keren van kerkdiensten als gevolg van genoemd evenement niet of nagenoeg niet wordt belemmerd.
Postadres:
Postbus 70012
3000 KP Rotterdam
## Directie Veiligheid, Evenementen
Website:
www.rotterdam.nl
E-mail:
Telefoon:
Inlichtingen bij:
Kenmerk:
322199-2023
Betreft:
Evenementenvergunning
Datum:
5 juni 2023
&lt;!-- image --&gt;
Ik behoud mij te allen tijde het recht voor om op grond van de openbare orde en veiligheid of omwille van de gezondheid van bezoekers alsnog te besluiten deze vergunning in te trekken c.q. aanvullende voorschriften aan de vergunning te verbinden.
Aan deze vergunning zijn de in de bijlage opgenomen voorschriften verbonden. De in de bijlage opgenomen voorschriften laten verplichtingen van vergunninghouder voortvloeiende uit andere wet- en regelgeving onverlet.
Tot slot wijs ik u erop, dat u aansprakelijk bent voor alle schade die door het gebruik van deze vergunning aan eigendommen van de gemeente of van anderen mocht worden toegebracht.
De burgemeester van Rotterdam, voor deze,
&lt;!-- image --&gt;
M. van Wageningen-Bouaddi Teamleider Evenementen
## Bijlage(n) behorende bij de evenementenvergunning
Bijlage I
: Voorschriften
Bijlage II
: Geluidsvoorschriften
Bijlage III
: Artikelen BGBOP
Bijlage IV
: Veiligheidsplan (niet ter publicatie)
Bijlage V
: Plattegrond (niet ter publicatie)
## Niet eens met deze beslissing?
Dan kunt u, of een andere belanghebbende, een bezwaarschrift indienen. Dit moet binnen zes weken na de bekendmaking van het besluit. U stuurt het bezwaarschrift naar:
##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ook digitaal indienen op Rotterdam.nl/pdc:bezwaar indienen, m.b.v. het webformulier (zie 'mijn loket'). Hiervoor is nodig een DigiD-code, of voor bedrijven een E-herkenning, die kan worden aangevraagd via digid.nl, respectievelijk eherkenning.nl. U kunt het bezwaarschrift niet op een andere digitale wijze, bijvoorbeeld per e-mail, indienen. Zie voor meer informatie www.rechtspraak.nl.
## Bijlage I: Voorschriften behorende bij de evenementenvergunning van:
Organisatie :
Naam contactpersoon :
Telefoonnummer contactpersoon
## Openbare Orde en Veiligheid
- Een vertegenwoordiger van de organisator moet beschikbaar zijn als aanspreekpunt voor de politie. Diens naam en (mobiel) nummer dienen te worden doorgegeven aan de coördinator evenementen van het district Rijnmond Rotterdam, telefoon 09008844.
- De vergunninghouder is verplicht deze vergunning op verzoek van een ambtenaar (belast met de zorg voor de naleving van de voorschriften) te laten zien.
- Het parcours/terrein wordt aanvaard in de staat waarin het zich bevindt; de gemeente kan niet aansprakelijk worden gesteld voor eventuele gevolgen voortvloeiende uit genoemde staat.
- Iedereen is verplicht om op en rond het evenemententerrein alle aanwijzingen, gegeven door (hulp-)diensten in het belang van de openbare orde of veiligheid van personen en goederen, stipt op te volgen.
- Op het evenemententerrein dienen passende blusmiddelen aanwezig te zijn.
- Op het evenemententerrein dienen de vluchtroutes duidelijk te zijn aangegeven.
- Op het evenemententerrein dient passende verlichting aanwezig te zijn volgens artikel 7 van de BBGBOP-artikelen.
- Organisatie dient er op toe te zien dat er geen fietsen worden geplaatst voor in-, uiten nooduitgangen. Deze dienen vrij en bereikbaar te blijven. Fietsen dienen te worden neergezet op de daarvoor aangewezen plaatsen.
- Eventueel inzet van particulier toezicht (ook toegangscontrole) op het evenemententerrein moet door een erkend beveiligingsbedrijf worden uitgevoerd met gediplomeerd personeel voorzien van een geldig beveiligingslegitimatiebewijs.
- Beveiligingswerkzaamheden dienen tijdig schriftelijk te worden gemeld bij Bijzondere Wetten afdeling EXO via mailbox: korpscheftaken.rotterdam@politie.nl.
## Verkeer
- De vrije doorgang van openbaar vervoersdiensten mag op geen enkele wijze worden belemmerd.
- Alle toegangswegen naar het evenemententerrein inclusief de calamiteitenroute volgens de voorwaarden vanuit bijlage 3 dienen beschikbaar te zijn voor hulpdiensten.
- Het evenement of de activiteiten mogen de bereikbaarheid van woningen, winkels of (horeca)bedrijven niet belemmeren.
- Alle verkeersmaatregelen (redactieborden, etc.) worden uiterlijk 72 uur voorafgaand aan het evenement geplaatst en uiterlijk 48 uur na afloop van het evenement verwijderd.
- Begeleidende voertuigen (belast met de aanvoer van het eventueel benodigde materialen) mogen op het terrein aanwezig zijn als desbetreffend voertuig actief wordt gelost of geladen.
- Voertuigen van medewerkers mogen niet op het terrein geparkeerd worden en dienen gebruik te maken van de bestaande voorzieningen zoals parkeergarages en andere parkeervoorzieningen.
- Voor eventuele benodigde parkeervergunningen en/of ontheffingen kan men mailen naar apostz@rotterdam.nl of bellen naar 14010.
- De verkeersregelaars moeten 1 week voor aanvang van het evenement bij het team Verkeersregie worden aangemeld om toestemming te verkrijgen (teamverkeersregie@rotterdam.nl). Ook verkeersregelaars met een landelijke aanstelling of evenementenverkeersregelaars met een jaaraanstelling moeten zich bij het Team Verkeersregie aanmelden.
:
&lt;!-- image --&gt;
## Plaatsen van podia, tenten, kramen en andere voorwerpen
- Het is verboden eigendommen van de gemeente te verwijderen; alle voorwerpen dienen in principe los op de ondergrond te worden geplaatst.
- Aan eigendommen van de gemeente, zoals hekken, bomen en lantarenpalen mag niets worden bevestigd.
- Eventueel ter plaatse aanwezige brandkranen en -putten voor de brandweer direct toegankelijk blijven.
- De bouwsels, waaronder podia, worden op adequate wijze gezekerd om wegwaaien en/of losschieten tegen te gaan.
## Afval en milieu
- De organisator/vergunninghouder is verantwoordelijk voor het veegschoon houden van het evenementengebied.
- Tijdens het evenement dient de organisator/vergunninghouder afvalbakken te plaatsen op het evenemententerrein en langs de aan en aflooproute. De containers/ afvalbakken moeten afsluitbaar zijn doormiddel van een deksel. De organisator/ vergunninghouder dient de afvalbakken regelmatig te legen.
- De organisator/vergunninghouder dient direct na afloop het evenementen terrein en de buitenruimte vanaf de grens buitenkant plus 250 meter veegschoon op te leveren. Indien het verwijderen van het afval niet in eigen beheer kan geschieden, dient tijdig contact met Stadsbeheer Schone Stad (e-mail: schonestadverkoopsb@rotterdam.nl) te worden opgenomen.
- Gemeentelijke afvalkorven, die als gevolg van het evenement, overlopen dienen door de organisator/vergunninghouder te worden "afgeroomd".
- Het is de organisator/ vergunninghouder niet toegestaan afval te deponeren in de gemeentelijke, voor publieke en huishoudens bedoelde, afvalinzameling faciliteiten.
- Bij eetkramen of foodtrucks moet de organisator/ vergunninghouder voorzieningen treffen die voorkomen dat de ondergrond vervuild of beschadigd raakt.
- Eventuele extra kosten die gemaakt worden om de buitenruimte weer op het oorspronkelijke schoonniveau te brengen kunnen achteraf worden doorbelast aan de organisatie.
- De organisator dient rekening te houden met het te verwachten aantal bezoekers zorg te dragen voor voldoende sanitaire voorzieningen.
## Bewonersinformatie
Bewoners van nabijgelegen woningen en bedrijven moeten vooraf worden geïnformeerd over het evenement en de te organiseren activiteiten, door middel van een bewonersbrief. Deze bewonersbrief bevat tenminste de volgende informatie:
- Datum(s) en tijd(en) evenement.
- Datum(s) en tijd(en) op- en afbouw.
- Verkeersmaatregelen (locaties en tijden van o.a. afsluitingen).
- Parkeerbeperkingen (locaties en tijden).
- Regeling doorlaatbewijzen en regeling voor bewoners met parkeervergunningen.
- Consequenties voor het openbaar vervoer.
- Bereikbaarheid van het evenement per openbaar vervoer.
- P+R terreinen die voor het evenement van belang zijn.
- Internetsite waar extra informatie te vinden is.
- Telefoonnummer van de organisatie waarop informatie verkrijgbaar is (ook op de dag zelf).
- Telefoonnummer van de Meldkamer van de DCMR Milieudienst Rijnmond (0888333555, 24 uur per dag bereikbaar) waar contact mee kan worden gezocht bij geluidsoverlast.
&lt;!-- image --&gt;
&lt;!-- image --&gt;
- De organisatie levert uiterlijk 7 dagen van tevoren een kopie van bovengenoemde bewonersbrief (incl. de locaties waar deze brief is verspreid door middel van opgave postcodegebieden) aan Team Evenementen (Postbus 70012, 3000 KP Rotterdam) en DCMR Milieudienst Rijnmond (t.a.v. de Meldkamer en Bureau Geluid, Postbus 843, 3100 AV Schiedam).
## Aansprakelijkheid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&lt;!-- image --&gt;
## Bijlage II: geluidsvoorschriften bij de evenementenvergunning Zazz concerten op 9 juni, 23 juni, 25 juni, 4 augustus en 7 september 2023 in de binnentuin van Stichting Nino aan de Van der Takstraat 102 B
Om overmatige geluidsoverlast te voorkomen zijn aan deze evenementenvergunning krachtens de APV-geluidsvoorwaarden verbonden voor de duur van het evenement:
1. Muziek en ander geluid, al dan niet mechanisch/elektronisch versterkt, mogen geen ernstige geluidsoverlast voor de omgeving veroorzaken; indien van dergelijke geluidsoverlast mocht blijken, is de politie bevoegd de geluidsuitzending te doen onderbreken en een verminderd geluidsniveau aan te geven; dan wel - in geval van herhaling - voortijdig te doen beëindigen. Bovendien is de politie bevoegd bij overtreding van de voorschriften strafrechtelijk op te treden.
2. Het equivalente geluidsniveau gedurende 1 minuut (Leq,1 min) veroorzaakt door de aangevraagde activiteiten en de bij de aangevraagde activiteiten betrokken toestellen en installaties, te weten:
3. -optreden van artiesten/playback/festival
mag op 5 meter afstand van de geluidsbron niet meer bedragen dan: 85 dB(A) in de uren, waarin het evenement plaatsvindt.
3. Het meten en berekenen van de geluidniveaus, en het beoordelen van de meetresultaten moet plaatsvinden overeenkomstig de Meet- en rekenvoorschriften industrielawaai.
4. In afwijking van de Meet- en rekenvoorschriften industrielawaai hoeft voor de beoordeling van het equivalente geluidsniveau gedurende 1 minuut (Leq,1 min) van muziekgeluid geen verhoging van 10 dB toegepast te worden, voordat getoetst wordt aan de normwaarde uit voorschrift 2.
5. De luidsprekers dienen dusdanig opgesteld te worden, zodat de geluidproductie zoveel mogelijk naar het bedoelde publiek op het evenemententerrein gericht is. Ten behoeve van de doorstroming van verkeer op de stoep of de rijbaan dienen tevens de aanwijzingen van de politie met betrekking tot de opstelling van de luidsprekers opgevolgd te worden.
6. Het opbouwen en het afbreken van het evenement dient zoveel mogelijk plaats te vinden in de uren gelegen tussen 08.00 en 23.00 uur. In ieder geval mogen tussen 23.00 en 08.00 uur geen overlast veroorzakende opbouw- of afbreekactiviteiten uitgevoerd worden.
7. De plaatsing van het podium dient op een dusdanig manier te geschieden dat omwonenden zo min mogelijk worden belast met de 'geluidsstraling'.</t>
  </si>
  <si>
    <t>verleend [193:202]</t>
  </si>
  <si>
    <t>verleend [193:201]</t>
  </si>
  <si>
    <t>&lt;!-- image --&gt; ## Geachte In antwoord op het verzoek van 10 maart 2024, deel ik u mede dat er ingevolge artikel 2:25 van de Algemene Plaatselijke Verordening van Rotterdam een vergunning verleend wordt voor: Evenement : 14th of May Memorial Regatta Rotterdam Categorie : A-evenement Datum en tijd(en) evenement : Zaterdag 11 mei 2024 08.00 - 18.00 uur Locatie : Wijnhaven (de Oude Haven [...]</t>
  </si>
  <si>
    <t>ROT_319e_rotterdam-centrum_Vergunning.txt::Rechtsobject</t>
  </si>
  <si>
    <t>vergunning [182:193]</t>
  </si>
  <si>
    <t>vergunning [182:192]</t>
  </si>
  <si>
    <t>&lt;!-- image --&gt; ## Geachte In antwoord op het verzoek van 10 maart 2024, deel ik u mede dat er ingevolge artikel 2:25 van de Algemene Plaatselijke Verordening van Rotterdam een vergunning verleend wordt voor: Evenement : 14th of May Memorial Regatta Rotterdam Categorie : A-evenement Datum en tijd(en) evenement : Zaterdag 11 mei 2024 08.00 - 18.00 uur Locatie : Wijnhaven (de Ou [...]</t>
  </si>
  <si>
    <t>&lt;!-- image --&gt;
## Geachte
In antwoord op het verzoek van 1 december 2024, deel ik u mede dat er ingevolge artikel 2:25 van de Algemene Plaatselijke Verordening van Rotterdam een vergunning verleend wordt voor:
Evenement Categorie Data en tijden evenement
: Kofferbakverkoop HvH
:
A-evenement
: Zondag 26 januari 2025 van 07.00-17.00 uur *
Zondag 23 februari 2025 van 07.00-17.00 uur *
Zondag 30 maart 2025 van 07.00-17.00 uur *
Zondag 27 april 2025 van 07.00-17.00 uur
Zondag 25 mei 2025 van 07.00-17.00 uur
Zondag 29 juni 2025 van 07.00-17.00 uur
* In de wintermaanden mogen deelnemers vanaf 06.00 uur het evenemententerrein betreden. In de overige maanden mogen deelnemers vanaf 05.00 uur het evenemententerrein betreden.
Locatie :
Koningin Emmaboulevard (grasveld noordzijde)
Gebied
:
Hoek van Holland
Data en tijden op- en afbouw :
Opbouw
Zaterdag 25 januari 2025 van 10.00-11.00 uur
Zaterdag 22 februari 2025 van 10.00-11.00 uur
Zaterdag 29 maart 2025 van 10.00-11.00 uur
Zaterdag 26 april 2025 van 10.00-11.00 uur
Zaterdag 24 mei 2025 van 10.00-11.00 uur
Zaterdag 28 juni 2025 van 10.00-11.00 uur
## Afbouw
Maandag 27 januari 2025 van 10.00-11.00 uur
Maandag 24 februari 2025 van 10.00-11.00 uur
Maandag 31 maart 2025 van 10.00-11.00 uur
Maandag 28 april 2025 van 10.00-11.00 uur
Maandag 26 mei 2025 van 10.00-11.00 uur
Maandag 30 juni 2025 van 10.00-11.00 uur
Bezoekersaantal :
Maximaal 501-1.000 bezoekers gelijktijdig
## Zondagswet
Tevens verleen ik u ontheffing van het bepaalde in artikel 3, eerste lid van de Zondagswet om gedurende de tijd na 13:00 uur gerucht te verwekken dat op een afstand van meer dan 200 meter van het punt van de geluidsbron hoorbaar is.
Ook verleen ik u op grond van artikel 4, derde lid van de Zondagswet ontheffing van het in artikel 4, eerste lid van de Zondagswet gestelde verbod: 'het is verboden op zondag voor 13:00 uur openbare vermakelijkheden te houden, daartoe gelegenheid te geven of daaraan deel te nemen'.
Postadres:
Postbus 70012
3000 KP Rotterdam
Directie Veiligheid, Team
Horeca en Evenementen
Website:
www.rotterdam.nl
E-mail:
Telefoon
Inlichtingen bij:
Kenmerk:
827738-2024
Betreft:
Evenementenvergunning
Datum:
21 januari 2025
&lt;!-- image --&gt;
In dit verband breng ik u onder de aandacht dat ongeacht deze ontheffing onverminderd van kracht blijft artikel 2, eerste lid van de Zondagswet luidende: 'het is verboden op zondag in de nabijheid van kerken of andere gebouwen voor de openbare eredienst in gebruik, zonder strikte noodzaak gerucht te verwekken, waardoor de godsdienstoefening wordt gehinderd'
U dient zorg voor te dragen dat het gaan naar en het huiswaarts keren van kerkdiensten als gevolg van genoemd evenement niet of nagenoeg niet wordt belemmerd.
Ik behoud mij te allen tijde het recht voor om op grond van de openbare orde en veiligheid of omwille van de gezondheid van bezoekers alsnog te besluiten deze vergunning in te trekken c.q. aanvullende voorschriften aan de vergunning te verbinden.
Aan deze vergunning zijn de in de bijlage opgenomen voorschriften verbonden. De in de bijlage opgenomen voorschriften laten verplichtingen van vergunninghouder voortvloeiende uit andere weten regelgeving onverlet.
Tot slot wijs ik u erop, dat u aansprakelijk bent voor alle schade die door het gebruik van deze vergunning aan eigendommen van de gemeente of van anderen mocht worden toegebracht.
De burgemeester van Rotterdam, Voor deze,
## M.B.T. Heijmink
Teamleider Horeca en Evenementen
## Bijlagen behorende bij de evenementenvergunning
Bijlage I
: Voorschriften
Bijlage II
: Geluidsvoorschriften
Bijlage III
: Artikelen BBGBOP (niet ter publicatie)
Bijlage IV
: Veiligheidsplan (niet ter publicatie)
Bijlage V
: Situatieschets (niet ter publicatie)
Bijlage VI
: Draaiboek (niet ter publicatie)
Bijlage VII
: Verkeersplan (niet ter publicatie)
## Zo maakt u bezwaar
Bezwaar maken kan binnen 6 weken na de datum dat dit besluit bekend is gemaakt. U maakt digitaal bezwaar op www.rotterdam.nl/bezwaar.
## Of stuur een brief naar:
Burgemeester van Rotterdam T.a.v. Algemene Bezwaarschriften Commissie Postbus 1011 3000 BA Rotterdam
## Zet in uw brief:
- tegen welk besluit u bezwaar maakt, inclusief het kenmerk van dit besluit. Dit staat rechtsboven op de eerste pagina. Of stuur een kopie van het besluit mee;
- waarom u bezwaar maakt;
- de datum waarop u bezwaar maakt.;
- uw naam, adres en handtekening;
- uw telefoonnummer.
## Direct in de problemen door dit besluit?
Als u bezwaar maakt, kan het besluit nog wel worden uitgevoerd. Hebt u daardoor direct een ernstig probleem of kunt u de uitkomst van het bezwaar niet afwachten?
U kunt dan een voorlopige beslissing aan de rechter vragen. Dat kan alleen als er sprake is van een spoedeisende situatie. Deze beslissing heet voorlopige voorziening. De rechter beslist hierover. De kosten van een voorlopige voorziening moet u meestal zelf betalen.
Krijgt u een voorlopige voorziening van de rechter? Dan voert de gemeente het besluit niet uit, tot u een beslissing op uw ingediende bezwaar hebt gekregen.
U kunt een voorlopige voorziening aanvragen op www.rechtspraak.nl. Zoek op 'voorlopige voorziening bestuursrecht aanvragen'.
## Of stuur een brief naar:
Rechtbank Rotterdam Sector Bestuursrecht Postbus 50951 3007 BM Rotterdam
&lt;!-- image --&gt;
&lt;!-- image --&gt;
## Bijlage I; Voorschriften behorende bij de evenementenvergunning voor 'Kofferbakverkoop HvH' - Koningin Emmaboulevard - Hoek van Holland - d.d. 26 januari, 23 februari, 30 maart, 27 april, 25 mei en 29 juni 2025
Organisatie :
Naam contactpersoon :
Telefoonnummer contactpersoon :
## Openbare Orde en Veiligheid
- Een vertegenwoordiger van de organisator moet beschikbaar zijn als aanspreekpunt voor de politie. Diens naam en (mobiel) nummer dienen te worden doorgegeven aan de coördinator evenementen van het district Rijnmond Rotterdam, telefoon 0900-8844.
- De vergunninghouder is verplicht deze vergunning op verzoek van een ambtenaar (belast met de zorg voor de naleving van de voorschriften) te laten zien.
- Het parcours/terrein wordt aanvaard in de staat waarin het zich bevindt; de gemeente kan niet aansprakelijk worden gesteld voor eventuele gevolgen voortvloeiende uit genoemde staat.
- Iedereen is verplicht om op en rond het evenemententerrein alle aanwijzingen, gegeven door (hulp-)diensten in het belang van de openbare orde of veiligheid van personen en goederen, stipt op te volgen.
- Eventueel inzet van particulier toezicht (ook toegangscontrole) op het evenemententerrein moet door een erkend beveiligingsbedrijf worden uitgevoerd met gediplomeerd personeel voorzien van een geldig beveiligingslegitimatiebewijs.
- Beveiligingswerkzaamheden dienen tijdig schriftelijk te worden gemeld bij Bijzondere Wetten afdeling EXO via mailbox: korpscheftaken.rotterdam@politie.nl.
- De bereikbaarheid moet gewaarborgd blijven, ook tijdens de op- en afbouw.
- Er dienen logische vluchtroutes te worden vrijgehouden, dit is van belang vanwege de vrijheid die mensen hebben om hun spullen uit te stallen.
- Bij de kramen/wagens met bakken en/of braden een blusmiddel plaatsen.
- Tussen de foodkramen/wagens en gebouwen afstanden aanhouden benoemd in de bijlage.
- Voor de EHBO inzet is het advies minimaal 2 x Basis Eerste Hulpverleners. Bij meer dan 2.000 personen zie bijgaand basisadvies GHOR.
- Er dient een EHBO-ruimte beschikbaar te zijn.
- Plaats direct naast de toiletten een wastafel met stromend water en een zeepdispenser.
- Volgens de plannen mogen deelnemers eigen overkappingen plaatsen en zijn er dan zelf verantwoordelijk voor. Vanwege de gevaarsetting die dit met zich mee kan brengen alleen overkappingen plaatsen door de organisatie op de juiste manier met de juiste middelen.
- Er mogen maximaal 350 personenauto's geplaatst worden op het evenemententerrein.
## Verkeer
- Alle toegangswegen naar het evenemententerrein inclusief de calamiteitenroute volgens de voorwaarden vanuit bijlage 3 (BBGBOP artikelen) dienen beschikbaar te zijn voor hulpdiensten.
- De verkeersregelaars dienen geïnstrueerd te zijn om hulpdiensten direct door te laten.
- De vrije doorgang van openbaar vervoersdiensten mag op geen enkele wijze worden belemmerd.
- Het evenement of de activiteiten mogen de bereikbaarheid van woningen, winkels of (horeca)bedrijven niet belemmeren.
- Alle verkeersmaatregelen (redactieborden, etc.) worden uiterlijk 72 uur voorafgaand aan het evenement geplaatst en uiterlijk 48 uur na afloop van het evenement verwijderd.
- Begeleidende voertuigen (belast met de aanvoer van het eventueel benodigde materialen) mogen op het terrein aanwezig zijn als desbetreffend voertuig actief wordt gelost of geladen.
- Voertuigen van medewerkers mogen niet op het terrein geparkeerd worden en dienen gebruik te maken van de bestaande voorzieningen zoals parkeergarages en andere parkeervoorzieningen.
- Voor eventuele benodigde parkeervergunningen en/of ontheffingen kan men mailen naar apostz@rotterdam.nl of bellen naar 14010.
- De verkeersregelaars moeten 1 week voor aanvang van het evenement bij het team Verkeersregie worden aangemeld om toestemming te verkrijgen
- (teamverkeersregie@rotterdam.nl). Ook verkeersregelaars met een landelijke aanstelling of evenementenverkeersregelaars met een jaaraanstelling moeten zich bij het Team Verkeersregie aanmelden.
&lt;!-- image --&gt;
- Uit voorgaande edities is gebleken dat bezoekers van de kofferbakverkoop in Hoek van Holland, tijdens het evenement hun voertuigen parkeren op het grasveld en trottoir van de Koningin Emmaboulevard zonder dat deze ten behoeve van parkeren tijdens het evenement zijn aangewezen als parkeergelegenheid. Bezoekers van het evenement dienen voldoende parkeergelegenheid te hebben in de omgeving van het evenement. De organisatie dient te voorkomen dat bezoekers hun auto op niet aangewezen plaatsen kunnen parkeren door middel van het plaatsen van (schrik)-hekken en duidelijk zichtbare verwijzingen naar parkeergelegenheden in de omgeving. De organisatie dient te voorkomen dat er in de omgeving van het evenemententerrein een parkeerchaos ontstaat, waardoor de politie genoodzaakt wordt om handhavend op te treden.
- De verkeersmaatregelen worden uitgevoerd conform het 'Verkeersplan.pdf.' alsmede het 'Veiligheidsplan.pdf'.
- De organisator zorgt ervoor dat het doorgaand verkeer (inclusief langzaam verkeer) op de Koningin Emmaboulevard geen belemmering ondervindt ten gevolge van het evenement.
- Afwijking van dit definitieve verkeersplan en hekken- en bordenplan kan uitsluitend met goedkeuring van team Verkeersregie en in overleg met de politie en VRR.
- Afzetten en reserveren van parkeerplaatsen kan uitsluitend met toestemming van de politie en de Stadsbeheer Toezicht &amp;amp; Handhaving.
- De organisator maakt gebruik van hekken (rood-wit schrikhek, 2,5 meter breed + C01 verkeersbord) als afzetmateriaal van de wegen volgens de meegestuurde stukken uit 1e punt en draagt zorg voor de zichtbaarheid en de veiligheid hiervan.
- De organisator draagt zorg voor een snelle verwijdering van de afzettingen indien nodig voor de bereikbaarheid t.b.v. hulpdiensten.
- De woning aan de Cruquiusweg 50 afzetten middels schrikhekken, vanwege de bereikbaarheid/toegankelijkheid van de woning van deze bewoner.
## Plaatsen van podia, tenten, kramen en andere voorwerpen
- Het is verboden eigendommen van de gemeente te verwijderen; alle voorwerpen dienen in principe los op de ondergrond te worden geplaatst.
- Aan eigendommen van de gemeente, zoals hekken, bomen, borden, banken en lantaarnpalen mag niets worden bevestigd behoudens in bijzondere gevallen, waarvoor door of vanwege de directeur Openbare Werken gemeente Rotterdam schriftelijk is verklaard dat daartegen geen bezwaren zijn.
- Eventueel ter plaatse aanwezige brandkranen en -putten voor de brandweer direct toegankelijk blijven.
- Dixies dienen verspreid over het evenemententerrein te worden geplaatst.
- ·
- Monument Kindertransport:
Er dient door de organisatie op toegezien te worden dat er voldoende afstand wordt gehouden van het monument Kindertransport. Het monument dient volledig vrij te zijn.
- Schouw buitenruimte:
Voor en na het evenement zal door Stadsbeheer een buitenruimte schouw plaatsvinden. De organisator van het evenement is verantwoordelijk voor elke vorm van schade welke als gevolg van het evenement aan de buitenruimte is toegebracht is. Elke vorm van schade dient direct gemeld te worden aan de wijkregisseur van Stadsbeheer Hoek van Holland: e-mailadres:
## Afval en milieu
- De organisator/vergunninghouder is verantwoordelijk voor het veegschoon houden van het evenementengebied.
- Tijdens het evenement dient de organisator/vergunninghouder afvalbakken te plaatsen op het evenemententerrein en langs de aan en aflooproute. De containers/ afvalbakken moeten afsluitbaar zijn doormiddel van een deksel. De organisator/ vergunninghouder dient de afvalbakken regelmatig te legen.
- De organisator/vergunninghouder dient direct na afloop het evenementen terrein en de buitenruimte vanaf de grens buitenkant plus 250 meter veegschoon op te leveren. Indien het verwijderen van het afval niet in eigen beheer kan geschieden, dient tijdig contact met Stadsbeheer Schone Stad (e-mail: schonestadverkoopsb@rotterdam.nl) te worden opgenomen.
- Gemeentelijke afvalkorven, die als gevolg van het evenement, overlopen dienen door de organisator/vergunninghouder te worden "afgeroomd".
&lt;!-- image --&gt;
- Het is de organisator/ vergunninghouder niet toegestaan afval te deponeren in de gemeentelijke, voor publieke en huishoudens bedoelde, afvalinzameling faciliteiten.
- Bij eetkramen of foodtrucks moet de organisator/ vergunninghouder voorzieningen treffen die voorkomen dat de ondergrond vervuild of beschadigd raakt.
- Eventuele extra kosten die gemaakt worden om de buitenruimte weer op het oorspronkelijke schoonniveau te brengen kunnen achteraf worden doorbelast aan de organisatie.
- De organisator dient rekening te houden met het te verwachten aantal bezoekers zorg te dragen voor voldoende sanitaire voorzieningen.
## Aansprakelijkheid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&lt;!-- image --&gt;
## Bijlage II: geluidsvoorschriften bij de evenementenvergunning voor 'Kofferbakverkoop HvH' Koningin Emmaboulevard - Hoek van Holland - d.d. 26 januari, 23 februari, 30 maart, 27 april, 25 mei en 29 juni 2025
Om overmatige geluidoverlast te voorkomen zijn aan de voorliggende evenementenvergunning krachtens de APV de volgende geluidvoorschriften verbonden voor de duur van het evenement:
1. Muziek en ander geluid, al dan niet elektronisch versterkt, mogen geen ernstige of onnodige geluidoverlast voor de omgeving veroorzaken; indien van dergelijke geluidoverlast mocht blijken, is de politie bevoegd de geluiduitzending te doen onderbreken en een verminderd geluidniveau aan te geven, dan wel - in geval van herhaling - voortijdig te doen beëindigen. Bovendien is de politie bevoegd bij overtreding van de voorschriften strafrechtelijk op te treden.
2. Het opbouwen en het afbreken van het evenement moet zoveel mogelijk plaatsvinden in de uren gelegen tussen 09:00 en 21:00 uur. In ieder geval mogen tussen 21:00 en 09:00 uur geen overlast veroorzakende opbouw- of afbreekactiviteiten uitgevoerd worden in de nabijheid van woningen en andere geluidgevoelige gebouwen en terreinen.
## 3. Bewonersbrief
Bewoners van nabijgelegen woningen en andere geluidgevoelige gebouwen en terreinen en werknemers van omliggende bedrijven moeten tenminste een week voordat het evenement plaatsvindt schriftelijk geïnformeerd worden door de vergunninghouder over de te ondernemen activiteiten.
Hierbij moeten de tijdstippen van het evenement, evenals mogelijke overlast veroorzakende activiteiten of beperkingen kenbaar gemaakt worden.
Tevens moet minimaal één telefoonnummer worden vermeld, waarop aanvullende informatie te verkrijgen is.
Verder moet vermeld worden dat bij geluidoverlast contact gezocht kan worden met de Meldkamer van DCMR Milieudienst Rijnmond, telefoonnummer 0888-333 555 (24 uur per dag bereikbaar) of via https://www.dcmr.nl/melding-maken.
De informatiebrief moet tenminste verspreid worden naar de woningen, andere geluidgevoelige gebouwen en terreinen en bedrijven aan/in het in onderstaand figuur aangegeven gebied:
De informatiebrief moet tenminste verspreid worden naar de woningen, andere geluidgevoelige gebouwen en terreinen en bedrijven in een straal van 50 meter van het evenement.
Een afschrift van de informatiebrief moet gestuurd worden naar DCMR Milieudienst Rijnmond, t.a.v. de Meldkamer via info@dcmr.nl.</t>
  </si>
  <si>
    <t>ROT_1176e_charlois_Vergunning.txt::Besluitvormend Orgaan</t>
  </si>
  <si>
    <t>De burgemeester van Rotterdam [2604:2633]</t>
  </si>
  <si>
    <t>[...] re wet- en regelgeving onverlet. Tot slot wijs ik u erop, dat u aansprakelijk bent voor alle schade die door het gebruik van deze vergunning aan eigendommen van de gemeente of van anderen mocht worden toegebracht. De burgemeester van Rotterdam, Voor deze, M. Ben Addi Hoofd Stadszaken &lt;!-- image --&gt; ## Bijlage(n) behorende bij de evenementenvergunning Bijlage I : Voorschriften Bijlage II : Geluidsvoorschriften Bijlage III : Artikelen [...]</t>
  </si>
  <si>
    <t>ROT_1176e_charlois_Vergunning.txt::Rechtshandeling</t>
  </si>
  <si>
    <t>verleend [191:200]</t>
  </si>
  <si>
    <t>verleend [191:199]</t>
  </si>
  <si>
    <t>&lt;!-- image --&gt; ## Geachte, In antwoord op uw verzoek d.d. 08-07-2021 deel ik u mede, dat er ingevolge artikel 2:25 van de Algemene Plaatselijke Verordening van Rotterdam een vergunning verleend wordt voor: Evenement : Jubileumviering RKSV Spartaan'20 Type evenement : Evenement met coronatoegangsbewijs Categorie : A-evenement Datum en tijden evenement : Zaterdag 23-10-2021 van 16.00- [...]</t>
  </si>
  <si>
    <t>ROT_1176e_charlois_Vergunning.txt::Rechtsobject</t>
  </si>
  <si>
    <t>vergunning [180:191]</t>
  </si>
  <si>
    <t>vergunning [180:190]</t>
  </si>
  <si>
    <t>&lt;!-- image --&gt; ## Geachte, In antwoord op uw verzoek d.d. 08-07-2021 deel ik u mede, dat er ingevolge artikel 2:25 van de Algemene Plaatselijke Verordening van Rotterdam een vergunning verleend wordt voor: Evenement : Jubileumviering RKSV Spartaan'20 Type evenement : Evenement met coronatoegangsbewijs Categorie : A-evenement Datum en tijden evenement : Zaterdag 23-10-2021 v [...]</t>
  </si>
  <si>
    <t>&lt;!-- image --&gt;
## Geachte
In antwoord op het verzoek van 7 juni 2022, deel ik u mede dat er ingevolge artikel 2:25 van de Algemene Plaatselijke Verordening van Rotterdam een vergunning verleend wordt voor:
Evenement Categorie
:  Urban Day winkelcentrum Hoogvliet
:  A-evenement
Datum en tijd(en) evenement
:   Zaterdag 16 juli 2022 van 12.00 tot 16.00 uur
Locatie
:  Binnenban t.h.v. plein Blokker en Hema en op de parkeerplaats aan de Middenbaan-Noord, t.h.v. huisnummer 192
Gebied
:  Hoogvliet
Data en tijden op- en afbouw
:  Opbouw: 16 juli 2022 van 09.00 tot 11.30 uur
Afbouw: 16 juli 2022 van 16.00 tot 18.00 uur
Bezoekersaantal
:  150
Ik behoud mij te allen tijde het recht voor om op grond van de openbare orde en veiligheid of omwille van de gezondheid van bezoekers alsnog te besluiten deze vergunning in te trekken c.q. aanvullende voorschriften aan de vergunning te verbinden.
Aan deze vergunning zijn de in de bijlage opgenomen voorschriften verbonden. De in de bijlage opgenomen voorschriften laten verplichtingen van vergunninghouder voortvloeiende uit andere wet- en regelgeving onverlet.
Tot slot wijs ik u erop, dat u aansprakelijk bent voor alle schade die door het gebruik van deze vergunning aan eigendommen van de gemeente of van anderen mocht worden toegebracht.
De burgemeester van Rotterdam, voor deze,
&lt;!-- image --&gt;
mr. K. Heijnen Teamleider Evenementen
Postadres:
Postbus 70012
3000 KP Rotterdam
## Directie Veiligheid, Evenementen
Website:
www.rotterdam.nl
E-mail:
Telefoon: Inlichtingen bij:
Kenmerk: 388006-2022
Betreft:
Evenementenvergunning
Datum:
7 juli 2022
## Bijlage(n) behorende bij de evenementenvergunning
Bijlage I
: Voorschriften
Bijlage II
: Geluidsvoorschriften
Bijlage III
: Artikelen BGBOP
Bijlage IV
: Veiligheidsplan
Bijlage V
: Plattegronden
## Niet eens met deze beslissing?
Dan kunt u, of een andere belanghebbende, een bezwaarschrift indienen. Dit moet binnen zes weken na de bekendmaking van het besluit. U stuurt het bezwaarschrift naar:
## De Burgemeester
t.a.v. de Algemene Bezwaarschriftencommissie
Postbus 1011, 3000 BA te ROTTERDAM
Faxnummer Algemene Bezwaarschriftencommissie: (010) 267 63 00.
In het bezwaarschrift moet in ieder geval staan:
-  uw naam, adres en handtekening;
-  uw telefoonnummer zodat contact met u opgenomen kan worden om samen met u te bespreken wat de beste aanpak van uw bezwaarschrift is;
-  de datum waarop u bezwaar maakt;
-  een omschrijving van het besluit waartegen u bezwaar maakt;
-  de reden(en) van uw bezwaar.
U wordt verzocht tevens een kopie van dit besluit mee te zenden.
U kunt uw bezwaarschrift ook digitaal indienen op Rotterdam.nl/pdc:bezwaar indienen, m.b.v. het webformulier (zie 'mijn loket'). Hiervoor is nodig een DigiD-code, of voor bedrijven een E-herkenning, die kan worden aangevraagd via digid.nl, respectievelijk eherkenning.nl. U kunt het bezwaarschrift niet op een andere digitale wijze, bijvoorbeeld per e-mail, indienen. Zie voor meer informatie www.rechtspraak.nl.
&lt;!-- image --&gt;
&lt;!-- image --&gt;
Bijlage I: Voorschriften behorende bij de evenementenvergunning van Urban Day winkelcentrum Hoogvliet aan de Binnenban ter hoogte van Blokker en Hema en de parkeerplaats aan de Middenbaan-Noord, t.h.v. huisnummer 192 op zaterdag 16 juli 2022 van 12.00 tot 16.00 uur:
Organisatie :
Naam contactpersoon :
Telefoonnummer contactpersoon :
## Openbare Orde en Veiligheid
-  Een vertegenwoordiger van de organisator moet beschikbaar zijn als aanspreekpunt voor de politie. Diens naam en (mobiel) nummer dienen te worden doorgegeven aan de coördinator evenementen van het district Rijnmond Rotterdam, telefoon 09008844.
-  De vergunninghouder is verplicht deze vergunning op verzoek van een ambtenaar (belast met de zorg voor de naleving van de voorschriften) te laten zien.
-  Het parcours/terrein wordt aanvaard in de staat waarin het zich bevindt; de gemeente kan niet aansprakelijk worden gesteld voor eventuele gevolgen voortvloeiende uit genoemde staat.
-  Iedereen is verplicht om op en rond het evenemententerrein alle aanwijzingen, gegeven door (hulp-)diensten in het belang van de openbare orde of veiligheid van personen en goederen, stipt op te volgen.
-  Bij niet-nakoming van de vergunningsvoorwaarden kan de gemeente, dan wel de politie op last van een hulpofficier van justitie, het evenement onverwijld doen beëindigen.
-  De participanten in het evenement, zoals vrijwilligers organisatie dienen door de organisatie van de voor hen geldende voorschriften in de evenementenvergunning, alsmede de ter zake dienende maatregelen in kennis gesteld te zijn.
-  Er dient een duidelijke afzetting van de evenementenlocatie te zijn.
-  Organisatie dient de huisregels duidelijk herkenbaar te maken aan de bezoekers.
-  Organisatie dient een slecht weer scenario te hebben opgesteld om bij weersverandering tijdig maatregelen te kunnen nemen.
-  De organisatie is verantwoordelijk voor de uitvoering van het Veiligheidsplan zoals ingediend bij de vergunningaanvraag.
-  De organisatie dient gezien de veiligheid te zorgen dat er voldoende toezicht/begeleiding is van een volwassene bij alle genoemde activiteiten.
-  Eventueel inzet van particulier toezicht (ook toegangscontrole) op het evenemententerrein moet door een erkend beveiligingsbedrijf worden uitgevoerd met gediplomeerd personeel voorzien van een geldig beveiligingslegitimatiebewijs.
-  Beveiligingswerkzaamheden dienen tijdig schriftelijk te worden gemeld bij Bijzondere Wetten afdeling EXO via mailbox: korpscheftaken.rotterdam@politie.nl.
-  Bezoekers met (brom)fiets, dienen deze op een dusdanige manier te hebben geparkeerd, dat de hulpdiensten daar geen hinder van ondervinden.
-  De (stroom)kabels dienen te worden afgedekt met matten.
-  De looppaden en calamiteitenroute dienen vrij en toegankelijk te blijven.
-  Bij vervuiling, vernieling of vandalisme van publieke eigendommen, zal de gemeente optreden
## Verkeer
-  De vrije doorgang van openbaar vervoersdiensten mag op geen enkele wijze worden belemmerd.
-  Alle toegangswegen naar het evenemententerrein inclusief de calamiteitenroute volgens de voorwaarden vanuit bijlage 3 dienen beschikbaar te zijn voor hulpdiensten.
-  Het evenement of de activiteiten mogen de bereikbaarheid van woningen, winkels of (horeca)bedrijven niet belemmeren. De in- en uitgangen en nooduitgangen dienen te allen tijde toegankelijk te blijven en vrij van obstakels.
&lt;!-- image --&gt;
-  De organisator dient ervoor te zorgen dat er geen onnodige hinder of gevaarlijke situaties ontstaan voor het overig verkeer (in-/uitrijden parkeerplaats automobilisten).
-  Alle verkeersmaatregelen (redactieborden, etc.) worden uiterlijk 72 uur voorafgaand aan (de opbouw van) het evenement geplaatst en uiterlijk 48 uur na afloop van het evenement verwijderd.
-  Ten behoeve van (de op- en afbouw) het evenement wordt alleen de parkeerplaats aan de Middenbaan-Noord, thv huisnr 192, afgesloten. De parkeerplaats dient te worden afgezet d.m.v. dranghekken.
-  De organisator dient gebruik te maken van een hek (roodwit schrikhek, 2,5 meter breed + C01) als afzetmateriaal van de parkeerplaats aan de Middenbaan-Noord.
-  Deze afzettingen worden zodanig geplaatst dat doorgaand verkeer over de Middenbaan Noord mogelijk blijft.
-  De organisator dient zorg te dragen voor een snelle verwijdering van de afzettingen indien nodig voor de bereikbaarheid t.b.v. hulpdiensten.
-  De organisator zorgt voor de verwijdering van het afzetmateriaal na het einde van (de afbouw van) het evenement.
-  Begeleidende voertuigen (belast met de aanvoer van het eventueel benodigde materialen) mogen op het terrein aanwezig zijn als desbetreffend voertuig actief wordt gelost of geladen.
-  Voertuigen van medewerkers mogen niet op het terrein geparkeerd worden en dienen gebruik te maken van de bestaande voorzieningen zoals parkeergarages en andere parkeervoorzieningen.
-  Voor eventuele benodigde parkeervergunningen en/of ontheffingen kan men mailen naar apostz@rotterdam.nl of bellen naar 14010.
-  Afzetten en reserveren van de parkeervakken kan uitsluitend met toestemming van de politie en Stadsbeheer Toezicht &amp;amp; Handhaving.
-  De verkeersregelaars moeten 1 week voor aanvang van het evenement bij het team Verkeersregie worden aangemeld om toestemming te verkrijgen (teamverkeersregie@rotterdam.nl). Ook verkeersregelaars met een landelijke aanstelling of evenementenverkeersregelaars met een jaaraanstelling moeten zich bij het Team Verkeersregie aanmelden.
-  Parkeren op trottoir, groenvoorziening of in een parkeerverbod in de openbare ruimte is niet toegestaan.
-  Bezoekers met (brom)fiets, dienen deze op een dusdanige manier te hebben geparkeerd, dat de hulpdiensten daar geen hinder van ondervinden.
## Plaatsen van podia, tenten, kramen en andere voorwerpen
-  Het is verboden eigendommen van de gemeente te verwijderen; alle voorwerpen dienen in principe los op de ondergrond te worden geplaatst.
-  Aan eigendommen van de gemeente, zoals hekken, bomen en lantarenpalen mag niets worden bevestigd.
-  Eventueel ter plaatse aanwezige brandkranen en -putten voor de brandweer direct toegankelijk blijven.
-  De op/afbouw van de attributen(bouwwerk) dient door een deskundige te gebeuren.
## Springkussens
Voor springk u ssens (zijnde speeltoestellen) geldt geen aanmeldingsplicht, maar deze toestellen zijn wel keuringsplichtig op grond van het Warenwetbesluit attractie- en speeltoestellen.
Speeltoestellen dienen eenmalig voor ingebruikname (veelal bij levering) te worden gekeurd en gecertificeerd door een aangewezen instelling.
Elk springkussen dient derhalve vergezeld te gaan van een certificaat van goedkeuring .
## Belangrijk
Springkussens dienen deugdelijk aan de ondergrond te worden verankerd.
Boven windkracht 5 à 6 mogen springkussens niet worden gebruikt (zie de gebruiksaanwijzing van de fabrikant).
-  Er dient continu voldoende toezicht te zijn op:
-  het aantal gebruikers
-  op de lengte/leeftijd van de gebruikers
-  en op gebruik conform de instructies (niet op de wanden klimmen e.d.).
-  dat het luchtkussen voldoende luchtdruk heeft,
-  dat er nagedacht is over de elektrische voorzieningen (elektrische veiligheid),
-  dat de ondergrond passend is voor de valhoogte
## Afval en milieu
-  De organisator/vergunninghouder is verantwoordelijk voor het veegschoon houden van het evenementengebied.
-  Tijdens het evenement dient de organisator/vergunninghouder afvalbakken te plaatsen op het evenemententerrein en langs de aan en aflooproute. De containers/ afvalbakken moeten afsluitbaar zijn doormiddel van een deksel. De organisator/ vergunninghouder dient de afvalbakken regelmatig te legen.
-  De organisator/vergunninghouder dient direct na afloop het evenementen terrein en de buitenruimte vanaf de grens buitenkant plus 250 meter veegschoon op te leveren. Indien het verwijderen van het afval niet in eigen beheer kan geschieden, dient tijdig contact met Stadsbeheer Schone Stad (e-mail: schonestadverkoopsb@rotterdam.nl) te worden opgenomen.
-  Gemeentelijke afvalkorven, die als gevolg van het evenement, overlopen dienen door de organisator/vergunninghouder te worden "afgeroomd".
-  Het is de organisator/ vergunninghouder niet toegestaan afval te deponeren in de gemeentelijke, voor publieke en huishoudens bedoelde, afvalinzameling faciliteiten.
-  Bij eetkramen of foodtrucks moet de organisator/ vergunninghouder voorzieningen treffen die voorkomen dat de ondergrond vervuild of beschadigd raakt.
-  Eventuele extra kosten die gemaakt worden om de buitenruimte weer op het oorspronkelijke schoonniveau te brengen kunnen achteraf worden doorbelast aan de organisatie.
-  De organisator dient rekening te houden met het te verwachten aantal bezoekers zorg te dragen voor voldoende sanitaire voorzieningen.
## Bewonersinformatie
Bewoners van nabijgelegen woningen en bedrijven moeten vooraf worden geïnformeerd over het evenement en de te organiseren activiteiten, door middel van een bewonersbrief. Deze bewonersbrief bevat tenminste de volgende informatie:
-  Datum(s) en tijd(en) evenement.
-  Datum(s) en tijd(en) op- en afbouw.
-  Verkeersmaatregelen (locaties en tijden van o.a. afsluitingen).
-  Parkeerbeperkingen (locaties en tijden).
-  Regeling doorlaatbewijzen en regeling voor bewoners met parkeervergunningen.
-  Consequenties voor het openbaar vervoer.
-  Bereikbaarheid van het evenement per openbaar vervoer.
-  P+R terreinen die voor het evenement van belang zijn.
-  Internetsite waar extra informatie te vinden is.
-  Telefoonnummer van de organisatie waarop informatie verkrijgbaar is (ook op de dag zelf).
-  Telefoonnummer van de Meldkamer van de DCMR Milieudienst Rijnmond (0888333555, 24 uur per dag bereikbaar) waar contact mee kan worden gezocht bij geluidsoverlast.
&lt;!-- image --&gt;
&lt;!-- image --&gt;
-  De organisatie levert uiterlijk 7 dagen van tevoren een kopie van bovengenoemde bewonersbrief (incl. de locaties waar deze brief is verspreid door middel van opgave postcodegebieden) aan Team Evenementen (Postbus 70012, 3000 KP Rotterdam) en DCMR Milieudienst Rijnmond (t.a.v. de Meldkamer en Bureau Geluid, Postbus 843, 3100 AV Schiedam).
## Aansprakelijkheid
-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&lt;!-- image --&gt;
Bijlage II: geluidsvoorschriften bij de evenementenvergunning voor Urban Day winkelcentrum Hoogvliet aan de Binnenban ter hoogte van Blokker en Hema en de parkeerplaats aan de Middenbaan-Noord, t.h.v. huisnummer 192 op zaterdag 16 juli 2022 van 12.00 tot 16.00 uur:
Om overmatige geluidsoverlast te voorkomen zijn aan deze evenementenvergunning krachtens de APV-geluidsvoorwaarden verbonden voor de duur van het evenement:
1. Muziek en ander geluid, al dan niet mechanisch/elektronisch versterkt, mogen geen ernstige geluidsoverlast voor de omgeving veroorzaken; indien van dergelijke geluidsoverlast mocht blijken, is de politie bevoegd de geluidsuitzending te doen onderbreken en een verminderd geluidsniveau aan te geven; dan wel - in geval van herhaling - voortijdig te doen beëindigen. Bovendien is de politie bevoegd bij overtreding van de voorschriften strafrechtelijk op te treden.
2. Het equivalente geluidsniveau gedurende 1 minuut (Leq,1 min) veroorzaakt door de aangevraagde activiteiten en de bij de aangevraagde activiteiten betrokken toestellen en installaties, te weten:
3. -muziek door middel van een geluidsinstallatie
mag op 10 meter afstand van de geluidsbron niet meer bedragen dan: 85 dB(A) in de uren, waarin het evenement plaatsvindt.
3. Het meten en berekenen van de geluidniveaus, en het beoordelen van de meetresultaten moet plaatsvinden overeenkomstig de Meet- en rekenvoorschriften industrielawaai.
4. In afwijking van de Meet- en rekenvoorschriften industrielawaai hoeft voor de beoordeling van het equivalente geluidsniveau gedurende 1 minuut (Leq,1 min) van muziekgeluid geen verhoging van 10 dB toegepast te worden, voordat getoetst wordt aan de normwaarde uit voorschrift 2.
5. De luidsprekers dienen dusdanig opgesteld te worden, zodat de geluidproductie zoveel mogelijk naar het bedoelde publiek op het evenemententerrein gericht is. Ten behoeve van de doorstroming van verkeer op de stoep of de rijbaan dienen tevens de aanwijzingen van de politie met betrekking tot de opstelling van de luidsprekers opgevolgd te worden.
6. Het opbouwen en het afbreken van het evenement dient zoveel mogelijk plaats te vinden in de uren gelegen tussen 08.00 en 23.00 uur. In ieder geval mogen tussen 23.00 en 08.00 uur geen overlast veroorzakende opbouw- of afbreekactiviteiten uitgevoerd worden.</t>
  </si>
  <si>
    <t>ROT_1847e_feijenoord_Vergunning.txt::Besluitvormend Orgaan</t>
  </si>
  <si>
    <t>De burgemeester van Rotterdam [3012:3041]</t>
  </si>
  <si>
    <t>[...] re wet- en regelgeving onverlet. Tot slot wijs ik u erop, dat u aansprakelijk bent voor alle schade die door het gebruik van deze vergunning aan eigendommen van de gemeente of van anderen mocht worden toegebracht. De burgemeester van Rotterdam, voor deze, &lt;!-- image --&gt; M. van Wageningen-Bouaddi Teamleider Evenementen ## Bijlage(n) behorende bij de evenementenvergunning Bijlage I : Voorschriften Bijlage II : Geluidsvoorschriften Bijlag [...]</t>
  </si>
  <si>
    <t>ROT_1847e_feijenoord_Vergunning.txt::Rechtshandeling</t>
  </si>
  <si>
    <t>&lt;!-- image --&gt; ## Geachte In antwoord op het verzoek van 11 mei 2023, deel ik u mede dat er ingevolge artikel 2:25 van de Algemene Plaatselijke Verordening van Rotterdam een vergunning verleend wordt voor: Evenement Categorie : Zazz concerten : A-evenement Datum en tijd(en) evenement : 9 juni 2023 van 19.00-22.00 uur 23 juni 2023 van 20.00-21.00 uur 25 juni 2023 van 16.00-19.00 uur 4 augustus [...]</t>
  </si>
  <si>
    <t>ROT_1847e_feijenoord_Vergunning.txt::Rechtsobject</t>
  </si>
  <si>
    <t>&lt;!-- image --&gt;
## Geachte heer
In antwoord op uw verzoek d.d. 9 juni 2021 deel ik u mede, dat er ingevolge artikel 2:25 van de Algemene Plaatselijke Verordening van Rotterdam een vergunning verleend wordt voor:
Evenement
:  Circus in de Zorg
Type evenement
:  Evenement met coronatoegangsbewijs
Categorie
:  A-evenement
Datum en tijden evenement
:   Vrijdag 8 oktober 2021 en zaterdag 9 oktober 2021
van 11:00 uur tot 12:00 uur en
van 13:30 uur tot 14:30 uur en
van 15:30 uur tot 16:30 uur
Locatie :
Gebied :
Grasveld aan de Hoekwant
Hoogvliet
Data en tijden op- en afbouw
:  Opbouw 7 oktober 2021 van 9:00 uur tot 12:00 uur Afbouw 9 oktober 2021 van 16:30 uur tot 18:00 uur
Bezoekersaantal
:  Maximaal 170
## COVID-19
De wereldwijde pandemie van COVID-19 heeft grote impact op de samenleving. Om de verspreiding van het virus zoveel mogelijk in te dammen zijn diverse maatregelen van kracht. Per 25 september 2021 geldt dat evenementen enkel zijn toegestaan indien wordt gewerkt met coronatoegangsbewijzen.
Nederland verder open met coronatoegangsbewijs per 25 september | Publicatie | Rijksoverheid.nl
Vanwege COVID-19 dienen er nog steeds extra (gezondheids) maatregelen te worden getroffen door de organisator. U dient aan te tonen op welke manier u invulling geeft aan de algemene regels. Het door u aangeleverde Coronaplan (bijlage VI) voor dit evenement toont aan dat u voldoende extra maatregelen treft om het evenement op een veilige wijze te laten plaatsvinden. De extra maatregelen zijn passend en voldoen aan de gestelde eisen zoals vermeld in de Tijdelijke Regeling Maatregelen COVID-19.
Postadres:
Postbus 70012
3000 KP Rotterdam
## Directie Veiligheid, Evenementen
Website:
www.rotterdam.nl
E-mail
Telefoon:
Inlichtingen bij: Kenmerk: 360052-2021
Betreft:
Evenementenvergunning
Datum:
27 september 2021
&lt;!-- image --&gt;
Ik behoud mij te allen tijde het recht voor om op grond van de openbare orde en veiligheid of omwille van de gezondheid van bezoekers alsnog te besluiten deze vergunning in te trekken c.q. aanvullende voorschriften aan de vergunning te verbinden. Ook de maatregelen ten aanzien van COVID-19 zijn aan veranderingen onderhevig waardoor aanvullende voorwaarden of beperkingen gesteld kunnen worden.
Aan deze vergunning zijn de in de bijlage opgenomen voorschriften verbonden. De in de bijlage opgenomen voorschriften laten verplichtingen van vergunninghouder voortvloeiende uit andere wet- en regelgeving onverlet.
Tot slot wijs ik u erop, dat u aansprakelijk bent voor alle schade die door het gebruik van deze vergunning aan eigendommen van de gemeente of van anderen mocht worden toegebracht.
De burgemeester van Rotterdam, Voor deze,
mr. K. Heijnen Teamleider Evenementen
&lt;!-- image --&gt;
## Bijlage(n) behorende bij de evenementenvergunning
Bijlage I
: Voorschriften
Bijlage II
: Geluidsvoorschriften
Bijlage III
: Artikelen BGBOP
Bijlage IV
: Situatietekening (niet ter publicatie)
Bijlage V
: Veiligheidsplan
Bijlage VI
: Coronaplan  (niet ter publicatie)
Bijlage VII
: Draaiboek (niet ter publicatie)
## Niet eens met deze beslissing?
Dan kunt u, of een andere belanghebbende, een bezwaarschrift indienen. Dit moet binnen zes weken na de bekendmaking van het besluit. U stuurt het bezwaarschrift naar:
## De Burgemeester
t.a.v. de Algemene Bezwaarschriftencommissie
Postbus 1011, 3000 BA te ROTTERDAM
Faxnummer Algemene Bezwaarschriftencommissie: (010) 267 63 00.
In het bezwaarschrift moet in ieder geval staan:
-  uw naam, adres en handtekening;
-  uw telefoonnummer zodat contact met u opgenomen kan worden om samen met u te bespreken wat de beste aanpak van uw bezwaarschrift is;
-  de datum waarop u bezwaar maakt;
-  een omschrijving van het besluit waartegen u bezwaar maakt;
-  de reden(en) van uw bezwaar.
U wordt verzocht tevens een kopie van dit besluit mee te zenden.
U kunt uw bezwaarschrift ook digitaal indienen op Rotterdam.nl/pdc:bezwaar indienen, m.b.v. het webformulier (zie 'mijn loket'). Hiervoor is nodig een DigiD-code, of voor bedrijven een E-herkenning, die kan worden aangevraagd via digid.nl, respectievelijk eherkenning.nl. U kunt het bezwaarschrift niet op een andere digitale wijze, bijvoorbeeld per e-mail, indienen. Zie voor meer informatie www.rechtspraak.nl.
&lt;!-- image --&gt;
## Bijlage I: Voorschriften behorende bij de evenementenvergunning van:
## Openbare Orde en Veiligheid
-  De organisator is te allen tijde verantwoordelijk voor een juiste uitvoering van het evenement en de daarbij behorende plannen die een onderdeel uitmaken van de verleende vergunning.
-  Bij evenementen met coronatoegangsbewijzen zijn de regels zoals opgenomen in art. 5.1, 5.2 en 6.30 van de Tijdelijke regeling maatregelen Covid-19 van toepassing.
-  Een vertegenwoordiger van de organisator moet beschikbaar zijn als aanspreekpunt voor de politie. Een vertegenwoordiger van de organisatie moet beschikbaar te zijn als aanspreekpunt voor de politie. Diens naam en (mobiel) nummer dienen te worden doorgegeven aan de coördinator evenementen van het district Rijnmond Rotterdam, telefoon 0900-8844.
-  De vergunninghouder is verplicht deze vergunning op verzoek van een ambtenaar (belast met de zorg voor de naleving van de voorschriften) te laten zien.
-  Het parcours / terrein wordt aanvaard in de staat waarin het zich bevindt; de gemeente kan niet aansprakelijk worden gesteld voor eventuele gevolgen voortvloeiende uit genoemde staat.
-  Iedereen is verplicht om op en rond het evenemententerrein alle aanwijzingen, gegeven door (hulp)diensten in het belang van de openbare orde of veiligheid van personen en goederen, stipt op te volgen.
-  Eventueel inzet van particulier toezicht (ook toegangscontrole) op het evenemententerrein moet door een erkend beveiligingsbedrijf worden uitgevoerd met gediplomeerd personeel voorzien van een geldig beveiligingslegitimatiebewijs. Beveiligingswerkzaamheden dienen tijdig schriftelijk te worden gemeld bij Bijzondere Wetten afdeling EXO via mailbox: korpscheftaken.rotterdam@politie.nl .
-  Er wordt geen alcoholhoudende drank wordt geschonken tijdens dit evenement
-  Er dient een duidelijke afzetting van de evenementenlocatie te zijn d.m.v. een hekwerk.
-  Er dient toezicht te worden gehouden op ordelijk verloop van in- en uitstroom van bezoekers.
-  De doorrijroute voor de hulpdiensten dient te allen tijde vrij te worden gehouden van obstakels.
-  Indien hulpdiensten ter plaatse moeten komen, dienen zij bij de ingang te worden opgevangen en te worden gegidst naar de locatie van de calamiteit.
-  Er zal een nooduitgang extra gemaakt worden.
-  Er zijn afdoende brandblussers in de tent.
-  De nooduitgangen zijn in één handeling te openen.
-  Let op met het tijdelijk plaatsen van een rollator, scootmobiel etc. dat deze niet in de vluchtweg staan.
-  Let op dat de vluchtweg vanaf de nooduitgang goed begaanbaar is voor mensen die slecht ter been zijn.
## Verkeer
-  De vrije doorgang van openbaar vervoersdiensten mag op geen enkele wijze worden belemmerd.
-  Het evenement of de activiteiten mogen de bereikbaarheid van woningen, winkels of (horeca)bedrijven niet belemmeren.
-  Alle verkeersmaatregelen (redactieborden, etc.) worden uiterlijk 72 uur voorafgaand aan het evenement geplaatst en uiterlijk 48 uur na afloop van het evenement verwijderd.
&lt;!-- image --&gt;
&lt;!-- image --&gt;
-  Begeleidende voertuigen (belast met de aanvoer van het eventueel benodigde materialen) mogen op het terrein aanwezig zijn als desbetreffend voertuig actief wordt gelost of geladen.
-  Voertuigen van medewerkers mogen niet op het terrein geparkeerd worden en dienen gebruik te maken van de bestaande voorzieningen zoals parkeergarages en andere parkeervoorzieningen.
-  Voor eventuele benodigde parkeervergunningen en / of ontheffingen kan men mailen naar apostz@rotterdam.nl of bellen naar 14010.
-  Verkeersregelaars moeten 1 week voor aanvang van het evenement bij Team Verkeersregie worden aangemeld om hun aanstelling te verkrijgen. Telefoonnummer 010-26 78 450 / e-mailadres: teamverkeersregie@rotterdam.nl. Ook verkeersregelaars met een landelijke aanstelling of evenementenverkeersregelaars met een jaaraanstelling moeten bij Team Verkeersregie aangemeld worden.
## Plaatsen van podia, tenten, kramen en andere voorwerpen (voorschriften SB)
-  Het is verboden eigendommen van de gemeente te verwijderen; alle voorwerpen dienen in principe los op de ondergrond te worden geplaatst.
-  Aan eigendommen van de gemeente, zoals hekken, bomen en lantarenpalen mag niets worden bevestigd.
-  Eventueel ter plaatse aanwezige brandkranen en -putten voor de brandweer direct toegankelijk blijven.
## Afval en milieu
-  De organisator / vergunninghouder is verantwoordelijk voor het veegschoon houden van het evenementengebied.
-  Tijdens het evenement dient de organisator / vergunninghouder afvalbakken te plaatsen op het evenemententerrein en langs de aan en aflooproute. De containers / afvalbakken moeten afsluitbaar zijn doormiddel van een deksel. De organisator / vergunninghouder dient de afvalbakken regelmatig te legen.
-  De organisator / vergunninghouder dient direct na afloop het evenementen terrein en de buitenruimte vanaf de grens buitenkant plus 250 meter veegschoon op te leveren.
-  Gemeentelijke afvalkorven, die als gevolg van het evenement, overlopen dienen door de organisator / vergunninghouder te worden "afgeroomd".
-  Het is de organisator / vergunninghouder niet toegestaan afval te deponeren in de gemeentelijke, voor publieke en huishoudens bedoelde, afvalinzameling faciliteiten.
-  Bij eetkramen of foodtrucks moet de organisator / vergunninghouder voorzieningen treffen die voorkomen dat de ondergrond vervuild of beschadigd raakt.
-  Eventuele extra kosten die gemaakt worden om de buitenruimte weer op het oorspronkelijke schoonniveau te brengen kunnen achteraf worden doorbelast aan de organisatie.
## Bewonersinformatie
Bewoners van nabij gelegen woningen en bedrijven moeten vooraf worden geïnformeerd over het evenement en de te organiseren activiteiten, door middel van een bewonersbrief. Deze bewonersbrief bevat tenminste de volgende informatie:
-  Datum(s) en tijd(en) evenement.
-  Datum(s) en tijd(en) op- en afbouw.
-  Verkeersmaatregelen (locaties en tijden van o.a. afsluitingen).
-  Parkeerbeperkingen (locaties en tijden).
-  Regeling doorlaatbewijzen en regeling voor bewoners met parkeervergunningen.
-  Consequenties voor het openbaar vervoer.
-  Bereikbaarheid van het evenement per openbaar vervoer.
-  P+R terreinen die voor het evenement van belang zijn.
-  Internetsite waar extra informatie te vinden is.
-  Telefoonnummer van de organisatie waarop informatie verkrijgbaar is (ook op de dag zelf).
&lt;!-- image --&gt;
-  Telefoonnummer van de Meldkamer van de DCMR Milieudienst Rijnmond (0888333555, 24 uur per dag bereikbaar) waar contact mee kan worden gezocht bij geluidsoverlast.
-  De organisatie levert uiterlijk 4 dagen van tevoren een kopie van bovengenoemde bewonersbrief (incl. de locaties waar deze brief is verspreid door middel van opgave postcodegebieden) aan Team Evenementen (Postbus 70012, 3000 KP Rotterdam) en DCMR Milieudienst Rijnmond (t.a.v. de Meldkamer en Bureau Geluid, Postbus 843, 3100 AV Schiedam).
## Aansprakelijkheid
-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&lt;!-- image --&gt;
## Bijlage II: geluidsvoorschriften bij de evenementenvergunning voor Circus in de Zorg
Om overmatige geluidsoverlast te voorkomen zijn aan deze evenementenvergunning krachtens de APV geluidsvoorwaarden verbonden voor de duur van het evenement:
1. Muziek en ander geluid, al dan niet mechanisch/elektronisch versterkt, mogen geen ernstige geluidsoverlast voor de omgeving veroorzaken; indien van dergelijke geluidsoverlast mocht blijken, is de politie bevoegd de geluidsuitzending te doen onderbreken en een verminderd geluidsniveau aan te geven; dan wel - in geval van herhaling - voortijdig te doen beëindigen. Bovendien is de politie bevoegd bij overtreding van de voorschriften strafrechtelijk op te treden.
2. Het equivalente geluidsniveau gedurende 1 minuut (Leq,1 min) veroorzaakt door de aangevraagde activiteiten en de bij de aangevraagde activiteiten betrokken toestellen en installaties, te weten:
X achtergrondmuziek
mag op 5 meter afstand van de geluidsbron niet meer bedragen dan: 80 dB(A) in de uren, waarin het evenement plaatsvindt.
3. Het meten en berekenen van de geluidniveaus, en het beoordelen van de meetresultaten moet plaatsvinden overeenkomstig de Meet- en rekenvoorschriften industrielawaai.
4. In afwijking van de Meet- en rekenvoorschriften industrielawaai hoeft voor de beoordeling van het equivalente geluidsniveau gedurende 1 minuut (Leq,1 min) van muziekgeluid geen verhoging van 10 dB toegepast te worden, voordat getoetst wordt aan de normwaarde uit voorschrift 2.
5. De luidsprekers dienen dusdanig opgesteld te worden, zodat de geluidproductie zoveel mogelijk naar het bedoelde publiek op het evenemententerrein gericht is. Ten behoeve van de doorstroming van verkeer op de stoep of de rijbaan dienen tevens de aanwijzingen van de politie met betrekking tot de opstelling van de luidsprekers opgevolgd te worden.
6. Het opbouwen en het afbreken van het evenement dient zoveel mogelijk plaats te vinden in de uren gelegen tussen 08.00 en 23.00 uur. In ieder geval mogen tussen 23.00 en 08.00 uur geen overlastveroorzakende opbouw- of afbreekactiviteiten uitgevoerd worden.
7. De plaatsing van het podium dient op een dusdanig manier te geschieden dat omwonenden zo min mogelijk worden belast met de 'geluidsstraling'.</t>
  </si>
  <si>
    <t>&lt;!-- image --&gt; ## Geachte In antwoord op het verzoek van 11 mei 2023, deel ik u mede dat er ingevolge artikel 2:25 van de Algemene Plaatselijke Verordening van Rotterdam een vergunning verleend wordt voor: Evenement Categorie : Zazz concerten : A-evenement Datum en tijd(en) evenement : 9 juni 2023 van 19.00-22.00 uur 23 juni 2023 van 20.00-21.00 uur 25 juni 2023 van 16.00-19.00 uur 4 [...]</t>
  </si>
  <si>
    <t>ROT_2187e_hoek-van-holland_Vergunning.txt::Besluitvormend Orgaan</t>
  </si>
  <si>
    <t>De burgemeester van Rotterdam [3543:3572]</t>
  </si>
  <si>
    <t>[...] dere weten regelgeving onverlet. Tot slot wijs ik u erop, dat u aansprakelijk bent voor alle schade die door het gebruik van deze vergunning aan eigendommen van de gemeente of van anderen mocht worden toegebracht. De burgemeester van Rotterdam, Voor deze, ## M.B.T. Heijmink Teamleider Horeca en Evenementen ## Bijlagen behorende bij de evenementenvergunning Bijlage I : Voorschriften Bijlage II : Geluidsvoorschriften Bijlage III : Art [...]</t>
  </si>
  <si>
    <t>ROT_2187e_hoek-van-holland_Vergunning.txt::Rechtshandeling</t>
  </si>
  <si>
    <t>verleend [195:204]</t>
  </si>
  <si>
    <t>&lt;!-- image --&gt;
Geachte,
In antwoord op het verzoek van 3-5-2022, deel ik u mede dat er ingevolge artikel 2:25 van de Algemene Plaatselijke Verordening van Rotterdam een vergunning verleend wordt voor:
Evenement Categorie Datum en tijd(en) evenement Locatie Gebied Data en tijden op- en afbouw
:  Meanderkidstoernooi
:  A-evenement
:   Zaterdag 11-6-2022 van 09.00 uur tot 22.00 uur
:  Prinsenlaan 991
:  Kralingen-Crooswijk
:  Opbouw:
Vrijdag 10-6-2022 van 08.00 uur tot 16.00 uur Afbouw:
Zaterdag 11-6-2022 van 22.00 uur tot 23.00 uur
Bezoekersaantal
:  400 gelijktijdig
Ik behoud mij te allen tijde het recht voor om op grond van de openbare orde en veiligheid of omwille van de gezondheid van bezoekers alsnog te besluiten deze vergunning in te trekken c.q. aanvullende voorschriften aan de vergunning te verbinden.
Aan deze vergunning zijn de in de bijlage opgenomen voorschriften verbonden. De in de bijlage opgenomen voorschriften laten verplichtingen van vergunninghouder voortvloeiende uit andere wet- en regelgeving onverlet.
Tot slot wijs ik u erop, dat u aansprakelijk bent voor alle schade die door het gebruik van deze vergunning aan eigendommen van de gemeente of van anderen mocht worden toegebracht.
De burgemeester van Rotterdam, Voor deze,
&lt;!-- image --&gt;
mr. K. Heijnen Teamleider Evenementen
—
Postadres:
Postbus 70012
3000 KP Rotterdam
Directie Veiligheid, Evenementen
Website:
www.rotterdam.nl
E-mail:
Telefoon:
Inlichtingen bij:
Kenmerk:
304553-2022
Betreft:
Evenementenvergunning
Datum:
3-6-2022
## Bijlage(n) behorende bij de evenementenvergunning
| Bijlage I   | : Voorschriften                          |
|-------------|------------------------------------------|
| Bijlage II  | : Geluidsvoorschriften                   |
| Bijlage III | : Artikelen BBGBOP                       |
| Bijlage III | : Situatietekening (niet ter publicatie) |
| Bijlage IV  | : Veiligheidsplan (niet ter publicatie)  |
| Bijlage V   | : Draaiboek (niet ter publicatie)        |
## Niet eens met deze beslissing?
Dan kunt u, of een andere belanghebbende, een bezwaarschrift indienen. Dit moet binnen zes weken na de bekendmaking van het besluit. U stuurt het bezwaarschrift naar:
##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ook digitaal indienen op Rotterdam.nl/pdc:bezwaar indienen, m.b.v. het webformulier (zie 'mijn loket'). Hiervoor is nodig een DigiD-code, of voor bedrijven een E-herkenning, die kan worden aangevraagd via digid.nl, respectievelijk eherkenning.nl. U kunt het bezwaarschrift niet op een andere digitale wijze, bijvoorbeeld per e-mail, indienen. Zie voor meer informatie www.rechtspraak.nl.
&lt;!-- image --&gt;
## Bijlage I; Voorschriften behorende bij de evenementenvergunning van:
## Aanvullende voorwaarden
- Alle toegangswegen naar het evenemententerrein inclusief de calamiteitenroute volgens de voorwaarden vanuit bijlage 3 dienen beschikbaar te zijn voor hulpdiensten.
- Op het terrein zijn passende blusmiddelen aanwezig.
- Let op met het plaatsen van fietsen dat de in- en uitgangen en nooduitgangen vrij en bereikbaar blijven. Plaats de fietsen in de daarvoor aangewezen plaatsen.
- Op het terrein zijn de vluchtroutes duidelijk aangegeven.
- Terreinverlichting is aanwezig.
- De bouwsels, waaronder tenten en springkussens, worden op adequate wijze gezekerd om wegwaaien en/of losschieten tegen te gaan.
- Matten worden rondom het springkussen gelegd om verwondingen te voorkomen.
- Er is permanent toezicht door een volwassene bij alle activiteiten.
- Tenten, podia, kramen en andere voorwerpen moeten worden opgesteld in overleg met Openbare Werken Rayon Noordoost. Verankering in verharding en gazon, middels haringen is niet toegestaan.
## Openbare Orde en Veiligheid
- Een vertegenwoordiger van de organisator moet beschikbaar zijn als aanspreekpunt voor de politie. Diens naam en (mobiel) nummer dienen te worden doorgegeven aan de coördinator evenementen van het district Rijnmond Oost van de Eenheid Rotterdam, telefoon 0900-8844, of middels evenementen.rijnmond-oost@politie.nl of in de vergunning te worden opgenomen.
- De vergunninghouder is verplicht deze vergunning op verzoek van een ambtenaar (belast met de zorg voor de naleving van de voorschriften) te laten zien.
- Het parcours/terrein wordt aanvaard in de staat waarin het zich bevindt; de gemeente kan niet aansprakelijk worden gesteld voor eventuele gevolgen voortvloeiende uit genoemde staat.
- Iedereen is verplicht om op en rond het evenemententerrein alle aanwijzingen, gegeven door (hulp-)diensten in het belang van de openbare orde of veiligheid van personen en goederen, stipt op te volgen.
- Eventueel inzet van particulier toezicht (ook toegangscontrole) op het evenemententerrein moet door een erkend beveiligingsbedrijf worden uitgevoerd met gediplomeerd personeel voorzien van een geldig beveiligingslegitimatiebewijs.
- Beveiligingswerkzaamheden dienen tijdig schriftelijk te worden gemeld bij Bijzondere Wetten afdeling EXO via mailbox: korpscheftaken.rotterdam@politie.nl.
- Indien alcohol wordt geschonken zal de locatie waar de activiteit/festiviteit wordt gehouden als evenemententerrein worden aangemerkt.
- Een evenemententerrein dient duidelijk herkenbaar te zijn afgescheiden van de openbare weg.
- Er dient op te worden toegezien dat er geen alcoholhoudende drank wordt meegenomen naar de openbare weg, zijnde buiten het evenemententerrein of anders bepaald met betrekking tot het alcoholverstrekkingspunt of de locatie.
- De verstrekking van drinkwaren, zowel zwak alcoholisch als niet alcoholhoudende drank, dient uitsluitend te geschieden in zachte plastic bekers, zachte petflessen of kartons. Het gebruik van glaswerk is verboden.
- Het is alleen toegestaan voorverpakte, c.q. fabrieksmatig voorbereide, alcoholhoudende mixdrank te verkopen c.q. aanwezig te hebben. Ter plaatse gemixte alcoholhoudende drank zullen worden aangemerkt als sterk alcoholhoudende drank en worden in beslag genomen.
- De vergunninghouder moet om het evenemententerrein te creëren een afscheiding met aanduiding borden plaatsen met de tekst: 'VANAF HIER IS HET NUTTIGEN
&lt;!-- image --&gt;
&lt;!-- image --&gt;
VAN ALCOHOL TOEGESTAAN.' Bij het verlaten van het evenemententerrein dienen aanduiding borden te worden geplaatst met de tekst: 'VANAF HIER GEEN ALCOHOL TOEGESTAAN.'
## Inrichting evenemententerrein
- De diverse objecten dienen zodanig geplaatst te worden dat er voldoende ruimte overblijft voor de deelnemers om bij calamiteiten vluchtwegen te hebben.
- Het evenemententerrein dient te allen tijde bereikbaar te zijn voor hulpdiensten.
## Verkeer
- De vrije doorgang van openbaar vervoersdiensten mag op geen enkele wijze worden belemmerd.
- Het evenement of de activiteiten mogen de bereikbaarheid van woningen, winkels of (horeca)bedrijven niet belemmeren.
- Alle verkeersmaatregelen (redactieborden, etc.) worden uiterlijk 72 uur voorafgaand aan het evenement geplaatst en uiterlijk 48 uur na afloop van het evenement verwijderd.
- Begeleidende voertuigen (belast met de aanvoer van het eventueel benodigde materialen) mogen op het terrein aanwezig zijn als desbetreffend voertuig actief wordt gelost of geladen.
- Voertuigen van medewerkers mogen niet op het terrein geparkeerd worden en dienen gebruik te maken van de bestaande voorzieningen zoals parkeergarages en andere parkeervoorzieningen.
- Voor eventuele benodigde parkeervergunningen en/of ontheffingen kan men mailen naar apostz@rotterdam.nl of bellen naar 14010.
- De verkeersregelaars moeten 1 week voor aanvang van het evenement bij het team Verkeersregie worden aangemeld om toestemming te verkrijgen (teamverkeersregie@rotterdam.nl). Ook verkeersregelaars met een landelijke aanstelling of evenementenverkeersregelaars met een jaaraanstelling moeten zich bij het Team Verkeersregie aanmelden.
## Plaatsen van podia, tenten, kramen en andere voorwerpen
- Het is verboden eigendommen van de gemeente te verwijderen; alle voorwerpen dienen in principe los op de ondergrond te worden geplaatst.
- Aan eigendommen van de gemeente, zoals hekken, bomen en lantarenpalen mag niets worden bevestigd.
- Eventueel ter plaatse aanwezige brandkranen en -putten voor de brandweer direct toegankelijk blijven.
## Afval en milieu
- De organisator/vergunninghouder is verantwoordelijk voor het veegschoon houden van het evenementengebied.
- Tijdens het evenement dient de organisator/vergunninghouder afvalbakken te plaatsen op het evenemententerrein en langs de aan en aflooproute. De containers/ afvalbakken moeten afsluitbaar zijn doormiddel van een deksel. De organisator/ vergunninghouder dient de afvalbakken regelmatig te legen.
- De organisator/vergunninghouder dient direct na afloop het evenementen terrein en de buitenruimte vanaf de grens buitenkant plus 250 meter veegschoon op te leveren. Indien het verwijderen van het afval niet in eigen beheer kan geschieden, dient tijdig contact met Stadsbeheer Schone Stad (e-mail: schonestadverkoopsb@rotterdam.nl) te worden opgenomen.
- Gemeentelijke afvalkorven, die als gevolg van het evenement, overlopen dienen door de organisator/vergunninghouder te worden "afgeroomd".
- Het is de organisator/ vergunninghouder niet toegestaan afval te deponeren in de gemeentelijke, voor publieke en huishoudens bedoelde, afvalinzameling faciliteiten.
- Bij eetkramen of foodtrucks moet de organisator/ vergunninghouder voorzieningen treffen die voorkomen dat de ondergrond vervuild of beschadigd raakt.
&lt;!-- image --&gt;
- Eventuele extra kosten die gemaakt worden om de buitenruimte weer op het oorspronkelijke schoonniveau te brengen kunnen achteraf worden doorbelast aan de organisatie.
- De organisator dient rekening te houden met het te verwachten aantal bezoekers zorg te dragen voor voldoende sanitaire voorzieningen.
## Bewonersinformatie
Bewoners van nabijgelegen woningen en bedrijven moeten vooraf worden geïnformeerd over het evenement en de te organiseren activiteiten, door middel van een bewonersbrief. Deze bewonersbrief bevat tenminste de volgende informatie:
- Datum(s) en tijd(en) evenement.
- Datum(s) en tijd(en) op- en afbouw.
- Verkeersmaatregelen (locaties en tijden van o.a. afsluitingen).
- Parkeerbeperkingen (locaties en tijden).
- Regeling doorlaatbewijzen en regeling voor bewoners met parkeervergunningen.
- Consequenties voor het openbaar vervoer.
- Bereikbaarheid van het evenement per openbaar vervoer.
- P+R terreinen die voor het evenement van belang zijn.
- Internetsite waar extra informatie te vinden is.
- Telefoonnummer van de organisatie waarop informatie verkrijgbaar is (ook op de dag zelf).
- Telefoonnummer van de Meldkamer van de DCMR Milieudienst Rijnmond (0888333555, 24 uur per dag bereikbaar) waar contact mee kan worden gezocht bij geluidsoverlast.
- De organisatie levert uiterlijk 7 dagen van tevoren een kopie van bovengenoemde bewonersbrief (incl. de locaties waar deze brief is verspreid door middel van opgave postcodegebieden) aan Team Evenementen (Postbus 70012, 3000 KP Rotterdam) en DCMR Milieudienst Rijnmond (t.a.v. de Meldkamer en Bureau Geluid, Postbus 843, 3100 AV Schiedam).
## Aansprakelijkheid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 Bijlage II: geluidsvoorschriften bij de evenementenvergunning voor Meanderkidstoernooi d.d. 11-6-2022
Om overmatige geluidsoverlast te voorkomen zijn aan deze evenementenvergunning krachtens de APV-geluidsvoorwaarden verbonden voor de duur van het evenement:
1. Muziek en ander geluid, al dan niet mechanisch/elektronisch versterkt, mogen geen ernstige geluidsoverlast voor de omgeving veroorzaken; indien van dergelijke geluidsoverlast mocht blijken, is de politie bevoegd de geluidsuitzending te doen onderbreken en een verminderd geluidsniveau aan te geven; dan wel - in geval van herhaling - voortijdig te doen beëindigen. Bovendien is de politie bevoegd bij overtreding van de voorschriften strafrechtelijk op te treden.
2. Het equivalente geluidsniveau gedurende 1 minuut (Leq,1 min) veroorzaakt door de aangevraagde activiteiten en de bij de aangevraagde activiteiten betrokken toestellen en installaties, te weten:
3. Het doen van aankondigingen
4. Achtergrondmuziek
5. Geluid door middel van een geluidsinstallatie
6. Muziek door middel van een geluidsinstallatie
mag op 10 meter afstand van de bron niet meer bedragen dan:
90 dB(A) in de uren, waarin het evenement plaatsvindt.
3. Het meten en berekenen van de geluidniveaus, en het beoordelen van de meetresultaten moet plaatsvinden overeenkomstig de Meet- en rekenvoorschriften industrielawaai.
4. In afwijking van de Meet- en rekenvoorschriften industrielawaai hoeft voor de beoordeling van het equivalente geluidsniveau gedurende 1 minuut (Leq,1 min) van muziekgeluid geen verhoging van 10 dB toegepast te worden, voordat getoetst wordt aan de normwaarde uit voorschrift 2.
5. De luidsprekers dienen dusdanig opgesteld te worden, zodat de geluidproductie zoveel mogelijk naar het bedoelde publiek op het evenemententerrein gericht is. Ten behoeve van de doorstroming van verkeer op de stoep of de rijbaan dienen tevens de aanwijzingen van de politie met betrekking tot de opstelling van de luidsprekers opgevolgd te worden.
6. Het opbouwen en het afbreken van het evenement dient zoveel mogelijk plaats te vinden in de uren gelegen tussen 08.00 en 23.00 uur. In ieder geval mogen tussen 23.00 en 08.00 uur geen overlast veroorzakende opbouw- of afbreekactiviteiten uitgevoerd worden.
&lt;!-- image --&gt;
7. De plaatsing van het podium dient op een dusdanig manier te geschieden dat omwonenden zo min mogelijk worden belast met de 'geluidsstraling'.
&lt;!-- image --&gt;</t>
  </si>
  <si>
    <t>verleend [195:203]</t>
  </si>
  <si>
    <t>&lt;!-- image --&gt; ## Geachte In antwoord op het verzoek van 1 december 2024, deel ik u mede dat er ingevolge artikel 2:25 van de Algemene Plaatselijke Verordening van Rotterdam een vergunning verleend wordt voor: Evenement Categorie Data en tijden evenement : Kofferbakverkoop HvH : A-evenement : Zondag 26 januari 2025 van 07.00-17.00 uur * Zondag 23 februari 2025 van 07.00-17.00 uur * Zondag 30 ma [...]</t>
  </si>
  <si>
    <t>ROT_2187e_hoek-van-holland_Vergunning.txt::Rechtsobject</t>
  </si>
  <si>
    <t>vergunning [184:195]</t>
  </si>
  <si>
    <t>vergunning [184:194]</t>
  </si>
  <si>
    <t>&lt;!-- image --&gt; ## Geachte In antwoord op het verzoek van 1 december 2024, deel ik u mede dat er ingevolge artikel 2:25 van de Algemene Plaatselijke Verordening van Rotterdam een vergunning verleend wordt voor: Evenement Categorie Data en tijden evenement : Kofferbakverkoop HvH : A-evenement : Zondag 26 januari 2025 van 07.00-17.00 uur * Zondag 23 februari 2025 van 07.00-17.00 uur * Zon [...]</t>
  </si>
  <si>
    <t>&lt;!-- image --&gt;
## Geachte heer/mevrouw
In antwoord op het verzoek van 11 oktober 2022 deel ik u mede dat er ingevolge artikel 2:25 van de Algemene Plaatselijke Verordening van Rotterdam een vergunning verleend wordt voor:
Evenement
:  Veggie Fair Rotterdam
Categorie
:  A-evenement
Datum en tijd(en) evenement
:   Zondag 27 november 2022 van 10:00-18:00 uur
Locatie
:  Noordplein 149
Gebied
:  Noord
Data en tijden op- en afbouw
:  Opbouw
Zondag 27 november 2022 van 07:30-10:00 uur Afbouw
Zondag 27 november 2022 van 18:00-20:00 uur
Bezoekersaantal
:  Maximaal 200 bezoekers
## Zondagswet
Tevens verleen ik u ontheffing van het bepaalde in artikel 3, eerste lid van de Zondagswet om gedurende de tijd na 13:00 uur gerucht te verwekken dat op een afstand van meer dan 200 meter van het punt van de geluidsbron hoorbaar is.
Ook verleen ik u op grond van artikel 4, derde lid van de Zondagswet ontheffing van het in artikel 4, eerste lid van de Zondagswet gestelde verbod: 'het is verboden op zondag voor 13:00 uur openbare vermakelijkheden te houden, daartoe gelegenheid te geven of daaraan deel te nemen'.
In dit verband breng ik u onder de aandacht dat ongeacht deze ontheffing onverminderd van kracht blijft artikel 2, eerste lid van de Zondagswet luidende: 'het is verboden op zondag in de nabijheid van kerken of andere gebouwen voor de openbare eredienst in gebruik, zonder strikte noodzaak gerucht te verwekken, waardoor de godsdienstoefening wordt gehinderd'
U dient zorg voor te dragen dat het gaan naar en het huiswaarts keren van kerkdiensten als gevolg van genoemd evenement niet of nagenoeg niet wordt belemmerd.
Ik behoud mij te allen tijde het recht voor om op grond van de openbare orde en veiligheid of omwille van de gezondheid van bezoekers alsnog te besluiten deze vergunning in te trekken c.q. aanvullende voorschriften aan de vergunning te verbinden.
Aan deze vergunning zijn de in de bijlage opgenomen voorschriften verbonden. De in de bijlage opgenomen voorschriften laten verplichtingen van vergunninghouder voortvloeiende uit andere wet- en regelgeving onverlet.
Postadres:
Postbus 70012
3000 KP Rotterdam
## Directie Veiligheid, Evenementen
Website:
www.rotterdam.nl
E-mail:
Telefoon:
Inlichtingen bij:
Kenmerk:
700387-2022
Betreft:
Evenementenvergunning
Datum:
10 november 2022
&lt;!-- image --&gt;
Tot slot wijs ik u erop, dat u aansprakelijk bent voor alle schade die door het gebruik van deze vergunning aan eigendommen van de gemeente of van anderen mocht worden toegebracht.
De burgemeester van Rotterdam, Voor deze,
&lt;!-- image --&gt;
M. Ben Addi Afdelingshoofd Stadszaken
## Bijlage(n) behorende bij de evenementenvergunning
Bijlage I
: Voorschriften
Bijlage II
: Geluidsvoorschriften
Bijlage III
: Artikelen BBGBOP
Bijlage IV
: Situatietekening (niet ter publicatie)
Bijlage  V
: Veiligheidsplan (niet ter publicatie)
Bijlage VI
: Draaiboek (niet ter publicatie)
## Niet eens met deze beslissing?
Dan kunt u, of een andere belanghebbende, een bezwaarschrift indienen. Dit moet binnen zes weken na de bekendmaking van het besluit. U stuurt het bezwaarschrift naar:
##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ook digitaal indienen op Rotterdam.nl/pdc:bezwaar indienen, m.b.v. het webformulier (zie 'mijn loket'). Hiervoor is nodig een DigiD-code, of voor bedrijven een E-herkenning, die kan worden aangevraagd via digid.nl, respectievelijk eherkenning.nl. U kunt het bezwaarschrift niet op een andere digitale wijze, bijvoorbeeld per e-mail, indienen. Zie voor meer informatie www.rechtspraak.nl.
## Bijlage I; Voorschriften behorende bij de evenementenvergunning van:
Organisatie :
Naam contactpersoon :
Telefoonnummer contactpersoon :
## Openbare Orde en Veiligheid
- Een vertegenwoordiger van de organisator moet beschikbaar zijn als aanspreekpunt voor de politie. Diens naam en (mobiel) nummer dienen te worden doorgegeven aan de coördinator evenementen van het district Rijnmond Rotterdam, telefoon 09008844.
- De vergunninghouder is verplicht deze vergunning op verzoek van een ambtenaar (belast met de zorg voor de naleving van de voorschriften) te laten zien.
- Het parcours/terrein wordt aanvaard in de staat waarin het zich bevindt; de gemeente kan niet aansprakelijk worden gesteld voor eventuele gevolgen voortvloeiende uit genoemde staat.
- Iedereen is verplicht om op en rond het evenemententerrein alle aanwijzingen, gegeven door (hulp-)diensten in het belang van de openbare orde of veiligheid van personen en goederen, stipt op te volgen.
- Eventueel inzet van particulier toezicht (ook toegangscontrole) op het evenemententerrein moet door een erkend beveiligingsbedrijf worden uitgevoerd met gediplomeerd personeel voorzien van een geldig beveiligingslegitimatiebewijs.
- Beveiligingswerkzaamheden dienen tijdig schriftelijk te worden gemeld bij Bijzondere Wetten afdeling EXO via mailbox: korpscheftaken.rotterdam@politie.nl.
- Indien alcohol wordt geschonken zal de locatie waar de activiteit/festiviteit wordt gehouden als evenemententerrein worden aangemerkt.
- Een evenemententerrein dient duidelijk herkenbaar te zijn afgescheiden van de openbare weg.
## Verkeer
- De vrije doorgang van openbaar vervoersdiensten mag op geen enkele wijze worden belemmerd.
- Het evenement of de activiteiten mogen de bereikbaarheid van woningen, winkels of (horeca)bedrijven niet belemmeren.
- Alle verkeersmaatregelen (redactieborden, etc.) worden uiterlijk 72 uur voorafgaand aan het evenement geplaatst en uiterlijk 48 uur na afloop van het evenement verwijderd.
- Begeleidende voertuigen (belast met de aanvoer van het eventueel benodigde materialen) mogen op het terrein aanwezig zijn als desbetreffend voertuig actief wordt gelost of geladen.
- Voertuigen van medewerkers mogen niet op het terrein geparkeerd worden en dienen gebruik te maken van de bestaande voorzieningen zoals parkeergarages en andere parkeervoorzieningen.
- Voor eventuele benodigde parkeervergunningen en/of ontheffingen kan men mailen naar apostz@rotterdam.nl of bellen naar 14010.
- De verkeersregelaars moeten 1 week voor aanvang van het evenement bij het team Verkeersregie worden aangemeld om toestemming te verkrijgen (teamverkeersregie@rotterdam.nl). Ook verkeersregelaars met een landelijke aanstelling of evenementenverkeersregelaars met een jaaraanstelling moeten zich bij het Team Verkeersregie aanmelden.
## Plaatsen van podia, tenten, kramen en andere voorwerpen
- Het is verboden eigendommen van de gemeente te verwijderen; alle voorwerpen dienen in principe los op de ondergrond te worden geplaatst.
- Aan eigendommen van de gemeente, zoals hekken, bomen en lantarenpalen mag niets worden bevestigd.
&lt;!-- image --&gt;
&lt;!-- image --&gt;
- Eventueel ter plaatse aanwezige brandkranen en -putten voor de brandweer direct toegankelijk blijven.
## Afval en milieu
- De organisator/vergunninghouder is verantwoordelijk voor het veegschoon houden van het evenementengebied.
- Tijdens het evenement dient de organisator/vergunninghouder afvalbakken te plaatsen op het evenemententerrein en langs de aan en aflooproute. De containers/ afvalbakken moeten afsluitbaar zijn doormiddel van een deksel. De organisator/ vergunninghouder dient de afvalbakken regelmatig te legen.
- De organisator/vergunninghouder dient direct na afloop het evenementen terrein en de buitenruimte vanaf de grens buitenkant plus 250 meter veegschoon op te leveren. Indien het verwijderen van het afval niet in eigen beheer kan geschieden, dient tijdig contact met Stadsbeheer Schone Stad (e-mail: schonestadverkoopsb@rotterdam.nl) te worden opgenomen.
- Gemeentelijke afvalkorven, die als gevolg van het evenement, overlopen dienen door de organisator/vergunninghouder te worden "afgeroomd".
- Het is de organisator/ vergunninghouder niet toegestaan afval te deponeren in de gemeentelijke, voor publieke en huishoudens bedoelde, afvalinzameling faciliteiten.
- Bij eetkramen of foodtrucks moet de organisator/ vergunninghouder voorzieningen treffen die voorkomen dat de ondergrond vervuild of beschadigd raakt.
- Eventuele extra kosten die gemaakt worden om de buitenruimte weer op het oorspronkelijke schoonniveau te brengen kunnen achteraf worden doorbelast aan de organisatie.
- De organisator dient rekening te houden met het te verwachten aantal bezoekers zorg te dragen voor voldoende sanitaire voorzieningen.
## Bewonersinformatie
Bewoners van nabijgelegen woningen en bedrijven moeten vooraf worden geïnformeerd over het evenement en de te organiseren activiteiten, door middel van een bewonersbrief. Deze bewonersbrief bevat tenminste de volgende informatie:
- Datum(s) en tijd(en) evenement.
- Datum(s) en tijd(en) op- en afbouw.
- Verkeersmaatregelen (locaties en tijden van o.a. afsluitingen).
- Parkeerbeperkingen (locaties en tijden).
- Regeling doorlaatbewijzen en regeling voor bewoners met parkeervergunningen.
- Consequenties voor het openbaar vervoer.
- Bereikbaarheid van het evenement per openbaar vervoer.
- P+R terreinen die voor het evenement van belang zijn.
- Internetsite waar extra informatie te vinden is.
- Telefoonnummer van de organisatie waarop informatie verkrijgbaar is (ook op de dag zelf).
- Telefoonnummer van de Meldkamer van de DCMR Milieudienst Rijnmond (0888333555, 24 uur per dag bereikbaar) waar contact mee kan worden gezocht bij geluidsoverlast.
- De organisatie levert uiterlijk 7 dagen van tevoren een kopie van bovengenoemde bewonersbrief (incl. de locaties waar deze brief is verspreid door middel van opgave postcodegebieden) aan Team Evenementen (Postbus 70012, 3000 KP Rotterdam) en DCMR Milieudienst Rijnmond (t.a.v. de Meldkamer en Bureau Geluid, Postbus 843, 3100 AV Schiedam).
## Aansprakelijkheid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 Bijlage II: geluidsvoorschriften bij de evenementenvergunning voor Veggie Fair Rotterdam op zondag 27 november 2022 van 10:00-18:00 uur op het Noordplein
Om overmatige geluidsoverlast te voorkomen zijn aan deze evenementenvergunning krachtens de APV geluidsvoorwaarden verbonden voor de duur van het evenement:
1. Muziek en ander geluid, al dan niet mechanisch/elektronisch versterkt, mogen geen ernstige geluidsoverlast voor de omgeving veroorzaken; indien van dergelijke geluidsoverlast mocht blijken, is de politie bevoegd de geluidsuitzending te doen onderbreken en een verminderd geluidsniveau aan te geven; dan wel - in geval van herhaling - voortijdig te doen beëindigen. Bovendien is de politie bevoegd bij overtreding van de voorschriften strafrechtelijk op te treden.
2. Het opbouwen en het afbreken van het evenement dient zoveel mogelijk plaats te vinden in de uren gelegen tussen 08.00 en 23.00 uur. In ieder geval mogen tussen 23.00 en 08.00 uur geen overlastveroorzakende opbouw- of afbreekactiviteiten uitgevoerd worden.
&lt;!-- image --&gt;</t>
  </si>
  <si>
    <t>ROT_2466e_hoogvliet_Vergunning.txt::Besluitvormend Orgaan</t>
  </si>
  <si>
    <t>De burgemeester van Rotterdam [1345:1374]</t>
  </si>
  <si>
    <t>[...] re wet- en regelgeving onverlet. Tot slot wijs ik u erop, dat u aansprakelijk bent voor alle schade die door het gebruik van deze vergunning aan eigendommen van de gemeente of van anderen mocht worden toegebracht. De burgemeester van Rotterdam, voor deze, &lt;!-- image --&gt; mr. K. Heijnen Teamleider Evenementen Postadres: Postbus 70012 3000 KP Rotterdam ## Directie Veiligheid, Evenementen Website: www.rotterdam.nl E-mail: Telefoon: I [...]</t>
  </si>
  <si>
    <t>ROT_2466e_hoogvliet_Vergunning.txt::Rechtshandeling</t>
  </si>
  <si>
    <t>&lt;!-- image --&gt; ## Geachte In antwoord op het verzoek van 7 juni 2022, deel ik u mede dat er ingevolge artikel 2:25 van de Algemene Plaatselijke Verordening van Rotterdam een vergunning verleend wordt voor: Evenement Categorie : Urban Day winkelcentrum Hoogvliet : A-evenement Datum en tijd(en) evenement : Zaterdag 16 juli 2022 van 12.00 tot 16.00 uur Locatie : Binnenban t.h.v. plein Blo [...]</t>
  </si>
  <si>
    <t>ROT_2466e_hoogvliet_Vergunning.txt::Rechtsobject</t>
  </si>
  <si>
    <t>&lt;!-- image --&gt;
## Geachte
In antwoord op het verzoek van 12 maart 2024, deel ik u mede dat er ingevolge artikel 2:25 van de Algemene Plaatselijke Verordening van Rotterdam een vergunning verleend wordt voor:
Evenement
:  Sprookjes Festival 2024
Categorie
:  A-evenement
Datum en tijd(en) evenement
:   Zaterdag 1 juni 2024 van 10:00 tot 20:30 uur
Locatie
:  Sidelingepark (gelegen in het gedeelte noordelijk van de Baanweg)
Gebied Data en tijden op- en afbouw
:  Overschie
:  Opbouw: Woensdag 29 mei 2024 van 12:00-20:30 uur; Donderdag 30 mei 2024 van 12:00-20:30; Vrijdag 31 mei 2024 van 12:00 tot 20:30 uur Afbouw: Zondag 2 juni 2024 van 13:00 tot 17:00
uur
Bezoekersaantal gelijktijdig
:  250
Tevens verleen ik u ontheffing van het bepaalde in artikel 3, eerste lid van de Zondagswet om gedurende de tijd na 13:00 uur gerucht te verwekken dat op een afstand van meer dan 200 meter van het punt van de geluidsbron hoorbaar is.
Ook verleen ik u op grond van artikel 4, derde lid van de Zondagswet ontheffing van het in artikel 4, eerste lid van de Zondagswet gestelde verbod: 'het is verboden op zondag voor 13:00 uur openbare vermakelijkheden te houden, daartoe gelegenheid te geven of daaraan deel te nemen'.
In dit verband breng ik u onder de aandacht dat ongeacht deze ontheffing onverminderd van kracht blijft artikel 2, eerste lid van de Zondagswet luidende: 'het is verboden op zondag in de nabijheid van kerken of andere gebouwen voor de openbare eredienst in gebruik, zonder strikte noodzaak gerucht te verwekken, waardoor de godsdienstoefening wordt gehinderd'
U dient zorg voor te dragen dat het gaan naar en het huiswaarts keren van kerkdiensten als gevolg van genoemd evenement niet of nagenoeg niet wordt belemmerd.
Ik behoud mij te allen tijde het recht voor om op grond van de openbare orde en veiligheid of omwille van de gezondheid van bezoekers alsnog te besluiten deze vergunning in te trekken c.q. aanvullende voorschriften aan de vergunning te verbinden.
Aan deze vergunning zijn de in de bijlage opgenomen voorschriften verbonden. De in de bijlage opgenomen voorschriften laten verplichtingen van vergunninghouder voortvloeiende uit andere wet- en regelgeving onverlet.
Postadres:
Postbus 70012
3000 KP Rotterdam
## Directie Veiligheid, Evenementen
Website:
www.rotterdam.nl
E-mail:
Telefoon:
Inlichtingen bij :
Kenmerk:
174765-2024
Betreft:
Evenementenvergunning
Datum:
15 mei 2024
&lt;!-- image --&gt;
Tot slot wijs ik u erop, dat u aansprakelijk bent voor alle schade die door het gebruik van deze vergunning aan eigendommen van de gemeente of van anderen mocht worden toegebracht.
De burgemeester van Rotterdam, Voor deze,
Mr. D. Cevik
Plaatsvervangend Teamleider Evenementen
## Bijlage(n) behorende bij de evenementenvergunning
Bijlage I : Voorschriften Bijlage II : Geluidsvoorschriften Bijlage III : Artikelen BBGBOP (niet voor publicatie) Bijlage IV : Veiligheidsplan (niet voor publicatie) Bijlage V : Plattegrond (niet voor publicatie)
## Niet eens met deze beslissing?
Bezwaar maken kan binnen 6 weken na de datum dat dit besluit bekend is gemaakt.
Zo maakt u bezwaar U maakt digitaal bezwaar op www.rotterdam.nl/bezwaar .
Of stuur een brief naar:
Burgemeester van Rotterdam T.a.v. Algemene Bezwaarschriften Commissie Postbus 1011 3000 BA Rotterdam
Zet in uw brief:
- tegen welk besluit u bezwaar maakt, inclusief het kenmerk van dit besluit. Dit staat rechtsboven op de eerste pagina. Of stuur een kopie van het besluit mee;
- waarom u bezwaar maakt;
- de datum waarop u bezwaar maakt.;
- uw naam, adres en handtekening;
- uw telefoonnummer.
Direct in de problemen door dit besluit?
Als u bezwaar maakt, kan het besluit nog wel worden uitgevoerd. Hebt u daardoor direct een ernstig probleem of kunt u de uitkomst van het bezwaar niet afwachten?
U kunt dan een voorlopige beslissing aan de rechter vragen. Dat kan alleen als er sprake is van een spoedeisende situatie. Deze beslissing heet voorlopige voorziening. De rechter beslist hierover. De kosten van een voorlopige voorziening moet u meestal zelf betalen. Krijgt u een voorlopige voorziening van de rechter? Dan voert de gemeente het besluit niet uit, tot u een beslissing op uw ingediende bezwaar hebt gekregen.
U kunt een voorlopige voorziening aanvragen op www.rechtspraak.nl . Zoek op 'voorlopige voorziening bestuursrecht aanvragen'.
Of stuur een brief naar:
Rechtbank Rotterdam Sector Bestuursrecht Postbus 50951 3007 BM Rotterdam
&lt;!-- image --&gt;
&lt;!-- image --&gt;
## Bijlage I; Voorschriften behorende bij de vergunning Sprookjesfestival 1 juni 2024 Sidelingepark (gelegen in het gedeelte noordelijk van de Baanweg) (Overschie) van:
Organisatie :
Naam contactpersoon :
Telefoonnummer :
## Openbare Orde en Veiligheid
- Een vertegenwoordiger van de organisator moet beschikbaar zijn als aanspreekpunt voor de politie. Diens naam en (mobiel) nummer dienen te worden doorgegeven aan de coördinator evenementen van het district Rijnmond Rotterdam, telefoon 0900-8844.
- De vergunninghouder is verplicht deze vergunning op verzoek van een ambtenaar (belast met de zorg voor de naleving van de voorschriften) te laten zien.
- De participanten in het evenement, zoals standhouders, leveranciers, dienen door de organisatie van de voor hen geldende voorschriften in deze vergunning, alsmede de terzake dienende maatregelen in kennis gesteld te zijn.
- Het terrein wordt aanvaard in de staat waarin het zich bevindt; de gemeente kan niet aansprakelijk worden gesteld voor eventuele gevolgen voortvloeiende uit genoemde staat.
- Iedereen is verplicht om op en rond het evenemententerrein alle aanwijzingen, gegeven door (hulp-)diensten in het belang van de openbare orde of veiligheid van personen en goederen, stipt op te volgen.
- De organisatie dient er zorg voor te dragen dat er voldoende geschoold medewerkers aanwezig zijn voor het verlenen van eerste hulp en dient daartoe voldoende middelen voorhanden te hebben.
- De organisatie dient er zorg voor te dragen dat bij doe-activiteiten bedoeld voor kinderen onder de leeftijd van 12 jaar, continue toezicht aanwezig is door een volwassen persoon.
- De vergunninghouder dient voldoende als zodanig herkenbare organisatieleden in te zetten om het evenement in goede banen te leiden.
- Eventueel inzet van particulier toezicht (ook toegangscontrole) op het evenemententerrein moet door een erkend beveiligingsbedrijf worden uitgevoerd met gediplomeerd personeel voorzien van een geldig beveiligingslegitimatiebewijs.
- Beveiligingswerkzaamheden dienen tijdig schriftelijk te worden gemeld bij Bijzondere Wetten afdeling EXO via mailbox: korpscheftaken.rotterdam@politie.nl.
- Het is niet toegestaan om tijdens het evenement alcoholhoudende drank te verstrekken, te nuttigen, te verkopen of aanwezig te hebben.
- De verstrekking van drinkwaren dient te geschieden in (zachte) plastic bekers of kartonnen bekers.
- Bij het plaatsen van bijvoorbeeld voertuigen &amp;amp; fietsen dienen de in-(nood)uitgangen en calamiteitenroute vrij en bereikbaar te blijven.
- Bij foodtrucks/-kramen dient een geschikt blusmiddel (min. 6 kg of liter) geplaatst te worden, de onderlinge afstand en de afstand tot een bouwwerk dient minimaal 2 meter te zijn en minimaal 5 meter tot een tent indien er een frituur op gas wordt gebruikt.
- Een springkussen en/of overige bouwsels dienen op een adequate wijze gezekerd te zijn om wegwaaien en/of losschieten te voorkomen.
- Rondom een springkussen dienen matten geplaatst te worden om verwondingen te voorkomen.
- De organisatie dient proactief melding te doen van dreigende escalatie en andere incidenten die betrekking hebben op openbare orde en veiligheid.
- De organisatie is verantwoordelijk voor een ordelijk verloop van de openbare orde en het bewaken van de veiligheid van het evenemententerrein.
- De organisatie is medeverantwoordelijk voor het bewaren van de orde en de rust in de (directe) omgeving van het evenemententerrein.
&lt;!-- image --&gt;
- Bouwwerken bestemd en ingericht voor facilitaire voorzieningen ten bate van de bezoekers van het evenement, dienen zodanig te worden opgesteld dat publieksstromen op een veilige wijze en op evenredig gespreide wijze kunnen plaatsvinden. Hierbij dient voornamelijk aandacht te worden geschonken aan het voorkomen van plaatsen waar een te grote hoeveelheden bezoekers zich tegelijk op éen locatie bevinden, of waar grote publieksstromen elkaar kruisen.
## Inrichting evenemententerrein
- Alle toegangswegen naar het evenemententerrein inclusief de calamiteitenroute volgens de voorwaarden vanuit bijlage III Artikelen BBGBOP (3. Bereikbaarheid en bluswater) dienen beschikbaar te zijn voor hulpdiensten.
## Verkeer
- Er worden voor (de op-/afbouw van) dit evenement geen wegen of delen ervan afgesloten.
- De voorgenomen activiteiten mogen geen gevaar of hinder opleveren voor voetgangers, omwonenden en het verkeer.
- Parkeeroverlast als gevolg van het evenement moet worden voorkomen. De organisatie dient zorg te dragen voor voldoende parkeergelegenheid (inclusief fietsers) en/of verwijzing daarnaar voor bezoekers van dit evenement.
- De vrije doorgang van openbaar vervoersdiensten mag op geen enkele wijze worden belemmerd.
- Afzetten en reserveren van parkeerplaatsen kan uitsluitend met toestemming van de politie en stadsbeheer Toezicht &amp;amp; Handhaving.
- Het evenement of de activiteiten mogen de bereikbaarheid van woningen, winkels of (horeca)bedrijven niet belemmeren.
- Bij het innemen van parkeervakken is gemeentelijke toestemming vereist en dit kan aangevraagd worden via apostz@rotterdam.nl ovv Sprookjes Festival 01-06-2024 Sidelingepark.
## Plaatsen van podia, tenten, kramen en andere voorwerpen
- De op- en afbouw van het evenement dient te geschieden in overleg met een medewerker van het gebiedskantoor van stadsbeheer.
- Voorafgaand aan het evenement Sprookjes Festival op 1 juni 2024 zal de heer .., beheerder van het Rayon NoordWest van Openbare Werken samen met de organisator een opname maken van de (openbare) buitenruimte. Ook dient de organisator na afronding van de opruimwerkzaamheden de locatie aan de beheerder van het gebied op te leveren, zodat eventuele schades gezamenlijk vastgesteld en vastgelegd kunnen worden. (De heer ..  heeft een afspraak gepland voor een vooren naschouw. De voorschouw staat gepland op 31 mei 2024 om 10:00 uur. De naschouw staat gepland op 3 juni 2024 om 10:00 uur. (Mocht er nog vragen zijn dan kan contact worden opgenomen met de heer E. Bierhuizen, telefoon 06 - ..)
- Vóór aanvang van het evenement dient een aan- en afvoerplan van materiaal en materieel te worden besproken met de daartoe bevoegde medewerker van Openbare Werken, rayonkantoor NoordWest.
- De leveranciers van materiaal en materieel moeten naar de plek begeleid worden door medewerkers van de organisatie in overleg met de daartoe bevoegde medewerker van het rayonkantoor NoordWest.
- Er mogen geen voorwerpen aan bomen worden bevestigd.
- Tenten, podia, kramen en andere voorwerpen moeten opgesteld worden in overleg met Openbare Werken Rayon Noord-West (telefoon 14010). Verankering in de verharding en het gazon middels haringen is niet toegestaan.
- Indien er toestemming is om tenten met grondpennen te verankeren, dient er te allen tijde een klic melding gemaakt te worden (www.kadaster/nl/-/graafmelding.
- Het is niet toegestaan eigendommen van de gemeente te verwijderen en/of te verplaatsen.
- Het plaatsen van vlaggenmasten, bevestigingspunten en banieren in de grond is niet toegestaan.
- Alle voorwerpen dienen in principe los op de grond te worden geplaatst.
&lt;!-- image --&gt;
- Aan eigendommen van de gemeente, zoals hekken, bomen en lantarenpalen mag niets worden bevestigd behoudens in bijzondere gevallen, waarvoor door of vanwege de directeur Openbare Werken gemeente Rotterdam schriftelijk is verklaard dat daartegen geen bezwaren zijn.
- Voertuigen die gebruikt worden op de grasmat mogen geen nokkenbanden hebben, maar dienen voorzien te zijn van gazonbanden met een lage bandenspanning. Dit om spoorvorming op de grasvelden te voorkomen.
- Eventueel ter plaatse aanwezige brandkranen en -putten voor de brandweer direct toegankelijk blijven.
- Afsluiters en ruimtes voor gas, elektra, water en stadsverwarming dienen toegankelijk te blijven.
- Er mogen geen voertuigen geplaatst worden op het gras. Ook tijdelijke opslag is niet toegestaan op het gras.
- Bij horecavoorzieningen op grasvakken moet gebruik worden gemaakt van loopplanken om beschadiging van het gras te voorkomen.
- Als er grote concentraties mensen verwacht worden, moet het gras met loopplanken beschermd worden.
- Indien het nodig is om de gazons te betreden met voertuigen, dit eerst te bespreken met een beheerder van het rayonkantoor.
- Het is niet toegestaan om binnen de kroonprojecties van de bomen te rijden, voertuigen te parkeren en/of deze ruimte als opslaglocatie te gebruiken.
- Aggregaten mogen niet onder of in de nabijheid van bomen worden geplaatst.
- Indien er afvalwater geloosd moet worden, dient dit in overleg met stadsbeheer ingeregeld te worden. Stadsbeheer geeft de te gebruiken putten aan. Het lozen op een kolk is niet toegestaan.
## Afval en milieu
- De organisator/vergunninghouder is verantwoordelijk voor het veegschoon houden van het evenementengebied.
- Tijdens het evenement dient de organisator/vergunninghouder afvalbakken te plaatsen op het evenemententerrein en langs de aan en aflooproute. De containers/ afvalbakken moeten afsluitbaar zijn doormiddel van een deksel. De organisator/ vergunninghouder dient de afvalbakken regelmatig te legen.
- De organisator dient afval reducerende maatregelen te nemen zoals bijvoorbeeld een beker retour systeem.
- De organisator/vergunninghouder dient direct na afloop het evenementen terrein en de buitenruimte vanaf de grens buitenkant plus 250 meter veegschoon op te leveren. Indien het verwijderen van het afval niet in eigen beheer kan geschieden, dient tijdig contact met Stadsbeheer Schone Stad (e-mail: schonestadverkoopsb@rotterdam.nl) te worden opgenomen.
- Gemeentelijke afvalkorven, die als gevolg van het evenement, overlopen dienen door de organisator/vergunninghouder te worden "afgeroomd".
- Het is de organisator/ vergunninghouder niet toegestaan afval te deponeren in de gemeentelijke, voor publieke en huishoudens bedoelde, afvalinzameling faciliteiten.
- Bij eetkramen of foodtrucks moet de organisator/ vergunninghouder voorzieningen treffen die voorkomen dat de ondergrond vervuild of beschadigd raakt.
- Eventuele extra kosten die gemaakt worden om de buitenruimte weer op het oorspronkelijke schoonniveau te brengen kunnen achteraf worden doorbelast aan de organisatie.
- De organisator dient rekening te houden met het te verwachten aantal bezoekers zorg te dragen voor voldoende sanitaire voorzieningen.
## Aansprakelijkheid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&lt;!-- image --&gt;
&lt;!-- image --&gt;
## Bijlage II: geluidsvoorschriften bij de evenementenvergunning Sprookjesfestival 1 juni 2024 - Sidelingepark (gelegen in het gedeelte noordelijk van de Baanweg) (Overschie)
Om overmatige geluidoverlast te voorkomen zijn aan de voorliggende evenementenvergunning krachtens de APV de volgende geluidvoorschriften verbonden voor de duur van het evenement:
## Algemene zorgplicht
1. Muziek en ander geluid, al dan niet elektronisch versterkt, mogen geen ernstige of onnodige geluidoverlast voor de omgeving veroorzaken; indien van dergelijke geluidoverlast mocht blijken, is de politie bevoegd de geluiduitzending te doen onderbreken en een verminderd geluidniveau aan te geven, dan wel - in geval van herhaling - voortijdig te doen beëindigen.
Bovendien is de politie bevoegd bij overtreding van de voorschriften strafrechtelijk op te treden.
## Grenswaarden geluidniveaus
2. Het equivalente geluidniveau gedurende 1 minuut (Leq,1 min) veroorzaakt door de versterkte weergave van muziek en stemgeluid mag ter plaatse van de gevel (invallend geluid) van de omliggende woningen en andere geluidgevoelige gebouwen en terreinen in de omgeving niet meer bedragen dan:
65 dB(A) en 75 dB(C) in de uren, waarin het evenement plaatsvindt.
## Meet- en beoordelingsmethode
3. Het meten en berekenen van de geluidniveaus en het beoordelen van de meetresultaten moet plaatsvinden overeenkomstig de Handleiding meten en rekenen Industrielawaai 1999.
4. In afwijking van de Handleiding meten en rekenen Industrielawaai hoeft voor de beoordeling van het equivalente geluidniveau van muziekgeluid geen toeslag van 10 dB toegepast te worden, voordat getoetst wordt aan de grenswaarden uit voorschrift 2.
## Eindtijd
5. Het versterkt ten gehore brengen van muziek en ander geluid dient op 1 juni 2024 om uiterlijk 20:30 uur te worden beëindigd.
## Muziekinstallatie en monitoring
6. Het geluidniveau, dat voortgebracht wordt door de geluidapparatuur, moet gedurende het gehele evenement door een geluidtechnicus gemonitord worden. De geluidtechnicus moet hiervoor bij de mengtafel over een geluidniveaumeter (type 1, 2 of 3) beschikken, die geschikt is voor geluidmetingen van de dB(A)- en dB(C)-geluidniveau.
Ter plaatse van de mengtafel moeten de van toepassing zijnde geluidgrenswaarden duidelijk vermeld worden (bijvoorbeeld door het vastplakken op de mengtafel van gaffer tape of een geplastificeerde kaart, waarop de grenswaarden vermeld zijn). Als de geluidgrenswaarden overschreden worden, moet de geluidtechnicus het geluidniveau verminderen.
De geluidtechnicus moet de aanwijzingen van de politie of van een namens de vergunningverlener controlerende instantie voor een wijziging van de instellingen van de apparatuur stipt en onmiddellijk opvolgen en tot nader order uitvoeren.
&lt;!-- image --&gt;
7. De luidsprekers moeten zodanig opgesteld worden, dat de geluidproductie zoveel mogelijk van de gevels van de dichtstbij gelegen woningen en andere geluidgevoelige gebouwen en terreinen (ziekenhuizen, bejaardentehuizen etc.) afgericht is en gericht is naar het publiek op het evenemententerrein.
## Op- en afbouw
8. Het opbouwen en het afbreken van het evenement moet zoveel mogelijk plaatsvinden in de uren gelegen tussen 08:00 en 23:00 uur. In ieder geval mogen tussen 23:00 en 08:00 uur geen overlast veroorzakende opbouw- of afbreekactiviteiten uitgevoerd worden in de nabijheid van woningen en andere geluidgevoelige gebouwen en terreinen.
## Bewonersbrief
9. Bewoners van nabijgelegen woningen en andere geluidgevoelige gebouwen en terreinen en werknemers van omliggende bedrijven moeten tenminste een week voordat het evenement plaatsvindt schriftelijk geïnformeerd worden door de vergunninghouder over de te ondernemen activiteiten.
Hierbij moeten de tijdstippen van het evenement, evenals mogelijke overlast veroorzakende activiteiten of beperkingen kenbaar gemaakt worden.
Tevens moet minimaal één telefoonnummer worden vermeld, waarop aanvullende informatie te verkrijgen is.
Verder moet vermeld worden dat bij geluidoverlast contact gezocht kan worden met de Meldkamer van DCMR Milieudienst Rijnmond, telefoonnummer 0888-333 555 (24 uur per dag bereikbaar) of via https://www.dcmr.nl/melding-maken.
De informatiebrief moet tenminste verspreid worden naar de woningen, andere geluidgevoelige gebouwen en terreinen en bedrijven aan/in het in onderstaand aangegeven gebied:
- -Bewoners van nabijgelegen woningen en andere geluidgevoelige gebouwen en terreinen en werknemers van omliggende bedrijven rond het evenement.
Een afschrift van de informatiebrief moet gestuurd worden naar DCMR Milieudienst Rijnmond, t.a.v. de Meldkamer via info@dcmr.nl.
## Toelichting:
Onder 'andere geluidgevoelige gebouwen en terreinen' vallen onderwijsgebouwen, ziekenhuizen en verpleeghuizen, verzorgingstehuizen, psychiatrische inrichtingen, kinderdagverblijven, woonwagenstandplaatsen en bestemde ligplaatsen voor woonschepen.
Bij een groot aantal woningen in een flatgebouw is het wellicht aan te bevelen gebruik te maken van posters die in de entreehal nabij de brievenbussen goed zichtbaar worden opgehangen.</t>
  </si>
  <si>
    <t>&lt;!-- image --&gt; ## Geachte In antwoord op het verzoek van 7 juni 2022, deel ik u mede dat er ingevolge artikel 2:25 van de Algemene Plaatselijke Verordening van Rotterdam een vergunning verleend wordt voor: Evenement Categorie : Urban Day winkelcentrum Hoogvliet : A-evenement Datum en tijd(en) evenement : Zaterdag 16 juli 2022 van 12.00 tot 16.00 uur Locatie : Binnenban t.h.v. [...]</t>
  </si>
  <si>
    <t>&lt;!-- image --&gt;
Geachte ,
In antwoord op het verzoek van 11-4-2023, deel ik u mede dat er ingevolge artikel 2:25 van de Algemene Plaatselijke Verordening van Rotterdam een vergunning verleend wordt voor:
Evenement Categorie
:  Sint Jansfeest
:  A-evenement
Datum en tijd(en) evenement Locatie
:   Vrijdag 23-6-2023 van 11.00 uur tot 13.00 uur
:  Michelangelostraat 375 ter hoogte van Prinsenpark
Gebied Data en tijden op- en afbouw
:  Prins Alexander
:  Opbouw:
Vrijdag 23-6-2023 van 9.30 uur tot 11.00 uur
Afbouw:
Vrijdag 23-6-2023 van 12:30 tot 13.00 uur
Bezoekersaantal
:  151 - 200 tegelijkertijd
Ik behoud mij te allen tijde het recht voor om op grond van de openbare orde en veiligheid of omwille van de gezondheid van bezoekers alsnog te besluiten deze vergunning in te trekken c.q. aanvullende voorschriften aan de vergunning te verbinden.
Aan deze vergunning zijn de in de bijlage opgenomen voorschriften verbonden. De in de bijlage opgenomen voorschriften laten verplichtingen van vergunninghouder voortvloeiende uit andere wet- en regelgeving onverlet.
Tot slot wijs ik u erop, dat u aansprakelijk bent voor alle schade die door het gebruik van deze vergunning aan eigendommen van de gemeente of van anderen mocht worden toegebracht.
De burgemeester van Rotterdam, Voor deze,
&lt;!-- image --&gt;
M. van Wageningen-Bouaddi Teamleider Evenementen
Postadres:
Postbus 70012
3000 KP Rotterdam
Directie Veiligheid, Evenementen
Website:
www.rotterdam.nl
E-mail:
Telefoon:
Inlichtingen bij:
Kenmerk:
247647-2023
Betreft:
Evenementenvergunning
Datum:
24-4-2023
## Bijlage(n) behorende bij de evenementenvergunning
| Bijlage I   | : Voorschriften                          |
|-------------|------------------------------------------|
| Bijlage II  | : Geluidsvoorschriften                   |
| Bijlage III | : Artikelen BBGBOP                       |
| Bijlage III | : Situatietekening (niet ter publicatie) |
| Bijlage IV  | : Veiligheidsplan (niet ter publicatie)  |
| Bijlage V   | : Draaiboek (niet ter publicatie)        |
## Niet eens met deze beslissing?
Dan kunt u, of een andere belanghebbende, een bezwaarschrift indienen. Dit moet binnen zes weken na de bekendmaking van het besluit. U stuurt het bezwaarschrift naar:
##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ook digitaal indienen op Rotterdam.nl/pdc:bezwaar indienen, m.b.v. het webformulier (zie 'mijn loket'). Hiervoor is nodig een DigiD-code, of voor bedrijven een E-herkenning, die kan worden aangevraagd via digid.nl, respectievelijk eherkenning.nl. U kunt het bezwaarschrift niet op een andere digitale wijze, bijvoorbeeld per e-mail, indienen. Zie voor meer informatie www.rechtspraak.nl.
&lt;!-- image --&gt;
## Bijlage I; Voorschriften behorende bij de evenementenvergunning van:
Organisatie :
Naam contactpersoon :
Telefoonnummer contactpersoon :
## Aanvullende voorwaarden
- Alle toegangswegen naar het evenemententerrein inclusief de calamiteitenroute volgens de voorwaarden vanuit bijlage 3 dienen beschikbaar te zijn voor hulpdiensten.
- EHBO, dient aan de eisen veldnorm te voldoen.
- Er is toezicht bij het springen door een volwassene, die direct kan handelen bij incidenten.
- Er dient meer dan voldoende water aanwezig te zijn die behalve voor blussing, ook direct voor koeling kan zorgdragen bij incidenten (schoon Water).
- Tenten, podia, kramen en andere voorwerpen moeten worden opgesteld in overleg met Openbare Werken Rayon Noord Buiten de Ring. Verankering in verharding en gazon, middels haringen is niet toegestaan.
- Indien er toestemming is om tenten met grondpennen te verankeren, dient er te allen tijde een Klic melding gemaakt te worden (www.kadaster.nl//graafmelding).
## Openbare Orde en Veiligheid
- Een vertegenwoordiger van de organisator moet beschikbaar zijn als aanspreekpunt voor de politie. Diens naam en (mobiel) nummer dienen te worden doorgegeven aan de coördinator evenementen van het district Rijnmond Oost van de Eenheid Rotterdam, telefoon 0900-8844, of middels evenementen.rijnmond-oost@politie.nl of in de vergunning te worden opgenomen.
- De vergunninghouder is verplicht deze vergunning op verzoek van een ambtenaar (belast met de zorg voor de naleving van de voorschriften) te laten zien.
- Het parcours/terrein wordt aanvaard in de staat waarin het zich bevindt; de gemeente kan niet aansprakelijk worden gesteld voor eventuele gevolgen voortvloeiende uit genoemde staat.
- Iedereen is verplicht om op en rond het evenemententerrein alle aanwijzingen, gegeven door (hulp-)diensten in het belang van de openbare orde of veiligheid van personen en goederen, stipt op te volgen.
- Eventueel inzet van particulier toezicht (ook toegangscontrole) op het evenemententerrein moet door een erkend beveiligingsbedrijf worden uitgevoerd met gediplomeerd personeel voorzien van een geldig beveiligingslegitimatiebewijs.
- Beveiligingswerkzaamheden dienen tijdig schriftelijk te worden gemeld bij Bijzondere Wetten afdeling EXO via mailbox: korpscheftaken.rotterdam@politie.nl.
## Inrichting evenemententerrein
- De diverse objecten, podium ed. dienen zodanig geplaatst te worden dat er voldoende ruimte overblijft voor de deelnemers om bij calamiteiten vluchtwegen te hebben.
- Het evenemententerrein dient te allen tijde bereikbaar te zijn voor hulpdiensten.
## Verkeer
- De vrije doorgang van openbaar vervoersdiensten mag op geen enkele wijze worden belemmerd.
- Het evenement of de activiteiten mogen de bereikbaarheid van woningen, winkels of (horeca)bedrijven niet belemmeren.
- Alle verkeersmaatregelen (redactieborden, etc.) worden uiterlijk 72 uur voorafgaand aan het evenement geplaatst en uiterlijk 48 uur na afloop van het evenement verwijderd.
&lt;!-- image --&gt;
&lt;!-- image --&gt;
- Begeleidende voertuigen (belast met de aanvoer van het eventueel benodigde materialen) mogen op het terrein aanwezig zijn als desbetreffend voertuig actief wordt gelost of geladen.
- Voertuigen van medewerkers mogen niet op het terrein geparkeerd worden en dienen gebruik te maken van de bestaande voorzieningen zoals parkeergarages en andere parkeervoorzieningen.
- Voor eventuele benodigde parkeervergunningen en/of ontheffingen kan men mailen naar apostz@rotterdam.nl of bellen naar 14010.
- De verkeersregelaars moeten 1 week voor aanvang van het evenement bij het team Verkeersregie worden aangemeld om toestemming te verkrijgen (teamverkeersregie@rotterdam.nl). Ook verkeersregelaars met een landelijke aanstelling of evenementenverkeersregelaars met een jaaraanstelling moeten zich bij het Team Verkeersregie aanmelden.
## Plaatsen van podia, tenten, kramen en andere voorwerpen
- Het is verboden eigendommen van de gemeente te verwijderen; alle voorwerpen dienen in principe los op de ondergrond te worden geplaatst.
- Aan eigendommen van de gemeente, zoals hekken, bomen en lantarenpalen mag niets worden bevestigd.
- Eventueel ter plaatse aanwezige brandkranen en -putten voor de brandweer direct toegankelijk blijven.
## Afval en milieu
- De organisator/vergunninghouder is verantwoordelijk voor het veegschoon houden van het evenementengebied.
- Tijdens het evenement dient de organisator/vergunninghouder afvalbakken te plaatsen op het evenemententerrein en langs de aan en aflooproute. De containers/ afvalbakken moeten afsluitbaar zijn doormiddel van een deksel. De organisator/ vergunninghouder dient de afvalbakken regelmatig te legen.
- De organisator/vergunninghouder dient direct na afloop het evenementen terrein en de buitenruimte vanaf de grens buitenkant plus 250 meter veegschoon op te leveren. Indien het verwijderen van het afval niet in eigen beheer kan geschieden, dient tijdig contact met Stadsbeheer Schone Stad (e-mail: schonestadverkoopsb@rotterdam.nl) te worden opgenomen.
- Gemeentelijke afvalkorven, die als gevolg van het evenement, overlopen dienen door de organisator/vergunninghouder te worden "afgeroomd".
- Het is de organisator/ vergunninghouder niet toegestaan afval te deponeren in de gemeentelijke, voor publieke en huishoudens bedoelde, afvalinzameling faciliteiten.
- Bij eetkramen of foodtrucks moet de organisator/ vergunninghouder voorzieningen treffen die voorkomen dat de ondergrond vervuild of beschadigd raakt.
- Eventuele extra kosten die gemaakt worden om de buitenruimte weer op het oorspronkelijke schoonniveau te brengen kunnen achteraf worden doorbelast aan de organisatie.
- De organisator dient rekening te houden met het te verwachten aantal bezoekers zorg te dragen voor voldoende sanitaire voorzieningen.
## Bewonersinformatie
Bewoners van nabijgelegen woningen en bedrijven moeten vooraf worden geïnformeerd over het evenement en de te organiseren activiteiten, door middel van een bewonersbrief. Deze bewonersbrief bevat tenminste de volgende informatie:
- Datum(s) en tijd(en) evenement.
- Datum(s) en tijd(en) op- en afbouw.
- Verkeersmaatregelen (locaties en tijden van o.a. afsluitingen).
- Parkeerbeperkingen (locaties en tijden).
- Regeling doorlaatbewijzen en regeling voor bewoners met parkeervergunningen.
- Consequenties voor het openbaar vervoer.
- Bereikbaarheid van het evenement per openbaar vervoer.
- P+R terreinen die voor het evenement van belang zijn.
- Internetsite waar extra informatie te vinden is.
- Telefoonnummer van de organisatie waarop informatie verkrijgbaar is (ook op de dag zelf).
- Telefoonnummer van de Meldkamer van de DCMR Milieudienst Rijnmond (0888333555, 24 uur per dag bereikbaar) waar contact mee kan worden gezocht bij geluidsoverlast.
- De organisatie levert uiterlijk 7 dagen van tevoren een kopie van bovengenoemde bewonersbrief (incl. de locaties waar deze brief is verspreid door middel van opgave postcodegebieden) aan Team Evenementen (Postbus 70012, 3000 KP Rotterdam) en DCMR Milieudienst Rijnmond (t.a.v. de Meldkamer en Bureau Geluid, Postbus 843, 3100 AV Schiedam).
## Aansprakelijkheid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&lt;!-- image --&gt;
&lt;!-- image --&gt;
## Bijlage II: geluidsvoorschriften bij de evenementenvergunning voor 'Sint Jansfeest' d.d. vrijdag 23-6-2023 van 11.00 uur tot 13.00 uur
Om overmatige geluidsoverlast te voorkomen zijn aan deze evenementenvergunning krachtens de APV-geluidsvoorwaarden verbonden voor de duur van het evenement:
1. Muziek en ander geluid, al dan niet mechanisch/elektronisch versterkt, mogen geen ernstige geluidsoverlast voor de omgeving veroorzaken; indien van dergelijke geluidsoverlast mocht blijken, is de politie bevoegd de geluidsuitzending te doen onderbreken en een verminderd geluidsniveau aan te geven; dan wel - in geval van herhaling - voortijdig te doen beëindigen. Bovendien is de politie bevoegd bij overtreding van de voorschriften strafrechtelijk op te treden.
2. Het opbouwen en het afbreken van het evenement dient zoveel mogelijk plaats te vinden in de uren gelegen tussen 08.00 en 23.00 uur. In ieder geval mogen tussen 23.00 en 08.00 uur geen overlast veroorzakende opbouw- of afbreekactiviteiten uitgevoerd worden.</t>
  </si>
  <si>
    <t>ROT_2487e_hoogvliet_Vergunning.txt::Besluitvormend Orgaan</t>
  </si>
  <si>
    <t>De burgemeester van Rotterdam [2755:2784]</t>
  </si>
  <si>
    <t>[...] re wet- en regelgeving onverlet. Tot slot wijs ik u erop, dat u aansprakelijk bent voor alle schade die door het gebruik van deze vergunning aan eigendommen van de gemeente of van anderen mocht worden toegebracht. De burgemeester van Rotterdam, Voor deze, mr. K. Heijnen Teamleider Evenementen &lt;!-- image --&gt; ## Bijlage(n) behorende bij de evenementenvergunning Bijlage I : Voorschriften Bijlage II : Geluidsvoorschriften Bijlage III : [...]</t>
  </si>
  <si>
    <t>ROT_2487e_hoogvliet_Vergunning.txt::Rechtshandeling</t>
  </si>
  <si>
    <t>verleend [196:205]</t>
  </si>
  <si>
    <t>verleend [196:204]</t>
  </si>
  <si>
    <t>&lt;!-- image --&gt; ## Geachte heer In antwoord op uw verzoek d.d. 9 juni 2021 deel ik u mede, dat er ingevolge artikel 2:25 van de Algemene Plaatselijke Verordening van Rotterdam een vergunning verleend wordt voor: Evenement : Circus in de Zorg Type evenement : Evenement met coronatoegangsbewijs Categorie : A-evenement Datum en tijden evenement : Vrijdag 8 oktober 2021 en zaterdag 9 oktober [...]</t>
  </si>
  <si>
    <t>ROT_2487e_hoogvliet_Vergunning.txt::Rechtsobject</t>
  </si>
  <si>
    <t>&lt;!-- image --&gt;
## Geachte heer, mevrouw
In antwoord op het verzoek van 04 november 2021, deel ik u mede dat er ingevolge artikel 2:25 van de Algemene Plaatselijke Verordening van Rotterdam een vergunning verleend wordt voor:
Evenement
:  Sinterklaasfeest
Categorie
:  A-evenement met coronatoegangsbewijs
Datum en tijd(en) evenement
:    Zaterdag 4 december 2021 van 13:30 uur t/m 15:00 uur.
Locatie
:  Hanrathstraat 46, ter hoogte van speeltuin Lage Land
Gebied
:  Prins Alexander
Data en tijden op- en afbouw
:  Opbouw
Van 04-12-2021
Dag 1: van 10:00 uur tot 12:00 uur.
## Afbouw
Van 04-12-2021 t/m
Dag 1: van 15:00 uur tot 16:30 uur.
Bezoekersaantal
:  Maximaal 150
## COVID-19
De wereldwijde pandemie van COVID-19 heeft grote impact op de samenleving. Om de verspreiding van het virus zoveel mogelijk in te dammen zijn diverse maatregelen van kracht. Per 13 november 2021 geldt dat evenementen enkel zijn toegestaan indien wordt gewerkt met coronatoegangsbewijzen. Tevens mogen evenementen alleen georganiseerd worden indien
Postadres:
Postbus 70012
3000 KP Rotterdam
Directie Veiligheid, Evenementen
Website:
www.rotterdam.nl
E-mail:
Telefoon:
Inlichtingen bij:
Kenmerk:
0599ESUITE6808572021
Betreft:
Evenementenvergunning
Datum:
01 december 2021
&lt;!-- image --&gt;
bezoekers geplaceerd zijn. Uitzondering op geplaceerde evenementen zijn doorstroomevenementen.
Vanwege COVID-19 dienen er nog steeds extra (gezondheids) maatregelen te worden getroffen door de organisator. U dient aan te tonen op welke manier u invulling geeft aan de algemene regels. Het door u aangeleverde Veiligheidsplan inclusief Coronaplan bijlage V voor dit evenement toont aan dat u voldoende extra maatregelen treft om het evenement op een veilige wijze te laten plaatsvinden. De extra maatregelen zijn passend en voldoen aan de gestelde eisen zoals vermeld in de Tijdelijke Regeling Maatregelen COVID-19.
Ik behoud mij te allen tijde het recht voor om op grond van de openbare orde en veiligheid of omwille van de gezondheid van bezoekers alsnog te besluiten deze vergunning in te trekken c.q. aanvullende voorschriften aan de vergunning te verbinden. Ook de extra maatregelen ten aanzien van COVID-19 zijn aan veranderingen onderhevig waardoor aanvullende voorwaarden gesteld kunnen worden.
Aan deze vergunning zijn de in de bijlage opgenomen voorschriften verbonden. De in de bijlage opgenomen voorschriften laten verplichtingen van vergunninghouder voortvloeiende uit andere wet- en regelgeving onverlet.
Tot slot wijs ik u erop, dat u aansprakelijk bent voor alle schade die door het gebruik van deze vergunning aan eigendommen van de gemeente of van anderen mocht worden toegebracht.
Wij vertrouwen erop u hierbij voldoende te hebben geïnformeerd.
Namens de burgemeester van Rotterdam,
mr. K. Heijnen Teamleider Evenementen
&lt;!-- image --&gt;
## Bijlage(n) behorende bij de evenementenvergunning
Bijlage I
: Voorschriften
Bijlage II
: Geluidsvoorschriften
Bijlage III
: Artikelen BGBOP
Bijlage IV
: Veiligheidsplan en situatietekening (niet ter publicatie)
Bijlage V
: Draaiboek (niet ter publicatie)
## Niet eens met deze beslissing?
Dan kunt u, of een andere belanghebbende, een bezwaarschrift indienen. Dit moet binnen zes weken na de bekendmaking van het besluit. U stuurt het bezwaarschrift naar:
##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ook digitaal indienen op Rotterdam.nl/pdc:bezwaar indienen, m.b.v. het webformulier (zie 'mijn loket'). Hiervoor is nodig een DigiD-code, of voor bedrijven een E-herkenning, die kan worden aangevraagd via digid.nl, respectievelijk eherkenning.nl. U kunt het bezwaarschrift niet op een andere digitale wijze, bijvoorbeeld per e-mail, indienen. Zie voor meer informatie www.rechtspraak.nl.
&lt;!-- image --&gt;
## Bijlage I; Voorschriften behorende bij de evenementenvergunning van:
Organisatie :
Naam contactpersoon :
Telefoonnummer contactpersoon werk  :
## Openbare Orde en Veiligheid
- De organisator ziet erop toe dat te allen tijde voldaan wordt aan de van kracht zijnde wetgeving en de richtlijnen van het RIVM.
- De organisator is te allen tijde verantwoordelijk voor een juiste uitvoering van het evenement en de daarbij behorende plannen die een onderdeel uitmaken van de verleende vergunning.
- De organisator zorgt dat bezoekers te allen tijde 1,5meter afstand kunnen houden en draagt zorgt voor 1,5 meter afstand tussen bezoekers en waakt voor overcrowding.
- Organisator ziet erop toe dat de aankomst van bezoekers en ook de uitstroom op een rustige manier verloopt.
- De organisatie voorziet het evenemententerrein van huisregels met daarin opgenomen de Covid-19 maatregelen. Bezoekers worden zowel vooraf als ter plaatse door de organisatie hierover geïnformeerd.
- Een vertegenwoordiger van de organisator moet beschikbaar zijn als aanspreekpunt voor de politie. Diens naam en (mobiel) nummer dienen te worden doorgegeven aan de coördinator evenementen van het district Rijnmond Oost van de eenheid Rotterdam, telefoon 0900-8844 of middels evenementen.rijnmond-oost@politie.nl
- De vergunninghouder is verplicht deze vergunning op verzoek van een ambtenaar (belast met de zorg voor de naleving van de voorschriften) te laten zien.
- Het terrein wordt aanvaard in de staat waarin het zich bevindt; de gemeente kan niet aansprakelijk worden gesteld voor eventuele gevolgen voortvloeiende uit genoemde staat.
- Iedereen is verplicht om op en rond het evenemententerrein alle aanwijzingen, gegeven door (hulp)diensten in het belang van de openbare orde of veiligheid van personen en goederen, stipt op te volgen.
- Eventueel inzet van particulier toezicht (ook toegangscontrole) op het evenemententerrein moet door een erkend beveiligingsbedrijf worden uitgevoerd met gediplomeerd personeel voorzien van een geldig beveiligingslegitimatiebewijs.
- Beveiligingswerkzaamheden dienen tijdig schriftelijk te worden gemeld bij Bijzondere Wetten afdeling EXO via mailbox: korpscheftaken.rotterdam@politie.nl.
- Een evenemententerrein dient duidelijk herkenbaar te zijn afgescheiden van de openbare weg.
## Verkeer
- De vrije doorgang van openbaar vervoersdiensten mag op geen enkele wijze worden belemmerd.
- Het evenement of de activiteiten mogen de bereikbaarheid van woningen, winkels of (horeca)bedrijven niet belemmeren.
- Alle verkeersmaatregelen (redactieborden, etc.) worden uiterlijk 72 uur voorafgaand aan het evenement geplaatst en uiterlijk 48 uur na afloop van het evenement verwijderd.
- Begeleidende voertuigen (belast met de aanvoer van het eventueel benodigde materialen) mogen op het terrein aanwezig zijn als desbetreffend voertuig actief wordt gelost of geladen.
- Voertuigen van medewerkers mogen niet op het terrein geparkeerd worden en dienen gebruik te maken van de bestaande voorzieningen zoals parkeergarages en andere parkeervoorzieningen.
- Voor eventuele benodigde parkeervergunningen en / of ontheffingen kan men mailen naar apostz@rotterdam.nl of bellen naar 14010.
&lt;!-- image --&gt;
&lt;!-- image --&gt;
- Verkeersregelaars moeten 1 week voor aanvang van het evenement bij de Verkeersmarinier worden aangemeld om hun aanstelling te verkrijgen. Telefoonnummer 010-26 78 450 / e-mailadres: teamverkeersregie@rotterdam.nl. Ook verkeersregelaars met een landelijke aanstelling of evenementenverkeersregelaars met een jaaraanstelling moeten bij de Verkeersmarinier aangemeld worden.
## Plaatsen van podia, tenten, kramen en andere
- Het is verboden eigendommen van de gemeente te verwijderen; alle voorwerpen dienen in principe los op de ondergrond te worden geplaatst.
- Aan eigendommen van de gemeente, zoals hekken, bomen en lantarenpalen mag niets worden bevestigd.
- Eventueel ter plaatse aanwezige brandkranen en -putten voor de brandweer direct toegankelijk blijven.
## Afval en milieu
- De organisator / vergunninghouder is verantwoordelijk voor het veegschoon houden van het evenementengebied.
- Tijdens het evenement dient de organisator / vergunninghouder afvalbakken te plaatsen op het evenemententerrein en langs de aan en aflooproute. De containers / afvalbakken moeten afsluitbaar zijn doormiddel van een deksel. De organisator / vergunninghouder dient de afvalbakken regelmatig te legen.
- De organisator / vergunninghouder dient direct na afloop het evenementen terrein en de buitenruimte vanaf de grens buitenkant plus 250 meter veegschoon op te leveren.
- Gemeentelijke afvalkorven, die als gevolg van het evenement, overlopen dienen door de organisator / vergunninghouder te worden "afgeroomd".
- Het is de organisator / vergunninghouder niet toegestaan afval te deponeren in de gemeentelijke, voor publieke en huishoudens bedoelde, afvalinzameling faciliteiten.
- Bij eetkramen of foodtrucks moet de organisator / vergunninghouder voorzieningen treffen die voorkomen dat de ondergrond vervuild of beschadigd raakt.
- Eventuele extra kosten die gemaakt worden om de buitenruimte weer op het oorspronkelijke schoonniveau te brengen kunnen achteraf worden doorbelast aan de organisatie.
## Bewonersinformatie
Bewoners van nabij gelegen woningen en bedrijven moeten vooraf worden geïnformeerd over het evenement en de te organiseren activiteiten, door middel van een bewonersbrief. Deze bewonersbrief bevat tenminste de volgende informatie:
- Datum(s) en tijd(en) evenement.
- Datum(s) en tijd(en) op- en afbouw.
- Verkeersmaatregelen (locaties en tijden van o.a. afsluitingen).
- Parkeerbeperkingen (locaties en tijden).
- Regeling doorlaatbewijzen en regeling voor bewoners met parkeervergunningen.
- Consequenties voor het openbaar vervoer.
- Bereikbaarheid van het evenement per openbaar vervoer.
- P+R terreinen die voor het evenement van belang zijn.
- Internetsite waar extra informatie te vinden is.
- Telefoonnummer van de organisatie waarop informatie verkrijgbaar is (ook op de dag zelf).
- Telefoonnummer van de Meldkamer van de DCMR Milieudienst Rijnmond (0888333555, 24 uur per dag bereikbaar) waar contact mee kan worden gezocht bij geluidsoverlast.
- De organisatie levert uiterlijk 4 dagen van tevoren een kopie van bovengenoemde bewonersbrief (incl. de locaties waar deze brief is verspreid door middel van opgave postcodegebieden) aan Team Evenementen (Postbus 70012, 3000 KP Rotterdam) en DCMR Milieudienst Rijnmond (t.a.v. de Meldkamer en Bureau Geluid, Postbus 843, 3100 AV Schiedam).
## Aansprakelijkheid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 Bijlage II: geluidsvoorschriften bij de evenementenvergunning voor Sinterklaasfeest op 4 december 2021.
Om overmatige geluidsoverlast te voorkomen zijn aan deze evenementenvergunning krachtens de APV geluidsvoorwaarden verbonden voor de duur van het evenement:
1. Muziek en ander geluid, al dan niet mechanisch/elektronisch versterkt, mogen geen ernstige geluidsoverlast voor de omgeving veroorzaken; indien van dergelijke geluidsoverlast mocht blijken, is de politie bevoegd de geluidsuitzending te doen onderbreken en een verminderd geluidsniveau aan te geven; dan wel - in geval van herhaling - voortijdig te doen beëindigen. Bovendien is de politie bevoegd bij overtreding van de voorschriften strafrechtelijk op te treden.
3. Het meten en berekenen van de geluidniveaus, en het beoordelen van de meetresultaten moet plaatsvinden overeenkomstig de Meet- en rekenvoorschriften industrielawaai.
4. In afwijking van de Meet- en rekenvoorschriften industrielawaai hoeft voor de beoordeling van het equivalente geluidsniveau gedurende 1 minuut (Leq,1 min) van muziekgeluid geen verhoging van 10 dB toegepast te worden, voordat getoetst wordt aan de normwaarde uit voorschrift 2.
2. Het equivalente geluidsniveau gedurende 1 minuut (Leq,1 min) veroorzaakt door de aangevraagde activiteiten en de bij de aangevraagde activiteiten betrokken toestellen en installaties, te weten:
- [ ] muziek door middel van een geluidsinstallatie
mag op 5 meter afstand van de geluidsbron niet meer bedragen dan:
90 dB(A) in de uren, waarin het evenement plaatsvindt.
&lt;!-- image --&gt;
&lt;!-- image --&gt;
5. De luidsprekers dienen dusdanig opgesteld te worden, zodat de geluidproductie zoveel mogelijk naar het bedoelde publiek op het evenemententerrein gericht is. Ten behoeve van de doorstroming van verkeer op de stoep of de rijbaan dienen tevens de aanwijzingen van de politie met betrekking tot de opstelling van de luidsprekers opgevolgd te worden.
6. Het opbouwen en het afbreken van het evenement dient zoveel mogelijk plaats te vinden in de uren gelegen tussen 08.00 en 23.00 uur. In ieder geval mogen tussen 23.00 en 08.00 uur geen overlastveroorzakende opbouw- of afbreekactiviteiten uitgevoerd worden.
7. De plaatsing van het podium dient op een dusdanig manier te geschieden dat omwonenden zo min mogelijk worden belast met de 'geluidsstraling'.</t>
  </si>
  <si>
    <t>vergunning [185:196]</t>
  </si>
  <si>
    <t>vergunning [185:195]</t>
  </si>
  <si>
    <t>&lt;!-- image --&gt; ## Geachte heer In antwoord op uw verzoek d.d. 9 juni 2021 deel ik u mede, dat er ingevolge artikel 2:25 van de Algemene Plaatselijke Verordening van Rotterdam een vergunning verleend wordt voor: Evenement : Circus in de Zorg Type evenement : Evenement met coronatoegangsbewijs Categorie : A-evenement Datum en tijden evenement : Vrijdag 8 oktober 2021 en zaterdag 9 [...]</t>
  </si>
  <si>
    <t>ROT_2973e_kralingen-crooswijk_Vergunning.txt::Besluitvormend Orgaan</t>
  </si>
  <si>
    <t>De burgemeester van Rotterdam [1267:1296]</t>
  </si>
  <si>
    <t>&lt;!-- image --&gt;
## Geachte,
In antwoord op uw verzoek d.d. 3 september 2021 deel ik u mede, dat er ingevolge artikel 2:25 van de Algemene Plaatselijke Verordening van Rotterdam een vergunning verleend wordt voor:
| Evenement                    | :   | Pop- Up Zomerparade                                                                                                                                                                                                                                                        |
|------------------------------|-----|----------------------------------------------------------------------------------------------------------------------------------------------------------------------------------------------------------------------------------------------------------------------------|
| Type evenement               | :   | Met coronatoegangsbewijs                                                                                                                                                                                                                                                   |
| Categorie                    | :   | A - evenement                                                                                                                                                                                                                                                              |
| Datum en tijden evenement    | :   | 9, 16, 23 en 30 oktober 2021 13.00-14.00 uur: Hefpark 15.00-16.00 uur: M. v. Ieperenplein 17.00-18.00 uur: Pijnackerplein                                                                                                                                                  |
| Locatie Gebied               | : : | Hefpark, Mia van Ieperenplein, Pijnackerplein Feijenoord, Prins Alexander en Noord                                                                                                                                                                                         |
| Data en tijden op- en afbouw | :   | Opbouw: 9, 16, 23 en 30 oktober 2021 12.00 - 13.00 uur: Hefpark 14.30 - 15.00 uur: M. v. Iepereplein 16.30 - 17.00 uur: Pijnackerplein Afbouw: 9, 16, 23 en 30 oktober 2021 14.00- 14.10 uur: Hefpark 16.00- 16.10 uur: M. v. Iepereplein 18.00 -19.00 uur: Pijnackerplein |
| Bezoekersaantal              | :   | 125 gelijktijdig                                                                                                                                                                                                                                                           |
## COVID-19
De wereldwijde pandemie van COVID-19 heeft grote impact op de samenleving. Om de verspreiding van het virus zoveel mogelijk in te dammen zijn diverse maatregelen van kracht . Per  25 september 2021 geldt dat evenementen enkel zijn toegestaan indien wordt gewerkt met coronatoegangsbewijzen.
Vanwege COVID-19 dienen er nog steeds extra (gezondheids) maatregelen te worden getroffen door de organisator. U dient aan te tonen op welke manier u invulling geeft aan de algemene regels. Het door u aangeleverde Veiligheidsplan (bijlage V) voor dit evenement toont aan dat u voldoende extra maatregelen treft om het evenement op een veilige wijze te laten plaatsvinden. De extra maatregelen zijn passend en voldoen aan de gestelde eisen zoals vermeld in de Tijdelijke Regeling Maatregelen COVID-19.
Postadres:
Postbus 70012
3000 KP Rotterdam
## Directie Veiligheid, Evenementen
Website:
www.rotterdam.nl
E-mail:
Telefoon:
Inlichtingen bij:
Kenmerk:
547838-2021
Betreft:
Evenementenvergunning
Datum:
07-10-2021
Ik behoud mij te allen tijde het recht voor om op grond van de openbare orde en veiligheid of omwille van de gezondheid van bezoekers alsnog te besluiten deze vergunning in te trekken c.q. aanvullende voorschriften aan de vergunning te verbinden. Ook de maatregelen ten aanzien van COVID-19 zijn aan veranderingen onderhevig waardoor aanvullende voorwaarden of beperkingen gesteld kunnen worden.
Aan deze vergunning zijn de in de bijlage opgenomen voorschriften verbonden. De in de bijlage opgenomen voorschriften laten verplichtingen van vergunninghouder voortvloeiende uit andere wet- en regelgeving onverlet.
Tot slot wijs ik u erop, dat u aansprakelijk bent voor alle schade die door het gebruik van deze vergunning aan eigendommen van de gemeente of van anderen mocht worden toegebracht.
De burgemeester van Rotterdam, Voor deze,
&lt;!-- image --&gt;
mr. K. Heijnen Teamleider Evenementen
## Bijlage(n) behorende bij de evenementenvergunning
| Bijlage I   | : Voorschriften                         |
|-------------|-----------------------------------------|
| Bijlage II  | : Geluidsvoorschriften                  |
| Bijlage III | : Artikelen BGBOP (niet ter publicatie) |
| Bijlage IV  | : Draaiboek (niet ter publicatie)       |
| Bijlage V   | : Veiligheidsplan (niet ter publicatie) |
| Bijlage VI  | : Situatieschets (niet ter publicatie)  |
## Niet eens met deze beslissing?
Dan kunt u, of een andere belanghebbende, een bezwaarschrift indienen. Dit moet binnen zes weken na de bekendmaking van het besluit. U stuurt het bezwaarschrift naar: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ook digitaal indienen op Rotterdam.nl/pdc:bezwaar indienen, m.b.v. het webformulier (zie 'mijn loket'). Hiervoor is nodig een DigiD-code, of voor bedrijven een E-herkenning, die kan worden aangevraagd via digid.nl, respectievelijk eherkenning.nl. U kunt het bezwaarschrift niet op een andere digitale wijze, bijvoorbeeld per e-mail, indienen. Zie voor meer informatie www.rechtspraak.nl.
## Bijlage I: Voorschriften behorende bij de evenementenvergunning van:
Organisatie :
Naam contactpersoon :
Telefoonnummer contactpersoon :
## Openbare Orde en Veiligheid
- De organisator is te allen tijde verantwoordelijk voor een juiste uitvoering van het evenement en de daarbij behorende plannen die een onderdeel uitmaken van de verleende vergunning.
- Bij evenementen met coronatoegangsbewijzen zijn de regels zoals opgenomen in art. 5.1, 5.2 en 6.30 van de Tijdelijke regeling maatregelen Covid-19 van toepassing.
- Een vertegenwoordiger van de organisator moet beschikbaar zijn als aanspreekpunt voor de politie. Een vertegenwoordiger van de organisatie moet beschikbaar te zijn als aanspreekpunt voor de politie. Diens naam en (mobiel) nummer dienen te worden doorgegeven aan de coördinator evenementen van het district Zuid/Oost, telefoon 0900-8844.
- De vergunninghouder is verplicht deze vergunning op verzoek van een ambtenaar (belast met de zorg voor de naleving van de voorschriften) te laten zien.
- Het terrein wordt aanvaard in de staat waarin het zich bevindt; de gemeente kan niet aansprakelijk worden gesteld voor eventuele gevolgen voortvloeiende uit genoemde staat.
- Iedereen is verplicht om op en rond het evenemententerrein alle aanwijzingen, gegeven door (hulp)diensten in het belang van de openbare orde of veiligheid van personen en goederen, stipt op te volgen.
- Eventueel inzet van particulier toezicht (ook toegangscontrole) op het evenemententerrein moet door een erkend beveiligingsbedrijf worden uitgevoerd met gediplomeerd personeel voorzien van een geldig beveiligingslegitimatiebewijs. Beveiligingswerkzaamheden dienen tijdig schriftelijk te worden gemeld bij Bijzondere Wetten afdeling EXO via mailbox: korpscheftaken.rotterdam@politie.nl .
## Aanvullende voorwaarde:
- Het evenemententerrein wordt afgehekt door middel van lage dranghekken.
- Het podium is voorzien van een geschikt blusmiddel.
## Verkeer
- De vrije doorgang van openbaar vervoersdiensten mag op geen enkele wijze worden belemmerd.
- Het evenement of de activiteiten mogen de bereikbaarheid van woningen, winkels of (horeca)bedrijven niet belemmeren.
- Alle verkeersmaatregelen (redactieborden, etc.) worden uiterlijk 72 uur voorafgaand aan het evenement geplaatst en uiterlijk 48 uur na afloop van het evenement verwijderd.
- Begeleidende voertuigen (belast met de aanvoer van het eventueel benodigde materialen) mogen op het terrein aanwezig zijn als desbetreffend voertuig actief wordt gelost of geladen.
- Voertuigen van medewerkers mogen niet op het terrein geparkeerd worden en dienen gebruik te maken van de bestaande voorzieningen zoals parkeergarages en andere parkeervoorzieningen.
- Voor eventuele benodigde parkeervergunningen en / of ontheffingen kan men mailen naar apostz@rotterdam.nl of bellen naar 14010.
- Verkeersregelaars moeten 1 week voor aanvang van het evenement bij Team Verkeersregie worden aangemeld om hun aanstelling te verkrijgen. Telefoonnummer 010-26 78 450 / e-mailadres: teamverkeersregie@rotterdam.nl. Ook verkeersregelaars met een landelijke aanstelling of evenementenverkeersregelaars met een jaaraanstelling moeten bij Team Verkeersregie aangemeld worden.
## Plaatsen van podia, tenten, kramen en andere voorwerpen (voorschriften SB)
- Het is verboden eigendommen van de gemeente te verwijderen; alle voorwerpen dienen in principe los op de ondergrond te worden geplaatst.
- Aan eigendommen van de gemeente, zoals hekken, bomen en lantarenpalen mag niets worden bevestigd.
- Eventueel ter plaatse aanwezige brandkranen en -putten voor de brandweer direct toegankelijk blijven.
- Indien er toestemming is om tenten met grondpennen te verankeren, dient er re allen tijde een Klic melding gemaakt te worden (www.kadaster.nl/-/graafmelding).
- Alle aanwijzingen en/of instructies van de daartoe bevoegde medewerkers van de gemeentelijke diensten dienen stipt en onmiddellijk te worden opgevolgd en of uitgevoerd.
- Alle voorwerpen dienen los op de grond te worden geplaatst.
- Het plaatsen van vlaggenmasten, bevestigingspunten en banieren in de grond is niet toegestaan.
- Afsluiters en ruimtes voor gas, elektra, water en stadsverwarming dienen toegankelijk te blijven.
## Afval en milieu
- De organisator / vergunninghouder is verantwoordelijk voor het veegschoon houden van het evenementengebied.
- Tijdens het evenement dient de organisator / vergunninghouder afvalbakken te plaatsen op het evenemententerrein en langs de aan en aflooproute. De containers / afvalbakken moeten afsluitbaar zijn doormiddel van een deksel. De organisator / vergunninghouder dient de afvalbakken regelmatig te legen.
- De organisator / vergunninghouder dient direct na afloop het evenementen terrein en de buitenruimte vanaf de grens buitenkant plus 250 meter veegschoon op te leveren.
- Gemeentelijke afvalkorven, die als gevolg van het evenement, overlopen dienen door de organisator / vergunninghouder te worden "afgeroomd".
- Het is de organisator / vergunninghouder niet toegestaan afval te deponeren in de gemeentelijke, voor publieke en huishoudens bedoelde, afvalinzameling faciliteiten.
- Bij eetkramen of foodtrucks moet de organisator / vergunninghouder voorzieningen treffen die voorkomen dat de ondergrond vervuild of beschadigd raakt.
- Eventuele extra kosten die gemaakt worden om de buitenruimte weer op het oorspronkelijke schoonniveau te brengen kunnen achteraf worden doorbelast aan de organisatie.
## Bewonersinformatie
Bewoners van nabij gelegen woningen en bedrijven moeten vooraf worden geïnformeerd over het evenement en de te organiseren activiteiten, door middel van een bewonersbrief. Deze bewonersbrief bevat tenminste de volgende informatie:
- Datum(s) en tijd(en) evenement.
- Datum(s) en tijd(en) op- en afbouw.
- Verkeersmaatregelen (locaties en tijden van o.a. afsluitingen).
- Parkeerbeperkingen (locaties en tijden).
- Regeling doorlaatbewijzen en regeling voor bewoners met parkeervergunningen.
- Consequenties voor het openbaar vervoer.
- Bereikbaarheid van het evenement per openbaar vervoer.
- P+R terreinen die voor het evenement van belang zijn.
- Internetsite waar extra informatie te vinden is.
- Telefoonnummer van de organisatie waarop informatie verkrijgbaar is (ook op de dag zelf).
- Telefoonnummer van de Meldkamer van de DCMR Milieudienst Rijnmond (0888333555, 24 uur per dag bereikbaar) waar contact mee kan worden gezocht bij geluidsoverlast.
- De organisatie levert uiterlijk 4 dagen van tevoren een kopie van bovengenoemde bewonersbrief (incl. de locaties waar deze brief is verspreid door middel van opgave postcodegebieden) aan Team Evenementen (Postbus 70012, 3000 KP Rotterdam) en DCMR Milieudienst Rijnmond (t.a.v. de Meldkamer en Bureau Geluid, Postbus 843, 3100 AV Schiedam).
## Aansprakelijkheid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 Bijlage II: geluidsvoorschriften bij de evenementenvergunning voor
Om overmatige geluidsoverlast te voorkomen zijn aan deze evenementenvergunning krachtens de APV geluidsvoorwaarden verbonden voor de duur van het evenement:
1. Muziek en ander geluid, al dan niet mechanisch/elektronisch versterkt, mogen geen ernstige geluidsoverlast voor de omgeving veroorzaken; indien van dergelijke geluidsoverlast mocht blijken, is de politie bevoegd de geluidsuitzending te doen onderbreken en een verminderd geluidsniveau aan te geven; dan wel - in geval van herhaling - voortijdig te doen beëindigen. Bovendien is de politie bevoegd bij overtreding van de voorschriften strafrechtelijk op te treden.
2. Het equivalente geluidsniveau gedurende 1 minuut (Leq,1 min) veroorzaakt door de aangevraagde activiteiten en de bij de aangevraagde activiteiten betrokken toestellen en installaties, te weten:
- [ ] het doen van aankondigingen
- [ ] achtergrondmuziek
- [x] optreden van artiesten/playback/festival
- [ ] anders, namelijk: ..
- [ ] levende muziek zonder geluidsinstallatie
- [ ] levende muziek met geluidsinstallatie
- [ ] geluid door middel van een geluidsinstallatie
- [ ] muziek door middel van een geluidsinstallatie
mag op 10 meter afstand van de geluidsbron niet meer bedragen dan: 95 dB(A) in de uren, waarin het evenement plaatsvindt.
3. Het meten en berekenen van de geluidniveaus, en het beoordelen van de meetresultaten moet plaatsvinden overeenkomstig de Meet- en rekenvoorschriften industrielawaai.
4. In afwijking van de Meet- en rekenvoorschriften industrielawaai hoeft voor de beoordeling van het equivalente geluidsniveau gedurende 1 minuut (Leq,1 min) van muziekgeluid geen verhoging van 10 dB toegepast te worden, voordat getoetst wordt aan de normwaarde uit voorschrift 2.
5. De luidsprekers dienen dusdanig opgesteld te worden, zodat de geluidproductie zoveel mogelijk naar het bedoelde publiek op het evenemententerrein gericht is. Ten behoeve van de doorstroming van verkeer op de stoep of de rijbaan dienen tevens de aanwijzingen van de politie met betrekking tot de opstelling van de luidsprekers opgevolgd te worden.
6. Het opbouwen en het afbreken van het evenement dient zoveel mogelijk plaats te vinden in de uren gelegen tussen 08.00 en 23.00 uur. In ieder geval mogen tussen 23.00 en 08.00 uur geen overlastveroorzakende opbouw- of afbreekactiviteiten uitgevoerd worden.
7. De plaatsing van het podium dient op een dusdanig manier te geschieden dat omwonenden zo min mogelijk worden belast met de 'geluidsstraling'.
## Bijlage III: Artikelen BGBOP (niet ter publicatie)
Zie bijlage van de mail met de naam: Bijlage III Artikelen BGBOP
## Bijlage IV: Draaiboek (niet ter publicatie)
Zie bijlage van de mail met de naam: Bijlage IV De Pop up Zomerparade Programma-1
## Bijlage V: Veiligheidsplan (niet ter publicatie)
Zie bijlage van de mail met de naam: Bijlage V Veiligheidsplan
## Bijlage VI: Situatietekening (niet ter publicatie)
Zie bijlage van de mail met de naam: Bijlage VI Plattegronden Pop-Up Zomerparade 2e Ronde 2021</t>
  </si>
  <si>
    <t>ACM__kartels_10979_Besluit in zaak 7401.txt</t>
  </si>
  <si>
    <t>[...] re wet- en regelgeving onverlet. Tot slot wijs ik u erop, dat u aansprakelijk bent voor alle schade die door het gebruik van deze vergunning aan eigendommen van de gemeente of van anderen mocht worden toegebracht. De burgemeester van Rotterdam, Voor deze, &lt;!-- image --&gt; mr. K. Heijnen Teamleider Evenementen — Postadres: Postbus 70012 3000 KP Rotterdam Directie Veiligheid, Evenementen Website: www.rotterdam.nl E-mail: Telefoon: [...]</t>
  </si>
  <si>
    <t>ROT_2973e_kralingen-crooswijk_Vergunning.txt::Rechtshandeling</t>
  </si>
  <si>
    <t>verleend [186:195]</t>
  </si>
  <si>
    <t>verleend [186:194]</t>
  </si>
  <si>
    <t>&lt;!-- image --&gt; Geachte, In antwoord op het verzoek van 3-5-2022, deel ik u mede dat er ingevolge artikel 2:25 van de Algemene Plaatselijke Verordening van Rotterdam een vergunning verleend wordt voor: Evenement Categorie Datum en tijd(en) evenement Locatie Gebied Data en tijden op- en afbouw : Meanderkidstoernooi : A-evenement : Zaterdag 11-6-2022 van 09.00 uur tot 22.00 uur : Prinsenla [...]</t>
  </si>
  <si>
    <t>ROT_2973e_kralingen-crooswijk_Vergunning.txt::Rechtsobject</t>
  </si>
  <si>
    <t>vergunning [175:186]</t>
  </si>
  <si>
    <t>vergunning [175:185]</t>
  </si>
  <si>
    <t>&lt;!-- image --&gt; Geachte, In antwoord op het verzoek van 3-5-2022, deel ik u mede dat er ingevolge artikel 2:25 van de Algemene Plaatselijke Verordening van Rotterdam een vergunning verleend wordt voor: Evenement Categorie Datum en tijd(en) evenement Locatie Gebied Data en tijden op- en afbouw : Meanderkidstoernooi : A-evenement : Zaterdag 11-6-2022 van 09.00 uur tot 22.00 uur : [...]</t>
  </si>
  <si>
    <t>ROT_3170e_noord_Vergunning.txt::Besluitvormend Orgaan</t>
  </si>
  <si>
    <t>De burgemeester van Rotterdam [2630:2659]</t>
  </si>
  <si>
    <t>[...] november 2022 &lt;!-- image --&gt; Tot slot wijs ik u erop, dat u aansprakelijk bent voor alle schade die door het gebruik van deze vergunning aan eigendommen van de gemeente of van anderen mocht worden toegebracht. De burgemeester van Rotterdam, Voor deze, &lt;!-- image --&gt; M. Ben Addi Afdelingshoofd Stadszaken ## Bijlage(n) behorende bij de evenementenvergunning Bijlage I : Voorschriften Bijlage II : Geluidsvoorschriften Bijlage III : [...]</t>
  </si>
  <si>
    <t>ROT_3170e_noord_Vergunning.txt::Rechtshandeling</t>
  </si>
  <si>
    <t>- «Besluit»
- «Openbaar»
Ons kenmerk:
7401/271\_OV
Zaaknummer:
7401/Kanaalweg
Datum:
24 mei 2013
Besluit van de Autoriteit Consument en Markt als bedoeld in artikel 62 (oud) van de Mededingingswet.
| 1 Inleiding ........................................................................................................................................ 2   | 1 Inleiding ........................................................................................................................................ 2   | 1 Inleiding ........................................................................................................................................ 2   |
|----------------------------------------------------------------------------------------------------------------------------------------------------------|----------------------------------------------------------------------------------------------------------------------------------------------------------|----------------------------------------------------------------------------------------------------------------------------------------------------------|
| 1.1                                                                                                                                                      | Verloop van de procedure ....................................................................................................                            | 2                                                                                                                                                        |
| 1.2                                                                                                                                                      | Betrokken ondernemingen ...................................................................................................                              | 4                                                                                                                                                        |
| 2 Feiten en omstandigheden ......................................................................................................... 5                   | 2 Feiten en omstandigheden ......................................................................................................... 5                   | 2 Feiten en omstandigheden ......................................................................................................... 5                   |
| 2.1                                                                                                                                                      | Context van de gedragingen ................................................................................................                              | 5                                                                                                                                                        |
| 2.2                                                                                                                                                      | De gedragingen ....................................................................................................................                      | 8                                                                                                                                                        |
| 3 Juridische beoordeling ............................................................................................................. 22                | 3 Juridische beoordeling ............................................................................................................. 22                | 3 Juridische beoordeling ............................................................................................................. 22                |
| 3.1                                                                                                                                                      | Artikel 6, eerste lid, Mw ......................................................................................................                         | 22                                                                                                                                                       |
| 3.1.1                                                                                                                                                    | Overeenkomsten en onderling afgestemde feitelijke gedragingen ................................                                                           | 23                                                                                                                                                       |
| 3.1.2                                                                                                                                                    | Mededingingsbeperkende strekking ..............................................................................                                          | 25                                                                                                                                                       |
| 3.1.3                                                                                                                                                    | Merkbaarheid .................................................................................................................                           | 34                                                                                                                                                       |
| 3.1.4                                                                                                                                                    | Bagatelbepaling .............................................................................................................                            | 36                                                                                                                                                       |
| 3.2                                                                                                                                                      | Conclusie artikel 6 Mw .......................................................................................................                           | 36                                                                                                                                                       |
| 4 Ondernemingen en toerekening ..............................................................................................                            | 4 Ondernemingen en toerekening ..............................................................................................                            | 37                                                                                                                                                       |
| 5 Sanctie ........................................................................................................................................       | 5 Sanctie ........................................................................................................................................       | 41                                                                                                                                                       |
| 5.1                                                                                                                                                      | Beoordelingskader .............................................................................................................                          | 41                                                                                                                                                       |
| 5.2                                                                                                                                                      | Boetegrondslag ..................................................................................................................                        | 43                                                                                                                                                       |
| 5.2.1 Algemeen kader .............................................................................................................                       | 5.2.1 Algemeen kader .............................................................................................................                       | 43                                                                                                                                                       |
| 5.2.2 Vaststelling van de betrokken omzet                                                                                                                | 5.2.2 Vaststelling van de betrokken omzet                                                                                                                | ............................................................................. 44                                                                         |
| 5.2.3 Vaststelling van de boetegrondslag ...............................................................................                                 | 5.2.3 Vaststelling van de boetegrondslag ...............................................................................                                 | 44                                                                                                                                                       |
| 5.3                                                                                                                                                      | Ernst van de overtreding en de basisboete ........................................................................                                       | 45                                                                                                                                                       |
| 5.3.1 Vaststelling ernstfactor ...................................................................................................                       | 5.3.1 Vaststelling ernstfactor ...................................................................................................                       | 46                                                                                                                                                       |
| 5.3.2 Vaststelling van de basisboete .......................................................................................                             | 5.3.2 Vaststelling van de basisboete .......................................................................................                             | 47                                                                                                                                                       |
| 5.4                                                                                                                                                      | Boeteverhogende en -verlagende omstandigheden..........................................................                                                  | 47                                                                                                                                                       |
| 5.5                                                                                                                                                      | Wettelijk maximum .............................................................................................................                          | 47                                                                                                                                                       |
| 5.6                                                                                                                                                      | Clementie Bik Sloopwerken B.V. en M.A. Bik Holding B.V. ...............................................                                                  | 47                                                                                                                                                       |
| 5.7                                                                                                                                                      | Vaststelling van de hoogte van de boete ...........................................................................                                      | 48                                                                                                                                                       |
| 6 BESLUIT ..................................................................................................................................... 49       | 6 BESLUIT ..................................................................................................................................... 49       | 6 BESLUIT ..................................................................................................................................... 49       |
&lt;!-- image --&gt;
info @acm.nl | www.acm.nl | www.consuwijzer.nl T 070 722 20 00 | F 070 722 23 55
Muzenstraat 41 | 2511 WB Den Haag Postbus 16326 | 2500 BH Den Haag
1/49
- «Besluit»
- «Openbaar»
## Inleiding
## 1.1 Verloop van de procedure
1. De Nederlandse Mededingingsautoriteit (hierna: de NMa) heeft op 23 maart 2010 een onderzoek ingesteld naar (een) mogelijke overtreding(en) van artikel 6, eerste lid, van de Mededingingswet (hierna: Mw) door ondernemingen die actief zijn op het gebied van sloopwerkzaamheden van bouwwerken tenminste in de provincies Zuid-Holland, Zeeland en Utrecht. 1
2. Aanleiding voor het onderzoek was een clementieverzoek 2 (hierna: het clementieverzoek) dat de NMa op 6 november 2009 heeft ontvangen van Bik Sloopwerken B.V. (hierna ook: Bik) en M.A. Bik Holding B.V. 3 Dit clementieverzoek heeft betrekking op deelname aan kartelafspraken in de sloopbranche van 1 januari 1998 tot en met 2009 in de regio Zuidwest Nederland. Volgens het clementieverzoek heeft Bik met verschillende andere ondernemingen, waaronder Hofstede, 4 deelgenomen aan de kartelafspraken. 5 Naar aanleiding van het clementieverzoek heeft de Raad van Bestuur van de NMa (hierna: de Raad) Bik, M.A. Bik Holding B.V. en de heren [vertrouwelijk] en [vertrouwelijk] voorwaardelijk een boetevermindering toegezegd van 100% (clementiecategorie A). 6 7
3. Gedurende het onderzoek heeft de NMa een bedrijfsbezoek uitgevoerd bij Hofstede.  Daarbij is inzage gevorderd in schriftelijke gegevens en bescheiden en zijn hiervan kopieën gemaakt. 8 Op verschillende locaties zijn tevens digitale gegevens gekopieerd conform de hiervoor geldende digitale werkwijze. De hieruit voortgevloeide relevante documenten zijn aan het dossier toegevoegd. 9
1 Dossierstuk 7401/2, bedrijfsbezoekopdracht van 16 maart 2010.
2 Een clementieverzoek in de zin van de Beleidsregels van de Minister van Economische Zaken tot vermindering van geldboetes betreffende kartels, Besluit van 11 september 2009, Stcrt. 2009, nr. 14078 d.d. 22 september 2009, in werking getreden met ingang van 1 oktober 2009 (hierna: de Beleidsregels).
3 Dossierstuk 7401/74: clementietoezegging onderneming Bik.
4 Bik noemt Hofstede Sloperij B.V. als deelnemer aan de kartelafspraken, maar uit de stukken volgt dat Hofstede B.V. de betrokken onderneming is. Zie de randnummers 69-71 van dit besluit.
5 Zie verder paragraaf 1.2 voor de betrokken ondernemingen.
6 Dossierstuk 7401/74.
7 Dossierstukken 7401/91, 92, 93 en 94.
8 Dossierstuk 7401/113, VvA inzake bedrijfsbezoek.
9 Dossierstuk 7401/201: VvA relevante documenten afkomstig uit de administratie, dossierstuk 7401/141: VvA inzake bedrijfsbezoek bij Hofstede, dossierstuk 7401/109: VvA inzake bedrijfsbezoek bij curator van Bik, dossierstuk 7401/110: VvA inzake bedrijfsbezoek bij Bik.
## «Besluit»
## «Openbaar»
4. Gedurende het onderzoek hebben ambtenaren van de NMa mondelinge verklaringen afgenomen van personen die op enigerlei wijze betrokken waren. Van de mondelinge verklaringen zijn verslagen van ambtshandelingen opgemaakt, die zijn opgenomen in het dossier. 10 Tevens zijn bij Hofstede en Bik schriftelijk inlichtingen gevorderd. 11 Ook heeft de NMa tijdens het onderzoek mondeling en schriftelijk inlichtingen gevorderd bij de opdrachtgever van de sloopwerkzaamheden en de door hem ingeschakelde tussenpersoon. 12
5. Het onderzoek van de NMa heeft geresulteerd in een redelijk vermoeden dat Hofstede en Bik artikel 6, eerste lid, Mw hebben overtreden door in 2009 voorafgaand aan de inschrijving op de aanbesteding van het project 'Kanaalweg' te Hellevoetsluis onderling hun inschrijfcijfers af te stemmen, in het kader waarvan zij tevens een vergoeding hebben afgesproken.
6. In opdracht van de Raad heeft de directeur van de Directie Mededinging vanwege dit redelijk vermoeden op 9 augustus 2012 een rapport als bedoeld in artikel 59, eerste lid, Mw ('het Rapport') opgemaakt met het oog op een eventueel aan Hofstede en Bik op te leggen sanctie. De directeur van de Directie Mededinging heeft het Rapport op 13 augustus 2012 aan Hofstede en Bik toegezonden. De behandeling van deze zaak is na het opmaken van het Rapport overgedragen aan de Juridische Dienst van de NMa.
7. Overeenkomstig artikel 60, tweede lid, Mw (oud) 13 heeft de NMa Hofstede en Bik bij brieven van 21 september 2012 in de gelegenheid gesteld inzage te nemen in de op de zaak betrekking hebbende stukken. De NMa heeft deze stukken tevens bij Hofstede en Bik bezorgd. 14 Overeenkomstig artikel 60, eerste lid, Mw (oud) is Hofstede en Bik de gelegenheid geboden om uiterlijk 2 november 2012 hun schriftelijke zienswijze omtrent het Rapport naar voren te brengen. 15 Bik heeft van deze mogelijkheid geen gebruik gemaakt. Hofstede heeft op 9 november 2012 een schriftelijke zienswijze ingediend. 16
10 Mondelinge verklaringen, ondertekend na vastlegging door de NMa, dossierstukken 7401/114, 7401/130, 7401/106, 7401/134, 7401/159, 7401/167 en 7401/170.
11 Reactie op verzoek om schriftelijke inlichtingen, dossierstukken 7401/129, 7401/137 en 7401/156.
12 Dossierstuk 7401/14: reactie Ingenieursburo IOB op verzoek om informatie, dossierstuk 7401/16: gespreksverslag dhr. [vertrouwelijk] en dhr. [vertrouwelijk] (Ingenieursburo IOB), dossierstukken 7401/190 en 200: IOB dossier project Kanaalweg, dossierstuk 7401/191: gespreksverslag dhr. [vertrouwelijk] (Ingenieursburo IOB) en dossierstuk 7401/196: gespreksverslag dhr. [vertrouwelijk] (gemeente Hellevoetsluis).
13 Gelet op het bepaalde in artikel IV, eerste lid, van de Vierde tranche Algemene wet bestuursrecht is artikel 60 Mw, hoewel vervallen per 1 juli 2009, in de onderhavige procedure nog van toepassing.
14 Dossierstukken 7401/231 en 7401/232.
15 Idem.
16 Dossierstuk 7401/241. Desverzocht is Hofstede uitstel verleend voor het indienen van haar schriftelijke zienswijze tot 9 november 2012. Zie dossierstuk 7401/239.
- «Besluit»
- «Openbaar»
8. Hofstede en Bik hebben geen gebruik gemaakt van de hun eveneens geboden gelegenheid om mondeling tijdens een hoorzitting hun zienswijze omtrent het rapport naar voren te brengen. 17
9. Op 1 april 2013 is de Instellingswet Autoriteit Consument en Markt in werking getreden. Vanaf die datum is de Autoriteit Consument en Markt (ACM) de rechtsopvolger van de Consumentenautoriteit, de Nederlandse Mededingingsautoriteit en de Onafhankelijke Post- en Telecommunicatieautoriteit. Het besluit in onderhavige zaak wordt dan ook door of namens ACM genomen.
## 1.2 Betrokken ondernemingen
10.  Het rapport is uitgebracht tegen de volgende ondernemingen.
## Hofstede
11.  Hofstede Sloperij B.V. is een besloten vennootschap naar Nederlands recht, statutair gevestigd te Rotterdam. Vanaf 19 september 1985 houdt Hofstede Sloperij B.V. zich blijkens het handelsregister van de Kamer van Koophandel (hierna: 'handelsregister') bezig met de uitoefening van het slopersbedrijf in de meest uitgebreide zin.
12.  Hofstede B.V. is een besloten vennootschap naar Nederlands recht, statutair gevestigd te Rotterdam. Vanaf 13 december 1985 houdt Hofstede B.V. zich blijkens het handelsregister bezig met het amoveren en demonteren van procesinstallaties, fabrieken, kantoren, ziekenhuizen en woonobjecten, asbestverwijdering, bodemsanering en verwijderen van radioactieve bronnen en werken met explosieven.
13.  J.B.M. Hofstede Beheer B.V. is een besloten vennootschap naar Nederlands recht, statutair gevestigd te Rotterdam. Vanaf 1 januari 1987 is J.B.M. Hofstede Beheer B.V. enig aandeelhouder van Hofstede Sloperij B.V. en van Hofstede B.V. 18
14.  Vanaf 1 januari 1990 is J.B.M. Hofstede Holding B.V., een besloten vennootschap naar Nederlands recht, statutair gevestigd te Rotterdam, enig aandeelhouder van J.B.M. Hofstede Beheer B.V. 19 Vanaf 21 maart 2003 is Jermido B.V., een besloten vennootschap naar Nederlands recht, statutair gevestigd te Rotterdam, enig aandeelhouder van J.B.M. Hofstede
17 Dossierstukken 7401/231, 7401/232, 7401/234, 7401/235, 7401/236, 7401/237 en 7401/238.
19 Dossierstuk 7401/207, uittreksel KvK J.B.M. Hofstede Beheer B.V.
18 Dossierstuk 7401/207, uittreksel KvK Hofstede Sloperij B.V. en Hofstede B.V.
## «Besluit»
## «Openbaar»
Holding B.V. 20 Vanaf 24 februari 2003 is Jermi B.V., een besloten vennootschap naar Nederlands recht, statutair gevestigd te Rotterdam, enig aandeelhouder van Jermido B.V. 21 Bovengenoemde vennootschappen worden in dit besluit tezamen ook wel aangeduid als 'Hofstede'.
## Bik
15.  Bik Sloopwerken B.V. is een besloten vennootschap naar Nederlands recht, die in de voor het onderhavige besluit relevante periode statutair was gevestigd te Lekkerkerk. Blijkens het handelsregister hield Bik Sloopwerken B.V. zich vanaf 16 november 2001 bezig met het slopen van gebouwen en industriële projecten, verwerking en verkoop van sloopmaterialen en transport daarvan. Bik Sloopwerken B.V. is met ingang van 5 oktober 2010 in staat van faillissement verklaard en is op 27 september 2012 door ontbinding opgehouden te bestaan. 22 De heer [vertrouwelijk] was sedert 1 januari 2002 gevolmachtigd directeur van Bik Sloopwerken B.V. 23 Bik Sloopwerken B.V. staat als deelneming vermeld op de jaarrekeningen van M.A. Bik Holding B.V. over de jaren 2007-2009. 24
16.  M.A. Bik Holding B.V. is een besloten vennootschap naar Nederlands recht, statutair gevestigd te Krimpen aan de Lek. Enig aandeelhouder en directeur van M.A. Bik Holding B.V. is sedert 24 december 1998 de heer [vertrouwelijk]. 25 Bovengenoemde vennootschappen worden in dit besluit tezamen ook wel aangeduid als 'Bik'.
## 2 Feiten en omstandigheden
17.  In dit hoofdstuk zet ACM haar feitelijke bevindingen op grond van het onderliggende dossier, gezien het Rapport en de ingebrachte zienswijzen, uiteen.
## 2.1 Context van de gedragingen
18.  Om de gedragingen zoals die verderop in dit hoofdstuk worden beschreven, te kunnen plaatsen, wordt in deze paragraaf eerst de context besproken waarbinnen de gedragingen hebben
20 Dossierstuk 7401/207, uittreksel KvK J.B.M. Hofstede Holding B.V.
22 Dossierstuk 7401/258, uittreksel KVK Bik Sloopwerken B.V.
21 Dossierstuk 7401/207, uittreksel KvK Jermido B.V.
23 Dossierstuk 7401/208, uittreksel KvK Bik Sloopwerken B.V.
24 Zie dossierstuk 7401/208.
25 Dossierstuk 7401/208, uittreksel KvK M.A. Bik Holding B.V.
&lt;!-- image --&gt;
## «Besluit»
- «Openbaar»
plaatsgevonden. Hieronder wordt daartoe nader ingegaan op de aard van de werkzaamheden, de opdrachtgever en de wijze waarop sloopondernemingen opdrachten verkrijgen. Ten slotte wordt stilgestaan bij de activiteiten van de betrokken ondernemingen.
19.  Deze zaak heeft betrekking op gedragingen van sloopondernemingen die sloopwerkzaamheden voor opdrachtgevers aanbieden en uitvoeren. Onder sloopwerkzaamheden wordt het afbreken, demonteren, omvertrekken of op andere wijze slopen van gebouwen, bouwwerken, installaties, fabrieken, waterbouwkundige werken en andere kunstwerken of delen van deze objecten verstaan. Het slopen van een bouwwerk kan worden onderscheiden in renovatiesloop en totaalsloop. Bij totaalsloop worden hele gebouwen gesloopt. Onder renovatiesloop wordt het ten dele slopen of verwijderen verstaan dat voorafgaat aan de renovatie van een gebouw.
20.  Opdrachtgevers van sloopwerkzaamheden zijn partijen als overheden, ondernemingen - zoals bouwbedrijven en ontwikkelaars - en particulieren. Bij de gedragingen beschreven in dit besluit, was de opdrachtgever van de sloopwerkzaamheden een lokale overheid (de gemeente Hellevoetsluis; hierna: de gemeente), die daartoe IOB Ingenieursbureau te Hellevoetsluis (hierna: IOB) heeft ingeschakeld.
21.  Bij de gedragingen beschreven in dit besluit, heeft de opdrachtgever met behulp van een aanbesteding een geschikte opdrachtnemer gezocht. In dit besluit wordt onder het begrip 'aanbesteding' verstaan de, al dan niet gelijktijdige, uitnodiging van een opdrachtgever aan twee of meer ondernemingen om een offerte of prijs in te dienen voor een opdracht tot de uitvoering van een werk. In het algemeen kan onderscheid worden gemaakt tussen Europese en 'onderhandse' aanbestedingen. In het geval van een Europese aanbesteding is er sprake van een aanbestedingsprocedure die op grond van regelgeving algemeen bekend moet worden gemaakt en waarvoor iedere geïnteresseerde aanbieder zich kan aanmelden. 26 In het geval van een onderhandse aanbesteding hoeft de opdrachtgever de aanbesteding niet algemeen bekend te maken, maar nodigt de opdrachtgever tenminste twee ondernemingen uit tot het doen van een offerte. Het sloopwerk waarop dit besluit ziet, is door middel van een onderhandse aanbesteding in de markt gezet.
22.  Kenmerkend voor alle vormen van aanbestedingen is het doel dat ermee wordt beoogd, namelijk om verschillende aanbieders onderling te laten concurreren voor dezelfde opdracht. Met andere
26 Besluit van 16 juli 2005 houdende regels betreffende de procedures voor het gunnen van overheidsopdrachten voor werken, leveringen en diensten (Besluit aanbestedingsregels voor overheidsopdrachten) en Besluit van 16 juli 2005 houdende regels betreffende de procedures voor het gunnen van opdrachten in de sectoren water- en energievoorziening, vervoer en postdiensten (Besluit aanbestedingen speciale sectoren).
&lt;!-- image --&gt;
## «Besluit»
- «Openbaar»
woorden, de aanbieders concurreren om dezelfde 'markt'. Dit stelt de aanbestedende partij in staat om de meest efficiënte 'inkoop' te doen voor de uitvoering van een bepaald werk. De beoogde onderlinge concurrentie tussen de aanbieders komt tot uitdrukking in de verschillende aanbiedingen waartoe de gegadigden elk zelfstandig zijn gekomen. Dit 'model' veronderstelt dat de aanbieders in de fase vóór de indiening van de offerte onderling geen contact hebben over de betreffende opdracht, zoals over het voornemen al dan niet in te schrijven en de parameters waarop de individuele aanbieders bij de inschrijving onderling concurreren, waaronder het inschrijfcijfer of de (inschrijf)prijs en onderliggende calculaties.
23.  Hofstede had in de jaren 2004 tot en met 2008 een omzet van [EUR 10-15 miljoen] 27 en is één van de grotere sloopondernemingen in Nederland. Een operationeel manager van Hofstede heeft verklaard dat Hofstede in Nederland een top tien speler is. 28
24.  Hofstede beschikt naar eigen zeggen over een zeer ruime ervaring in de verschillende disciplines van het slopen, zoals demonteren, asbestverwijdering, verwijdering van radioactieve bronnen, sanering en het werken met explosieven. Zij beschikt over gespecialiseerde machines waarmee zij stelt de meest ingewikkelde sloopobjecten uit te kunnen voeren. 29 Hofstede voert de-asbesterings-, demontage-, sloop- en montagewerken uit van chemische en petrochemische installaties, energiecentrales, ziekenhuizen c.q. zorginstellingen, woonobjecten, kunstwerken, vliegtuigen, treinen, schepen en werken in de voedings- en genotsmiddelenindustrie. Hofstede voert volgens haar website zowel kleinere werken met een geringe omzet uit, als sloopwerken uit het hogere en complexere segment met een miljoenenomvang. Opdrachtgevers van Hofstede zijn onder meer gemeenten (circa 20-30%), raffinaderijen, energiebedrijven (centrales) en particulieren. 30
25.  Bik was tot 5 oktober 2010 een slooponderneming in de regio Rotterdam. De activiteiten van Bik omvatten hoofdzakelijk sloopwerk en asbestverwijdering, transport, handel, sloopmaterialen en puinrecycling. 31 De omzet van Bik bedroeg in 2007 en 2008 [EUR 1-1,5 miljoen]. 32
27 Dossierstuk 7401/129, reactie Hofstede op informatieverzoek, d.d. 9-3-2011.
28 Dossierstuk 7401/130, bijlage bij vva inzake verklaring [vertrouwelijk] d.d. 24-3-2011, p. 4.
29 Dossierstuk 7401/212, http://www.hofstede-group.com/nederlands/nederlandsindex.html (website Hofstede B.V.), geraadpleegd op 20-7-2012.
30 Dossierstuk 7401/130, bijlage bij vva inzake verklaring [vertrouwelijk] d.d. 24-3-2011, p. 4.
31 Dossierstuk 7401/215, website Bik, geraadpleegd op 16-7-2012.
32 Dossierstuk 7401/241, schriftelijke zienswijze Hofstede, zie productie 7 (faillissementsverslag Bik d.d. 2 november 2010), p. 1.
- «Besluit»
- «Openbaar»
26.  De gemeente heeft zowel Hofstede als Bik aangedragen voor een uitnodiging om een offerte in te dienen omdat zij goede ervaringen had met beide ondernemingen. 33 Hofstede is ook door IOB aangedragen. De ervaring van IOB was dat Hofstede netjes werk leverde, weinig problemen gaf en weinig meerwerk in rekening bracht. Volgens IOB is Hofstede in de regio ook een van de bekende slopers. 34
## 2.2 De gedragingen
## Inleiding
27.  Zoals beschreven in randnummer 5 van dit besluit zouden Hofstede en Bik volgens het Rapport in 2009 voorafgaand aan de inschrijving op de aanbesteding van het project 'Kanaalweg' te Hellevoetsluis onderling hun inschrijfcijfers hebben afgestemd, in het kader waarvan zij tevens met elkaar een vergoeding zouden hebben afgesproken.
28.  In deze paragraaf volgen de details van de aanbestedingsprocedure, van het onderlinge contact tussen Hofstede en Bik en de overige relevante feiten zoals deze op basis van het dossier kunnen worden vastgesteld. Daarbij gaat ACM tevens in op de desbetreffende onderdelen van de door Hofstede ingebrachte zienswijze.
## De aanbestedingsprocedure
29.  Het project 'Kanaalweg' betrof de sloop van een voormalig woonhuis met bijbehorende opstallen aan de Kanaalweg Westzijde 51 te Hellevoetsluis. 35 36
30.  De opdrachtgever van het project 'Kanaalweg' was de gemeente. De gemeente heeft IOB ingeschakeld om de voorbereiding en de aanbesteding van het sloopwerk 'Kanaalweg' te begeleiden. 37 IOB en de gemeente hebben in samenspraak de uit te nodigen ondernemingen geselecteerd op basis van eerdere ervaringen met deze ondernemingen. 38 Bij brieven van 9
33 Dossierstuk 7401/196, gespreksverslag gemeente Hellevoetsluis d.d. 26 april 2012, p. 2.
34 Dossierstuk 7401/16, gespreksverslag IOB d.d. 15 maart 2012, p. 3.
35 Dossierstuk 7401/190, IOB dossier project Kanaalweg deel 1, en dossierstuk 7401/200, IOB dossier Kanaalweg deel 2.
36 Het project betrof naast deze sloopwerkzaamheden - welke door de opdrachtgever werden aangeduid als 'deel A', bestaande uit fase 1 en 2 - nog uit een 'deel B', dat het kappen en ontwortelen van de totale groenvoorziening inhield. Deel B is nooit gegund. Zie dossierstuk 7401/16, gespreksverslag IOB d.d. 15 maart 2012, p. 1 en 5.
37 Dossierstuk 7401/196, gespreksverslag gemeente Hellevoetsluis d.d. 26 april 2012, p. 1.
38 Dossierstuk 7401/196, gespreksverslag gemeente Hellevoetsluis d.d. 26 april 2012, p. 2, en dossierstuk 7401/16, gespreksverslag IOB d.d. 15 maart 2012, p. 3.
&lt;!-- image --&gt;
## «Besluit»
## «Openbaar»
februari 2009 heeft IOB Hofstede, 39 Bik en Aannemingsbedrijf Romers B.V. te Brielle (hierna: Romers) uitgenodigd om op de aanbesteding</t>
  </si>
  <si>
    <t>verleend [207:216]</t>
  </si>
  <si>
    <t>verleend [207:215]</t>
  </si>
  <si>
    <t>&lt;!-- image --&gt; ## Geachte heer/mevrouw In antwoord op het verzoek van 11 oktober 2022 deel ik u mede dat er ingevolge artikel 2:25 van de Algemene Plaatselijke Verordening van Rotterdam een vergunning verleend wordt voor: Evenement : Veggie Fair Rotterdam Categorie : A-evenement Datum en tijd(en) evenement : Zondag 27 november 2022 van 10:00-18:00 uur Locatie : Noordplein 149 Gebied : Noord [...]</t>
  </si>
  <si>
    <t>ROT_3170e_noord_Vergunning.txt::Rechtsobject</t>
  </si>
  <si>
    <t>vergunning [196:207]</t>
  </si>
  <si>
    <t>vergunning [196:206]</t>
  </si>
  <si>
    <t>&lt;!-- image --&gt; ## Geachte heer/mevrouw In antwoord op het verzoek van 11 oktober 2022 deel ik u mede dat er ingevolge artikel 2:25 van de Algemene Plaatselijke Verordening van Rotterdam een vergunning verleend wordt voor: Evenement : Veggie Fair Rotterdam Categorie : A-evenement Datum en tijd(en) evenement : Zondag 27 november 2022 van 10:00-18:00 uur Locatie : Noordplein 149 Gebied [...]</t>
  </si>
  <si>
    <t>ROT_3269e_overschie_Vergunning.txt::Besluitvormend Orgaan</t>
  </si>
  <si>
    <t>Ons kenmerk:
ACM/DE/2013/104259/22
Zaaknummer:
104259/Albemarle Catalysts Company B.V.
## BESLUIT
Besluit van de Autoriteit Consument en Markt als bedoeld in artikel 15, eerste lid, van de Elektriciteitswet 1998.
&lt;!-- image --&gt;
1/12
T 070 722 20 00 | F 070 722 23 55 info @acm.nl | www.acm.nl | www.consuwijzer.nl Muzenstraat 41 | 2511 WB Den Haag Postbus 16326 | 2500 BH Den Haag Inhoudsopgave
1
Inleiding en leeswijzer  ............................................................................................................  3
2
Procedure van totstandkoming van dit besluit ...................................................................  4
## 3 Wettelijk kader ........................................................................................................................  6
## 4 Beoordeling van de relevante feiten en omstandigheden  ..................................................  9
4.1
Relevante feiten en omstandigheden ............................................................................  9
4.2
Beoordeling  ....................................................................................................................  9
## 5 Dictum ...................................................................................................................................  12
## 2/12
## 1 Inleiding en leeswijzer
1. Met dit besluit geeft de Autoriteit Consument en Markt (hierna: ACM) uitvoering aan artikel 15, eerste lid, van de Elektriciteitswet 1998 (hierna: E-wet). Op grond hiervan kan de eigenaar van een gesloten distributiesysteem (hierna: GDS) een aanvraag bij ACM indienen tot verlening van een ontheffing van de verplichting tot het aanwijzen van een netbeheerder (hierna: de ontheffing).
2. ACM geeft met dit besluit haar oordeel op de aanvraag van Albemarle Catalysts Company B.V. (hierna: aanvrager) van 12 november 2012 voor een ontheffing op grond van artikel 15, eerste lid, onderdeel b, van de E-wet voor het elektriciteitsnet dat ligt aan de Nieuwendammerkade 1-3 te Amsterdam.
## Opbouw van het besluit
3. De indeling van dit besluit is als volgt. Hoofdstuk 2 van dit besluit bevat de gevolgde procedure. Hoofdstuk 3 bevat het wettelijk kader. ACM beschrijft haar behoordeling in hoofdstuk 4. ACM eindigt haar besluit met het dictum (hoofdstuk 5).
&lt;!-- image --&gt;
## 2 Procedure van totstandkoming van dit besluit
4. In dit hoofdstuk beschrijft ACM de procedure die zij heeft gevolgd bij de totstandkoming van dit besluit. ACM heeft de uniforme openbare voorbereidingsprocedure zoals bedoeld in afdeling 3.4 van de Algemene wet bestuursrecht (hierna: Awb) van toepassing verklaard op de voorbereiding van dit besluit.
5. Bij brief van 12 november 2012, ontvangen op 14 november 2012, 1 heeft aanvrager bij ACM een aanvraag ingediend tot verlening van een ontheffing in de zin van artikel 15, eerste lid, onderdeel b, van de E-wet. ACM stelt vast dat aanvrager reeds beschikt over een ontheffing van de verplichting tot het aanwijzen van een netbeheerder die vóór 20 juli 2012 is verleend. De beslistermijn voor de behandeling van de aanvraag bedraagt tien maanden ingevolge artikel V, derde lid van de Wet van 12 juli 2012 tot wijziging van de Elektriciteitswet 1998 en van de Gaswet (implementatie van richtlijnen en verordeningen op het gebied van elektriciteit en gas) (hierna: de Wet van 12 juli 2012). 2
6. Bij brief 3 van 23 januari 2013 is aanvrager verzocht om de aanvraag aan te vullen. In zijn brief van 18 maart 2013, ontvangen op 19 maart 2013, 4 heeft aanvrager aanvullende informatie aangeleverd.
7. Van de ontvangst van het verzoek heeft ACM in de Staatscourant van 6 mei 2013 mededeling gedaan. ACM heeft de aanvraag tevens op de internetpagina van ACM, www.acm.nl, gemeld. Belanghebbenden hebben vervolgens twee weken de tijd gekregen om een reactie in te dienen bij ACM. ACM heeft geen reactie ontvangen.
8. Op 27 juni 2013 5 heeft ACM een voornemen tot afwijzing van de aanvraag aan aanvrager verzonden, aangezien er sprake lijkt te zijn van een installatie. Aanvrager heeft hierop niet gereageerd.
9. Als onderdeel van de uniforme openbare voorbereidingsprocedure heeft ACM op 6 september 2013 het ontwerpbesluit en de daarop betrekking hebbende stukken ter inzage gelegd. ACM heeft hiervan in de Staatscourant van 6 september 2013 kennis gegeven. Bovendien heeft ACM het ontwerpbesluit aan aanvrager toegezonden 6 en op haar internetpagina gepubliceerd.
1 Met kenmerk aanvrager 12-CMF-128, kenmerk ACM: 104259/1.
3 Met kenmerk ACM: 104259/2.
2 Stb. 2012, nr. 334.
4 Met kenmerk aanvrager 13-CMF-030, kenmerk ACM: 104259/5.
6 Met kenmerk ACM: 104259/16.
5 Met kenmerk 104259/13.
10. Op 11 oktober 2013 had ACM een hoorzitting georganiseerd. ACM heeft geen aanmeldingen voor spreektijd ontvangen. Daarom is deze hoorzitting geannuleerd. Hiervan is per brief 7 van 24 september 2013 mededeling gedaan aan aanvrager. ACM heeft geen schriftelijke zienswijzen ontvangen.
7 Met kenmerk 104259/19.
## 3 Wettelijk kader
11. In dit hoofdstuk beschrijft ACM de bepalingen die gezamenlijk het wettelijk kader vormen voor dit besluit.
12. Artikel 1, eerste lid, onderdelen b, c, i, j, r en aq, van de E-wet luiden:
3. 'b. aansluiting: één of meer verbindingen tussen een net en een onroerende zaak als bedoeld in artikel 16, onderdelen a tot en met e, van de Wet waardering onroerende zaken, dan wel tussen een net en een ander net op een ander spanningsniveau;
- c.   afnemer: een ieder die beschikt over een aansluiting op een net;
- i.   net: één of meer verbindingen voor het transport van elektriciteit en de daarmee verbonden transformator-, schakel-, verdeel- en onderstations en andere hulpmiddelen, behoudens voor zover deze verbindingen en hulpmiddelen onderdeel uitmaken van een directe lijn of liggen binnen de installatie van een producent of van een afnemer;
- j. landelijk hoogspanningsnet: het net, bedoeld in artikel 10, eerste lid;
- r.   verwant bedrijf: een verbonden onderneming in de zin van artikel 41 van de zevende richtlijn nr. 83/349/EEG van de Raad van 13 juni 1983 op de grondslag van artikel 44, tweede lid, onderdeel g, van het Verdrag betreffende de geconsolideerde jaarrekening, of een geassocieerde onderneming in de zin van artikel 33, eerste lid, daarvan of een onderneming die aan dezelfde aandeelhouders toebehoort;
8. aq. gesloten distributiesysteem: een net, niet zijnde het landelijk hoogspanningsnet,
9. 1°. dat ligt binnen een geografisch afgebakende industriële locatie, commerciële locatie of locatie met gedeelde diensten,
10. 2°. waarop minder dan 500 afnemers zijn aangesloten en
11. 3°. dat alleen niet-huishoudelijke afnemers van elektriciteit voorziet, tenzij er sprake is van incidenteel gebruik door een klein aantal huishoudelijke afnemers dat werkzaam is bij of vergelijkbare betrekkingen heeft met de eigenaar van het gesloten distributiesysteem;'
13. Artikel 15 van de E-wet luidt:
13. '1. De Autoriteit Consument en Markt kan op diens aanvraag ontheffing verlenen aan een eigenaar van een gesloten distributiesysteem, van het gebod van artikel 10, negende lid, indien:
- a.  het bedrijfs- of productieproces van de gebruikers van een gesloten distributiesysteem om specifieke technische of veiligheidsredenen geïntegreerd is of
- b.  het gesloten distributiesysteem primair elektriciteit transporteert voor de eigenaar van dat systeem of de daarmee verwante bedrijven en
- c.  de aanvrager geen netbeheerder is en niet in een groepsmaatschappij met een netbeheerder verbonden is.
2.  De Autoriteit Consument en Markt neemt het besluit zo spoedig mogelijk, doch uiterlijk zes maanden na ontvangst van de aanvraag. Deze termijn kan eenmaal met ten hoogste zes
&lt;!-- image --&gt;
maanden worden verlengd. De Autoriteit Consument en Markt kan aan een ontheffing voorschriften en beperkingen verbinden.
3.  De Autoriteit Consument en Markt kan een ontheffing intrekken indien degene aan wie de ontheffing is verleend:
- a. niet langer voldoet aan de voorwaarden, bedoeld in het eerste lid;
- b. in strijd handelt met de voorschriften en beperkingen als bedoeld in het tweede lid en het bepaalde bij of krachtens het vijfde tot en met het zevende lid;
- c. bij de aanvraag om een ontheffing onjuiste of onvolledige gegevens heeft verstrekt en de verstrekking van juiste of volledige gegevens tot een andere beschikking op de aanvraag zou hebben geleid.
4.  Indien een ontheffing is verleend, zijn uitsluitend het vijfde en zesde lid van toepassing op de eigenaar van een gesloten distributiesysteem.
5.  De eigenaar van een gesloten distributiesysteem beheert het gesloten distributiesysteem. De eigenaar van de ontheffing int het tarief voor systeemdiensten, bedoeld in artikel 30, eerste lid, bij de afnemers die op zijn net zijn aangesloten en draagt de te innen tarieven af aan de netbeheerder van het landelijk hoogspanningsnet.
6.  Het bepaalde bij of krachtens de artikelen 7, 16, eerste lid, met uitzondering van onderdeel h, j en m, 19d, 19e, eerste lid, 23, 24, 24b, 26a, 28, 29, 30, 31b, 31c, 42, tweede en derde lid, 51, 78, 79, 95lb, 95lc en 95m, negende lid, is van overeenkomstige toepassing voor de eigenaar van een gesloten distributiesysteem, met dien verstande dat:
- a.  artikel 23, eerste lid, uitsluitend geldt voor zover er na aansluiting sprake is van een afnemer binnen het geografisch gebied waarbinnen het gesloten distributiesysteem ligt en deze aansluiting past bij het karakter van het gesloten distributiesysteem,
- b.  niet aan de verplichtingen, bedoeld in de in artikelen 23, eerste lid, en 24, eerste lid, genoemde paragrafen behoeft te worden voldaan en
- c.  in de artikelen 7 en 78 in plaats van «netbeheerder» wordt gelezen «eigenaar van een gesloten distributiesysteem».
7.  De Autoriteit Consument en Markt keurt op verzoek van een aangeslotene op een gesloten distributiesysteem de van kracht zijnde methode voor de berekening van de tarieven goed.
8.  Indien een verzoek als bedoeld in het zevende lid is ontvangen, overlegt de eigenaar van een gesloten distributiesysteem binnen drie maanden na de datum waarop de raad van bestuur de eigenaar van een gesloten distributiesysteem over het verzoek heeft geïnformeerd, aan de raad van bestuur informatie over het aan het verzoek voorafgaande kalenderjaar die relevant is voor de beoordeling van het verzoek, met daarbij een toerekening van de kosten en opbrengsten aan activiteiten die verband houden met de aanleg en het beheer van het gesloten distributiesysteem in overeenstemming met het daadwerkelijk gebruik van financiële of andere middelen voor die activiteiten.
9.  Een besluit als bedoeld in het zevende lid wordt genomen binnen zes maanden nadat de informatie, bedoeld in het achtste lid door de raad van bestuur is ontvangen. Deze termijn kan eenmaal met ten hoogste zes maanden worden verlengd.'
14. Artikel V van de Wet van 12 juli 2012 tot wijziging van de Elektriciteitswet 1998 en van de Gaswet (implementatie van richtlijnen en verordeningen op het gebied van elektriciteit en gas) luidt:
2. '1. Degene aan wie een vrijstelling of ontheffing als bedoeld in artikel 15, eerste en tweede lid, met uitzondering van het tweede lid, onderdeel b van de Elektriciteitswet 1998 zoals dit luidde voor het tijdstip van inwerkingtreding van artikel I, onderdeel M, is verleend, kan de Autoriteit Consument en Markt verzoeken om een ontheffing op basis van artikel 15 van de Elektriciteitswet 1998. Dit verzoek wordt ingediend binnen vier maanden na de datum van inwerkingtreding van artikel I, onderdeel M.
2.  Indien niet binnen vier maanden na de inwerkingtreding van artikel I, onderdeel M, door degene aan wie een vrijstelling of ontheffing als bedoeld in het eerste lid is verleend, een verzoek is ingediend, vervalt de vrijstelling of ontheffing één jaar na het tijdstip van inwerkingtreding van artikel I, onderdeel M.
3.  De Autoriteit Consument en Markt beslist uiterlijk tien maanden na ontvangst van een verzoek als bedoeld in het eerste lid op dit verzoek.
4.  Indien ingevolge een besluit van de Autoriteit Consument en Markt ontheffing wordt verleend op basis van artikel 15 van de Elektriciteitswet 1998, vervalt de vrijstelling of ontheffing als bedoeld in het eerste lid op het tijdstip waarop het besluit van de Autoriteit Consument en Markt onherroepelijk wordt.
5.  Indien ingevolge een besluit van de Autoriteit Consument en Markt geen ontheffing wordt verleend op basis van artikel 15 van de Elektriciteitswet 1998, vervalt de vrijstelling of ontheffing als bedoeld in het eerste lid vier maanden na het tijdstip waarop het besluit van de Autoriteit Consument en Markt onherroepelijk is geworden.
6.  Een ontheffing als bedoeld in het eerste lid kan Onze Minister intrekken op grond van artikel 15, vijfde lid, zoals dit luidde voor het tijdstip van inwerkingtreding van artikel I, onderdeel M, uiterlijk tot het tijdstip waarop een besluit van de raad van bestuur van de mededingingsautoriteit onherroepelijk is geworden.
7.  Een ontheffing als bedoeld in artikel 15, tweede lid, onderdeel b, van de Elektriciteitswet 1998 zoals dit luidde voor het tijdstip van inwerkingtreding van artikel I, onderdeel M en die is verleend of is aangevraagd voor 15 februari 2012, vervalt op een bij koninklijk besluit te bepalen tijdstip. Voor deze ontheffing blijven de regels gelden zoals die golden voor het tijdstip van inwerkingtreding van artikel I, onderdeel M.'
## 4 Beoordeling van de relevante feiten en omstandigheden
15. In paragraaf 4.1 geeft ACM een samenvatting van de bij haar bekende feiten en omstandigheden met betrekking tot de ontheffingaanvraag. Vervolgens licht ACM toe hoe zij de ontheffingaanvraag heeft beoordeeld (paragraaf 4.2).
## 4.1 Relevante feiten en omstandigheden
16. De relevante feiten en omstandigheden zijn ontleend aan de ontheffingaanvraag en de aanvullende informatie die bij aanvrager is opgevraagd. Op basis van deze informatie stelt ACM de volgende feiten en omstandigheden vast.
17. Aanvrager motiveert door middel van een omschrijving, een single line diagram en een kaart met de naam 'Terreinsituatie middenspanningsbeveiliging' dat er sprake is van een stelsel van verbindingen aan de Nieuwendammerkade 1-3 te Amsterdam. Uit de beschikking van de gemeente Amsterdam inzake de onroerende zaakbelasting (hierna: OZB-beschikking) van 31 januari 2013 blijkt dat er sprake is van een installatie. Aanvrager heeft middels deze stukken tevens betoogd dat hij eigenaar is van deze installatie. Het stelsel van verbindingen is aangesloten op het openbare elektriciteitsnet van Liander N.V. (hierna: Liander) en er zijn geen afnemers aangesloten op dit stelsel van verbindingen.
## 4.2 Beoordeling
18. De beoordeling van de ontheffingaanvraag valt in drie delen uiteen. Ten eerste dient ACM te beoordelen of er sprake is van een GDS in de zin van artikel 1, eerste lid, onderdeel aq, van de E-wet. Als er sprake is van een GDS, toetst ACM ten tweede of aanvrager voldoet aan de eisen die aan hem zijn gesteld in artikel 15, eerste lid, van de E-wet. Als er sprake is van een GDS én aanvrager voldoet aan de wettelijke eisen, dan beoordeelt ACM op welke grond de ontheffing kan worden verleend.
19. Bij de beoordeling of er sprake is van een GDS gelden de volgende criteria:
- a) Er is sprake van een elektriciteitsnet in de zin van artikel 1, eerste lid, onderdeel i, van de E-wet;
- b) Het elektriciteitsnet is geen onderdeel van het landelijk hoogspanningsnet in de zin van artikel 1, eerste lid, onderdeel aq, van de E-wet;
- c) Het elektriciteitsnet ligt binnen een geografisch afgebakende locatie conform artikel 1, eerste lid, onderdeel aq, van de E-wet ;
- d) Er worden niet meer dan 500 niet-huishoudelijke afnemers aangesloten, conform artikel 1, eerste lid, onderdeel aq, van de E-wet.
ACM heeft deze criteria beoordeeld op basis van de bij haar bekende feiten en omstandigheden.
20. Een ontheffing voor een GDS kan alleen worden verleend als er sprake is van een elektriciteitsnet als bedoeld in artikel 1, eerste lid, onderdeel i, van de E-wet. Op grond van artikel 1, eerste lid, onderdeel i, van de E-wet (voor zover relevant) is sprake van een elektriciteitsnet als er één of meer verbindingen voor het transport van elektriciteit en daarmee verbonden hulpmiddelen zijn, behoudens voor zover deze verbindingen en hulpmiddelen liggen binnen de installatie van een afnemer. Op grond van de verstrekte informatie en de in paragraaf 4.1 van dit besluit beschreven feiten en omstandigheden, concludeert ACM dat er sprake is van een installatie die is aangesloten op het elektriciteitsnet van Liander. ACM motiveert dat als volgt.
21. Om vast te stellen of er sprake is van een elektriciteitsnet beoordeelt ACM of er andere afnemers dan aanvrager zelf zijn aangesloten op het stelsel van verbindingen van aanvrager. Een afnemer is een ieder die beschikt over een aansluiting op een elektriciteitsnet, blijkens artikel 1, eerste lid, onderdeel c, van de E-wet. In artikel 1, eerste lid, onderdeel b, van de E-wet is een aansluiting gedefinieerd als één of meer verbindingen tussen een elektriciteitsnet en een onroerende zaak als bedoeld in artikel 16, onderdelen a tot en met e, van de Wet waardering onroerende zaken (hierna: de Wet WOZ). Uit de verstrekte informatie en de in paragraaf 4.1 van dit besluit beschreven feiten en omstandigheden blijkt dat er geen andere WOZ-objecten zijn met een aansluiting op het stelsel van verbindingen van aanvrager dan het WOZ-object van aanvrager zelf. Uit de verstrekte informatie blijkt namelijk dat alle kadastrale percelen waarop het stelsel van verbindingen is gelegen worden vermeld in de OZB-beschikking met betrekking tot de Nieuwendammerkade 1 te Amsterdam. Daarbij heeft aanvrager vermeld dat de overige gebruikers van het stelsel van verbindingen geen afzonderlijke OZB-beschikking van de gemeente Amsterdam ontvangen. ACM constateert, op basis van de kadastrale percelen vermeld in de OZB-beschikking, dat het terrein waarvoor ontheffing wordt aangevraagd enkel de Nieuwendammerkade 1 te Amsterdam betreft en dus niet tevens betrekking heeft op de Nieuwendammerkade 3 zoals door aanvrager vermeld op het aanvraagformulier. Het betreffende stelsel van verbindingen valt in het  geheel binnen het terrein aan de Nieuwendammerkade 1 te Amsterdam dat in eigendom van aanvrager is.
22. Uit de OZB-beschikking van 31 januari 2013 gericht aan aanvrager is verder gebleken dat de grondslag van voornoemde beschikking voor de eigenaar en de gebruiker identiek is. Hieruit kan worden afgeleid dat er geen OZB- beschikkingen voor het adres Nieuwendammerkade 1 te Amsterdam zijn verzonden aan andere gebruikers dan aanvrager zelf. De gemeente Amsterdam beschouwt dus het gehele terrein als één object dat eigendom is van, en volledig in gebruik is bij, aanvrager. ACM stelt vast dat blijkens de uitspraak van het College van Beroep voor het bedrijfsleven van 4 mei 2011 8 de OZB-beschikking van de gemeente bepalend is voor de afbakening van het WOZ-object.
8 Kenmerk: LJN: BQ3485.
Gelet op hetgeen hiervoor is overwogen, stelt ACM vast dat voor het terrein aan de Nieuwendammerkade 1 te Amsterdam sprake is van één eigenaars en gebruikers WOZ-object. ACM neemt derhalve aan dat aanvrager door de gemeente Amsterdam als eigenaar en enige gebruiker van het terrein aan de Nieuwendammerkade 1 te Amsterdam is aangemerkt. ACM leidt hieruit af dat de door aanvrager verstrekte lijst met gebruikers die zijn aangesloten op het stelsel van verbindingen van aanvrager, geen afnemers zijn in de zin van artikel 1 eerste lid, onderdeel c, van de E-wet.
23. Op grond van de overgelegde informatie en de in paragraaf 4.1 van dit besluit beschreven feiten en omstandigheden, stelt ACM vast dat er geen sprake is van een stelsel van verbindingen tussen verschillende onroerende zaken. Er is derhalve geen sprake van een of meerdere aansluitingen, als bedoeld in artikel 1, eerste lid, onderdeel b, van de E-wet. De verbindingen voor het transport van elektriciteit en daarmee verbonden hulpmiddelen liggen in het geval van aanvrager binnen zijn installatie.
24. ACM concludeert dat de aanvraag niet voldoet aan het criterium zoals neergelegd in artikel 1, eerste lid, onderdeel i, van de E-wet, aangezien er geen sprake is van een elektriciteitsnet. Aanvrager is in het bezit van een installatie. ACM stelt vast dat het stelsel van verbindingen van aanvrager reeds hierom niet kwalificeert als een GDS. Nu er geen sprake is van een GDS in de zin van artikel 1, eerste lid, onderdeel aq, van de E-wet, hoeft ACM niet verder te beoordelen of de aanvraag voldoet aan de eisen van de E-wet. Daarom honoreert ACM de aanvraag op grond van artikel 15, eerste lid, onderdeel b, van de E-wet niet.
## 5 Dictum
25. De Autoriteit Consument en Markt besluit de aanvraag van Albemarle Catalysts Company B.V. af te wijzen.
26. Van dit besluit wordt mededeling gedaan in de Staatscourant. Voorts publiceert de Autoriteit Consument en Markt dit besluit op de internetpagina van de Autoriteit Consument en Markt.
Den Haag,
Datum: 18 november 2013
Autoriteit Consument en Markt namens deze,
w.g. dr. F.J.H. Don bestuurslid
Tegen dit besluit kan degene, wiens belang rechtstreeks bij dit besluit is betrokken, binnen zes weken na bekendmaking beroep instellen bij het College van Beroep voor het bedrijfsleven, Postbus 20021, 2500 EA, 's-Gravenhage.</t>
  </si>
  <si>
    <t>ACM__ontheffing_12464_philips-electronics-nederland-besluit-ontheffing-gas-2013-12-30.txt</t>
  </si>
  <si>
    <t>De burgemeester van Rotterdam [2723:2752]</t>
  </si>
  <si>
    <t>[...] 15 mei 2024 &lt;!-- image --&gt; Tot slot wijs ik u erop, dat u aansprakelijk bent voor alle schade die door het gebruik van deze vergunning aan eigendommen van de gemeente of van anderen mocht worden toegebracht. De burgemeester van Rotterdam, Voor deze, Mr. D. Cevik Plaatsvervangend Teamleider Evenementen ## Bijlage(n) behorende bij de evenementenvergunning Bijlage I : Voorschriften Bijlage II : Geluidsvoorschriften Bijlage III : Artikelen BBGBO [...]</t>
  </si>
  <si>
    <t>ROT_3269e_overschie_Vergunning.txt::Rechtshandeling</t>
  </si>
  <si>
    <t>&lt;!-- image --&gt; ## Geachte In antwoord op het verzoek van 12 maart 2024, deel ik u mede dat er ingevolge artikel 2:25 van de Algemene Plaatselijke Verordening van Rotterdam een vergunning verleend wordt voor: Evenement : Sprookjes Festival 2024 Categorie : A-evenement Datum en tijd(en) evenement : Zaterdag 1 juni 2024 van 10:00 tot 20:30 uur Locatie : Sidelingepark (gelegen in het gede [...]</t>
  </si>
  <si>
    <t>ROT_3269e_overschie_Vergunning.txt::Rechtsobject</t>
  </si>
  <si>
    <t>&lt;!-- image --&gt; ## Geachte In antwoord op het verzoek van 12 maart 2024, deel ik u mede dat er ingevolge artikel 2:25 van de Algemene Plaatselijke Verordening van Rotterdam een vergunning verleend wordt voor: Evenement : Sprookjes Festival 2024 Categorie : A-evenement Datum en tijd(en) evenement : Zaterdag 1 juni 2024 van 10:00 tot 20:30 uur Locatie : Sidelingepark (gelegen in [...]</t>
  </si>
  <si>
    <t>ROT_3554e_prins-alexander_Vergunning.txt::Besluitvormend Orgaan</t>
  </si>
  <si>
    <t>De burgemeester van Rotterdam [1304:1333]</t>
  </si>
  <si>
    <t>[...] re wet- en regelgeving onverlet. Tot slot wijs ik u erop, dat u aansprakelijk bent voor alle schade die door het gebruik van deze vergunning aan eigendommen van de gemeente of van anderen mocht worden toegebracht. De burgemeester van Rotterdam, Voor deze, &lt;!-- image --&gt; M. van Wageningen-Bouaddi Teamleider Evenementen Postadres: Postbus 70012 3000 KP Rotterdam Directie Veiligheid, Evenementen Website: www.rotterdam.nl E-mail: Tel [...]</t>
  </si>
  <si>
    <t>ROT_3554e_prins-alexander_Vergunning.txt::Rechtshandeling</t>
  </si>
  <si>
    <t>verleend [188:197]</t>
  </si>
  <si>
    <t>verleend [188:196]</t>
  </si>
  <si>
    <t>&lt;!-- image --&gt; Geachte , In antwoord op het verzoek van 11-4-2023, deel ik u mede dat er ingevolge artikel 2:25 van de Algemene Plaatselijke Verordening van Rotterdam een vergunning verleend wordt voor: Evenement Categorie : Sint Jansfeest : A-evenement Datum en tijd(en) evenement Locatie : Vrijdag 23-6-2023 van 11.00 uur tot 13.00 uur : Michelangelostraat 375 ter hoogte van Prinsenpar [...]</t>
  </si>
  <si>
    <t>ROT_3554e_prins-alexander_Vergunning.txt::Rechtsobject</t>
  </si>
  <si>
    <t>vergunning [177:188]</t>
  </si>
  <si>
    <t>vergunning [177:187]</t>
  </si>
  <si>
    <t>&lt;!-- image --&gt; Geachte , In antwoord op het verzoek van 11-4-2023, deel ik u mede dat er ingevolge artikel 2:25 van de Algemene Plaatselijke Verordening van Rotterdam een vergunning verleend wordt voor: Evenement Categorie : Sint Jansfeest : A-evenement Datum en tijd(en) evenement Locatie : Vrijdag 23-6-2023 van 11.00 uur tot 13.00 uur : Michelangelostraat 375 ter hoogte van P [...]</t>
  </si>
  <si>
    <t>&lt;!-- image --&gt;
## Besluit
Ons  	ACM/DE/2013/104346/22
kenmerk:
Zaaknummer: 104346
## BESLUIT
Besluit van de Autoriteit Consument en Markt als bedoeld in artikel 2a, eerste lid, van de Gaswet. Besluit van de Autoriteit Consument en Markt als bedoeld in artikel 2a, eerste lid, van de Gaswet.
&lt;!-- image --&gt;
1/28
Q) 3 O O CD O SS EZ ZZL OLO d Postbus16326 |2500 BH Den Haag Muzenstraat 41|2511 WB Den Haag
&lt;!-- image --&gt;
## Inhoudsopgave
| 1                                                                         | Inleiding en Ieeswijzer 3                                                 |
|---------------------------------------------------------------------------|---------------------------------------------------------------------------|
| 2                                                                         | Procedure van totstandkoming van dit besluit 4                            |
| 3                                                                         | Wettelijk kader 6                                                         |
| 4                                                                         | Relevante feiten en omstandigheden 10                                     |
| 5                                                                         | Beoordeling van de ontheffingaanvraag 11                                  |
| 5.1                                                                       | Definitie van gesloten distributiesysteem 11                              |
| 5.2                                                                       | Eisen aan aanvrager 12                                                    |
| 5.3                                                                       | Ontheffingsgronden 13                                                     |
| 6                                                                         | Dictum 15                                                                 |
| Bijlage 1 - Overzicht van de afnemers op het gastransportnet 18           | Bijlage 1 - Overzicht van de afnemers op het gastransportnet 18           |
| Bijlage 2 - Geografische afbakening van de locatie waarop het GDS Iigt 20 | Bijlage 2 - Geografische afbakening van de locatie waarop het GDS Iigt 20 |
&lt;!-- image --&gt;
## 1 Inleiding en Ieeswijzer
1. Met dit besluit geeft de Autoriteit Consument en Markt (hierna: ACM) uitvoering aan artikel 2a, eerste lid, van de Gaswet. Op grand hiervan kan de eigenaar van een gesloten distributiesysteem (hierna: GDS) een aanvraag bij ACM indienen tot verlening van een ontheffing van de verplichting tot het aanwijzen van een netbeheerder (hierna: de ontheffing).
2. ACM geeft met dit besluit haar oordeel op de aanvraag van Philips Electronics Nederland B.V. (hierna: aanvrager) van 19 november 2012 voor een ontheffing op grand van artikel 2a, eerste lid, onderdeel b, van de Gaswet voor het GDS dat ligt op de High Tech Campus to Eindhoven.
## Opbouw van het besluit
3. De indeling van dit besluit is als volgt. Hoofdstuk 2 van dit besluit bevat de gevolgde procedure. Hoofdstuk 3 bevat het wettelijk kader. Het feitencomplex en andere relevante omstandigheden, zoals die bij ACM bekend zijn, zijn samengevat in hoofdstuk 4. ACM beschrijft haar beoordeling van de aanvraag in hoofdstuk 5. ACM eindigt haar besluit met het dictum (hoofdstuk 6).
## Bijlagen bij het besluit
4. ACM heeft twee bijlagen toegevoegd aan het besluit. Deze bijiagen zijn onderdeel van onderhavig besluit.
5. Bijlage 1 bevat een overzicht van de afnemers op het GDS. Bijlage 2 biedt inzicht in de geografische afbakening van de locatie waarop het GDS ligt. Bijlage 3 bevat de reactie van ACM op de ontvangen zienswijze.
&lt;!-- image --&gt;
## 2 Procedure van totstandkoming van dit besluit
6. In dit hoofdstuk beschrijft ACM de procedure die zij heeft gevolgd bij de totstandkoming van dit besluit. ACM heeft de uniforme openbare voorbereidingsprocedure zoals bedoeld in afdeling 3.4 van de Algemene wet bestuursrecht (hierna: Awb) van toepassing verklaard op de voorbereiding van dit besluit.
7. Bij brief van 16 november 2012, ontvangen op 19 november 2012, 1 heeft aanvrager bij ACM een aanvraag ingediend tot verlening van een ontheffing in de zin van artikel 2a, eerste lid, onderdeel b, van de Gaswet. ACM stelt vast dat aanvrager reeds beschikt over een ontheffing van de verplichting tot het aanwijzen van een netbeheerder die voor 20 juli 2012 is verleend. De beslistermijn voor de behandeling van de aanvraag bedraagt tien maanden ingevolge artikel VI, derde lid, van de Wet van 12 juli 2012 tot wijziging van de Elektriciteitswet 1998 en van de Gaswet (implementatie van richtlijnen en verordeningen op het gebied van elektriciteit en gas). 2
8. Bij brief van 31 januari 2013 3 is aanvrager verzocht om de aanvraag aan te vullen. In zijn brief van 23 april 2013, ontvangen op 29 april 2013, 4 heeft aanvrager aanvullende informatie aangeleverd.
9. Van de ontvangst van de aanvraag heeft ACM mededeling gedaan in de Staatscourant van 4 juni 2013. ACM heeft de aanvraag tevens op de internetpagina van ACM, www.acm.nl gemeld. Belanghebbenden hebben vervolgens twee weken de tijd gekregen om een reactie in te dienen bij ACM. Endinet B.V. (hierna: Endinet) heeft zich als belanghebbende gemeld, maar geen reactie op de aanvraag ingediend. ACM heeft verder geen reacties ontvangen.
10. Als onderdeel van de uniforme openbare voorbereidingsprocedure heeft ACM op 8 augustus 2013 het ontwerpbesluit en de daarop betrekking hebbende stukken ter inzage gelegd. ACM heeft hiervan in de Staatscourant van 8 augustus 2013 kennis gegeven. Bovendien heeft ACM het ontwerpbesluit aan aanvrager en Endinet toegezonden 5 en op haar internetpagina gepubliceerd.
11. Op 12 september 2013 had ACM een hoorzitting georganiseerd. ACM heeft geen aanmeldingen voor spreektijd ontvangen. Daarom is deze hoorzitting geannuleerd. Hiervan is per brief van 29 augustus 2013 6 mededeling gedaan aan aanvrager en andere belanghebbenden.
'Brief met kenmerk aanvrager CR12116 Philips OA GDS G, kenmerk ACM: 104346/1.
2 Stb. 2012, nr. 334.
3 Brief met kenmerk104346/4.
4 Brief met kenmerk aanvrager Pl/tc-3393, kenmerk ACM: 104346/10.
5 Brief met kenmerk 104346/15.
° Brief met kenmerk 104346/18.
## Autoriteit Consument a Markt
&lt;!-- image --&gt;
■
12. ACM heeft schriftelijke zienswijzen ontvangen van aanvrager. Deze zienswijzen zijn gepubliceerd op de internetpagina van ACM. Bij brief van 8 oktober 2013 7 is aanvrager verzocht aanvullende informatie to verstrekken. In zijn brief van 21 oktober 2013, ontvangen op 23 oktober 2013, 8 heeft aanvrager de aanvullende informatie aangeleverd.
13. In bijlage 3 bij dit besluit heeft ACM haar reactie op de ingebrachte zienswijzen gegeven. Indien een zienswijze heeft geleid tot een wijziging van het besluit ten opzichte van het ontwerpbesluit, dan heeft ACM dat duidelijk in het besluit aangegeven.
Brief met kenmerk 104346/20.
B Brief met kenmerk 104346/21.
&lt;!-- image --&gt;
## 3 Wettelijk kader
14. In dit hoofdstuk beschrijft ACM de bepalingen die gezamenlijk het wettelijk kader vormen voor dit besluit.
15. Artikel 1, eerste lid, onderdelen b, c, d, k, m, n, o en am, van de Gaswet luiden:
"b. gas:
1°. aardgas dat bij een temperatuur van 15° Celsius en bij een druk van 1,01325 bar in gasvormige toestand verkeert en in hoofdzaak bestaat uit methaan of een andere stof die vanwege haar eigenschappen aan methaan gelijkwaardig is en
## 2°. stof die:
- is opgewekt in een productie-installatie die uitsluitend gebruik maakt van hernieuwbare energiebronnen of
- is opgewekt in een hybride productie-installatie die gebruik maakt van zowel hernieuwbare als fossiele energiebronnen en
- bij een temperatuur van 15° Celsius en bij een druk van 1,01325 bar in gasvormige toestand verkeert en in hoofdzaak bestaat uit methaan of een andere stof die vanwege haar eigenschappen aan methaan gelijkwaardig is voor zover het mogelijk en veilig is deze stof overeenkomstig hoofdstuk 2 to transporteren.
- c.  gasproductienet: een of meer pijpleidingen die onderdeel uitmaken van een olie- of gaswinningsproject of die worden gebruikt voor het transport van gas rechtstreeks van een gaswinningsproject naar een verwerkingsinstallatie, een opslagplaats of een aanlandingsplaats
- d.  gastransportnet: niet tot een gasproductienet behorende, met elkaar verbonden leidingen of hulpmiddelen bestemd of gebruikt voor het transport van gas, met inbegrip van hulpmiddelen en installaties waarmee ondersteunende diensten voor dat transport worden verricht behoudens voor zover deze leidingen en hulpmiddelen onderdeel uitmaken van een directe lijn of gelegen zijn binnen de installatie van de afnemer.
- k. verwant bedrijf· verbonden onderneming in de zin van artikel 41 van de zevende richtlijn nr. 83/349/EEG van de Raad van 13 juni 1983 op de grondslag van artikel 54, derde lid, sub g, van het Verdrag betreffende de geconsolideerde jaarrekening of een geassocieerde onderneming in de zin van artikel 33, eerste lid, daarvan of een onderneming die aan dezelfde aandeelhouders toebehoort;
- m. aansluiting: een of meer verbindingen tussen een gastransportnet en een onroerende zaak als bedoeld in artikel 16, onderdelen a tot en met e, van de Wet waardering onroerende zaken,
- n.  landelijk gastransportnet: een gastransportnet dat uitsluitend of in hoofdzaak bestemd is of wordt gebruikt voor het op landelijk niveau transporteren van gas;
- o.  afnemer: een persoon met een aansluiting op een gastransportnet; am. gesloten distributiesysteem: een net, niet zijnde het landelijk gastransportnet:
## Autoriteit Consument &amp;amp; Markt
&lt;!-- image --&gt;
■
1. dat ligt binnen een geografisch afgebakende industriele locatie, commerciele locatie of locatie met gedeelde diensten,
2. waarop minder dan 500 afnemers zijn aangesloten en
3. dat alleen niet-huishoudelijke afnemers van gas voorziet, tenzij er sprake is van incidenteel gebruik door een klein aantal huishoudelijke afnemer die werkzaam is of vergelijkbare betrekkingen heeft met de eigenaar van het gesloten distributiesysteem."
## 16.  	Artikel 2a van de Gaswet Iuidt:
- "1. De Autoriteit Consument en Markt kan op diens aanvraag ontheffing verlenen aan een eigenaar van een gesloten distributiesysteem van het gebod van artikel 2, achtste lid, indien:
- a. de bedrijfs- of productieproces van de gebruikers van een gesloten distributiesysteem om specifieke technische of veiligheidsredenen geIntegreerd is of
- b. het gesloten distributiesysteem primair gas transporteert voor de eigenaar van dat systeem of de daarmee verwante bedrijven en
- c. de aanvrager geen netbeheerder is en niet in een groepsmaatschapp met een netbeheerder verbonden is.
2. De Autoriteit Consument en Markt neemt het besluit zo spoedig mogelijk, doch uiterlijk zes maanden na ontvangst van de aanvraag. Deze termijn kan eenmaal met ten hoogste zes maanden worden verlengd. De Autoriteit Consument en Markt kan aan een ontheffing voorschriften en beperkingen verbinden.
3. De Autoriteit Consument en Markt kan een ontheffing intrekken indien degene aan wie de ontheffing is verleend:
- a. niet langer voldoet aan de voorwaarden, bedoeld in het eerste lid;
- b. in strijd handelt met de voorschriften en beperkingen als bedoeld in het tweede lid en het bepaalde bij of krachtens het vierde tot en met het zevende lid;
- c. bij de aanvraag om een ontheffing onjuiste of onvolledige gegevens heeft verstrekt en de verstrekking van juiste of volledige gegevens tot een andere beschikking op de aanvraag zou hebben geleid.
4. lndien een ontheffing is verleend, zijn uitsluitend het vijfde en zesde lid van toepassing op de eigenaar van een gesloten distributiesysteem.
5. De eigenaar van een gesloten distributiesysteem beheert het gesloten distributiesysteem
6. Net bepaalde bij of krachtens de artikelen 1g, 1h, 10, eerste lid, tweede lid, onderdeel b, derde lid, onderdeel b, vijfde en zesde lid, 14, 17a, 19, 35d, 35e, eerste lid, 42, 42b, 42c, 52b, negende lid, en 81d, tweede en derde lid, is van overeenkomstige toepassing voor de eigenaar van een gesloten distributiesysteem, met dien verstande dat:
- a. artikel 10, zesde lid, uitsluitend geldt voor zover er na aansluiting sprake is van een afnemer binnen het geografisch gebied waarbinnen het gesloten distributiesysteem ligt en deze aansluiting past bij het karakter van het gesloten distributiesysteem,
- b. niet aan de verplichtingen, bedoeld in de in artikel 14, eerste lid, genoemde artikelen behoeft to worden voldaan;
## Autoriteit Consument &amp;amp; Markt
&lt;!-- image --&gt;
to
- c. dat in de artikelen 1g en 1 h in plaats van «gasbedrijf» wordt gelezen «eigenaar van een gesloten distributiesysteem».
7.  De Autoriteit Consument en Markt keurt op verzoek van een aangeslotene op een gesloten distributiesysteem de van kracht zijnde methode voor de berekening van de tarieven goed.
8.  lndien een verzoek als bedoeld in het zevende lid is ontvangen, overlegt de eigenaar van een gesloten distributiesysteem binnen drie maanden na de datum waarop de raad van bestuur de eigenaar van een gesloten distributiesysteem over het verzoek heeft geInformeerd, aan de raad van bestuur informatie over het aan het verzoek voorafgaande kalenderjaar die relevant is voor de beoordeling van het verzoek, met daarbij een toerekening van de kosten en opbrengsten aan activiteiten die verband houden met de aanleg en het beheer van het gesloten distributiesysteem in overeenstemming met het daadwerkelijk gebruik van financiele of andere middelen voor die activiteiten.
9.  Een besluit als bedoeld in het zevende lid, wordt genomen binnen zes maanden nadat de informatie, bedoeld in het achtste lid door de raad van bestuur is ontvangen. Deze termijn kan eenmaal met ten hoogste zes maanden worden verlengd."
17.  	Artikel VI van de Wet van 12 juli 2012 tot wijziging van de Elektriciteitswet 1998 en van de Gaswet (implementatie van richtlijnen en verordeningen op het gebied van elektriciteit en gas) Iuidt:
6. "1. Degene aan wie een ontheffing als bedoeld in artikel 2a, eerste lid, met uitzondering van het eerste lid, onderdeel b van de Gaswet zoals dit luidde voor het tijdstip van inwerkingtreding van artikel 11, onderdeel D, is verleend, kan de Autoriteit Consument en Markt verzoeken om een ontheffing op basis van artikel 2a van de Gaswet. Dit verzoek wordt ingediend binnen vier maanden na de datum van inwerkingtreding van artikel II, onderdeel D.
2.  lndien niet binnen vier maanden na inwerkingtreding van artikel II, onderdeel D, door degene aan wie een ontheffing als bedoeld in het eerste lid is verleend, een verzoek is ingediend, vervalt de ontheffing een jaar na het tijdstip van inwerkingtreding van artikel II, onderdeel D.
3.  De Autoriteit Consument en Markt beslist uiterlijk tien maanden na ontvangst van een verzoek als bedoeld in het eerste lid op dit verzoek.
4.  lndien ingevolge een besluit van de Autoriteit Consument en Markt ontheffing wordt verleend op basis van artikel 2a van de Gaswet, vervalt de ontheffing als bedoeld in het eerste lid op het tijdstip waarop het besluit van de Autoriteit Consument en Markt onherroepelijk wordt.
5.  lndien ingevolge een besluit van de Autoriteit Consument en Markt geen ontheffing wordt verleend op basis van artikel 2a van de Gaswet, vervalt de ontheffing als bedoeld in het eerste lid vier maanden na het tijdstip waarop het besluit van de Autoriteit Consument en Markt onherroepelijk is geworden.
6.  Een ontheffing als bedoeld in het eerste lid kan Onze Minister intrekken op grond van artikel 2a, vierde lid, van de Gaswet zoals dit luidde voor het tijdstip van inwerkingtreding
## Autoriteit Consument &amp;amp; Markt Autoriteit
&lt;!-- image --&gt;
■
van artikel II, onderdeel D, uiterlijk tot het tijdstip waarop een besluit van de raad van bestuur van de mededingingsautoriteit onherroepelijk is geworden.
7. Een ontheffing als bedoeld in artikel 2a, eerste lid, onderdeel b, van de Gaswet zoals dit luidde voor het tijdstip van inwerkingtreding van artikel 11, onderdeel D, en die is verleend of is aangevraagd voor 15 februari 2012 vervalt op een bij koninklijk besluit to bepalen tijdstip. Voor deze ontheffing blijven de regels gelden zoals die golden voor het tijdstip van inwerkingtreding van artikel II, onderdeel D."
## 26 8
&lt;!-- image --&gt;
## 4 Relevante feiten en omstandigheden
18. In dit hoofdstuk geeft ACM een samenvatting van de bij haar bekende feiten en omstandigheden met betrekking tot de ontheffingaanvraag. Deze feiten en omstandigheden zijn ontleend aan de ontheffingaanvraag en aanvullende informatie die bij aanvrager is opgevraagd. Op basis van deze informatie stelt ACM de volgende feiten en omstandigheden vast.
19. Aanvrager is van oordeel dat er sprake is van een gastransportnet op de High Tech Campus te Eindhoven. Hij motiveert dit door middel van een omschrijving, een gasdistributieschema en een kaart waarop de loop van de leidingen is weergegeven. Het gastransportnet opereert op een drukniveau van 30-100 mbar en 1.000 mbar en is, volgens aanvrager, geen onderdeel van het Iandelijk gastransportnet. Het gastransportnet is aangesloten op het gastransportnet van Endinet.
20. Aanvrager betoogt dat hij eigenaar is van dit gastransportnet. De percelen waarop de High Tech Campus is gelegen, zijn door aanvrager verkocht aan diverse partijen. Aanvrager heeft hierbij telkens een voorbehoud van het recht van opstal ter zake van het gastransportnet gemaakt. Dit blijkt volgens aanvrager uit een notariele verklaring van 16 april 2013 met bijlagen, waarbij een van de aktes "Levering onder voorbehoud van een recht van erfpacht en opstalrechten en vestiging van kwalitatieve verplichtingen met betrekking tot een gedeelte van de High Tech Campus Eindhoven" van 28 maart 2012 is overgelegd. Aanvrager heeft de eigendom van het gehele gastransportnet door middel van het recht van opstal geregeld.
21. Op het gastransportnet zijn 39 afnemers aangesloten. Een overzicht van deze afnemers staat in Tabel 1, opgenomen in bijlage 1 bij dit besluit. Op het gastransportnet zijn geen huishoudelijke afnemers of productie-installaties aangesloten. Op het gastransportnet zijn volgens aanvrager geen aan de aanvrager verwante bedrijven aangesloten. Aanvrager gebruikte in het jaar 2012 meer dan 90% van de getransporteerde gas.
22. Aanvrager heeft verklaard geen netbeheerder in de zin van de Gaswet te zijn. Aanvrager heeft eveneens verklaard dat hij geen deel uitmaakt van een groep als bedoeld in artikel 24b van boek 2 van het Burgerlijk Wetboek (hierna: BW) waarvan oak een netbeheerder in de zin van de Gaswet onderdeel uitmaakt.
23. Aanvrager geeft aan de kwaliteit en veiligheid op het gastransportnet op de volgende wijze te borgen. Er wordt gaslekdetectie en inspectie van de installatiedelen uitgevoerd door een externe partij, Johnson Controls. Er is sinds 2000 zeer fors geInvesteerd in zowel uitbreiding ten behoeve van nieuwbouw, alsmede de sloop en vervanging van de oudere gebouwen.
&lt;!-- image --&gt;
## 5 Beoordeling van de ontheffingaanvraag
24.  	In dit hoofdstuk Iicht ACM toe hoe zij de ontheffingaanvraag heeft beoordeeld. De beoordeling valt uiteen in drie delen. Ten eerste beoordeelt ACM of er sprake is van een GDS in de zin van artikel 1, eerste lid, onderdeel am, van de Gaswet (paragraaf 5.1). Als er sprake is van een GDS, beoordeelt ACM ten tweede of aanvrager voldoet aan de eisen die aan hem zijn gesteld in artikel 2a, eerste lid, van de Gaswet (paragraaf 5.2). Als er sprake is van een GDS en aanvrager voldoet aan de wettelijke eisen, dan beoordeelt ACM op welke grond de ontheffing kan worden verleend (paragraaf 5.3).
## 5.1 Definitie van gesloten distributiesysteem
25.  	Bij de beoordeling of er sprake is van een GDS gelden de volgende criteria:
- a) Er is sprake van een gastransportnet in de zin van artikel 1, eerste lid, onderdeel d, van de Gaswet;
- b) Het gastransportnet is geen onderdeel van het landelijk gastransportnet conform artikel 1, eerste lid, onderdeel am, van de Gaswet;
- c) Het gastransportnet ligt binnen een geografisch afgebakende locatie conform artikel 1, eerste lid, onderdeel am, van de Gaswet;
- d) Er worden niet meer dan 500 niet-huishoudelijke afnemers aangesloten, conform artikel 1, eerste lid, onderdeel am, van de Gaswet.
ACM heeft deze criteria beoordeeld op basis van de bij haar bekende feiten en omstandigheden. ACM vat haar beoordeling samen aan het eind van deze paragraaf.
26.  	Een ontheffing voor een GDS kan alleen worden verleend als er sprake is van een gastransportnet als bedoeld in artikel 1, eerste lid, onderdeel d, van de Gaswet. Op grond van de in hoofdstuk 4 van dit besluit beschreven feiten en omstandigheden, concludeert ACM dat er sprake is van een stelsel van leidingen dat is aangesloten op het gastransportnet van Endinet en gas in de zin van artikel 1, eerste lid, onderdeel b, van de Gaswet transporteert. ACM stelt verder vast dat op het stelsel van leidingen 39 afnemers zijn aangesloten. ACM concludeert dat er sprake is van een gastransportnet in de zin van artikel 1, eerste lid, onderdeel d, van de Gaswet.
27.  	Op grond van artikel 1, eerste lid, onderdeel am, aanhef, van de Gaswet kan geen ontheffing worden verleend betreffende een gastransportnet dat tot het landelijk gastransportnet, als bedoeld in artikel 1, eerste lid, onderdeel n, van de Gaswet, behoort. Uit de feiten en omstandigheden zoals die zijn beschreven in hoofdstuk 4 van dit besluit maakt ACM op dat het gastransportnet niet wordt gebruikt voor het landelijk transport van gas. ACM concludeert dat het gastransportnet geen onderdeel is van het landelijk gastransportnet.
28.  	Op grond van artikel 1, eerste lid, onderdeel am, van de Gaswet dient het gastransportnet binnen een geografisch afgebakende industriele locatie, commerciele locatie of een locatie met gedeelde diensten to liggen. Binnen die locatie geldt een aansluitplicht voor de
## Autoriteit Consument E.  Markt
&lt;!-- image --&gt;
tki
ontheffinghouder. Uit de feiten en omstandigheden zoals die zijn beschreven in hoofdstuk 4 van dit besluit blijkt dat de geografische afbakening van het gastransportnet de High Tech Campus te Eindhoven is. De High Tech Campus is gelegen tussen de Professor Holstlaan, de N2, de sloot aan de noordzijde en de begrenzing van het waterwingebied aan de westzijde. Aanvrager heeft dit genoegzaam aangetoond. Daarnaast blijkt dat er sprake is van een locatie met gedeelde diensten. ACM concludeert dat de aanvraag op dit punt voldoet aan de wet en definieert de geografische afbakening van het gastransportnet als de High Tech Campus te Eindhoven.
29. Om in aanmerking te komen voor een ontheffing moet aanvrager beschikken over een gastransportnet waarop, blijkens artikel 1, eerste lid, onderdeel am, van de Gaswet niet meer dan 500 niet-huishoudelijke afnemers zijn aangesloten. Uit de feiten en omstandigheden zoals die zijn beschreven in hoofdstuk 4 van dit besluit blijkt dat er 39 niet-huishoudelijke afnemers en geen huishoudelijke afnemers op het gastransportnet zijn aangesloten. ACM concludeert dat de aanvraag voldoet aan dit wettelijk vereiste van een GDS.
30. Uit de voorgaande randnummers blijkt dat er sprake is van een gastransportnet in de zin van de Gaswet, het gastransportnet onderdeel is van het landelijk gastransportnet, het gastransportnet ligt binnen een geografisch afgebakende locatie met gedeelde diensten, er minder dan 500 afnemers zijn aangesloten, en er geen huishoudelijke afnemers zijn aangesloten op het gastransportnet. ACM stelt vast dat het gastransportnet kwalificeert als een GDS.
## 5.2 Eisen aan aanvrager
31. Nu er sprake is van een GDS in de zin van artikel 1, eerste lid, onderdeel am, van de Gaswet, beoordeelt ACM, conform artikel 2a, eerste lid, aanhef en de onderdeel c, van de Gaswet of aanvrager beschikt over de eigendom van het gastransportnet, geen netbeheerder is, en ook niet verbonden is met een netbeheerder in een groepsmaatschappij. ACM heeft dit beoordeeld op basis van de bij ACM bekende feiten en omstandigheden. ACM vat haar beoordeling samen aan het eind van deze paragraaf.
32. De aanhef van het eerste lid van artikel 2a van de Gaswet vereist dat aanvrager beschikt over de eigendom van het GDS waarvoor hij een ontheffing aanvraagt. ACM merkt op dat het hierbij dient te gaan om de juridische eigendom van het GDS. Uit de in hoofdstuk 4 van dit besluit beschreven feiten en omstandigheden, leidt ACM of dat aanvrager beschikt over de eigendom van het gastransportnet. Aanvrager heeft dit genoegzaam aangetoond door notariele aktes te overleggen, waaruit blijkt dat aanvrager een recht van opstal ter zake van het gastransportnet heeft vastgelegd op de percelen waar de High Tech Campus is gevestigd. ACM concludeert dat aanvrager beschikt over de eigendom van het gastransportnet.
33. Op grond van artikel 2a, eerste lid, onderdeel c, van de Gaswet mag aanvrager geen netbeheerder zijn en ook niet in een groepsmaatschappij met een netbeheerder verbonden
&lt;!-- image --&gt;
zijn. Aanvrager heeft verklaard geen netbeheerder en ook niet in een groepsmaatschappij met een netbeheerder verbonden te zijn. Hij heeft dit genoegzaam aangetoond door middel van het overleggen van een uittreksel van de Kamer van Koophandel. Hiermee voldoet de aanvraag aan het criterium uit artikel 2a, eerste lid, onderdeel c, van de Gaswet.
34.  	Uit de voorgaande randnummers blijkt dat aanvrager eigenaar is van het gastransportnet, geen netbeheerder is en niet in een groepsmaatschappij is verbonden met een netbeheerder. ACM stelt derhalve vast dat aanvrager voldoet aan de eisen die worden gesteid aan het verlenen van een ontheffing in de zin van artikel 2a van de Gaswet.
## 5.3 Ontheffingsgronden
35.  	Nu er sprake is van een GDS en aanvrager voldoet aan de wettelijke eisen, beoordeelt ACM ingevolge artikel 2a, eerste lid, onderdelen a en b, van de Gaswet op welke grond zij de ontheffing kan verlenen:
- a) De a-grond: het bed rijfs- of productieproces van de gebruikers van het GDS is om specifieke technische of veiligheidsredenen geIntegreerd;
- b) De b-grond: het GDS transporteert gas primair voor de eigenaar van dat systeem of de daarmee verwante bedrijven.
Aanvrager doet, zo blijkt uit de verstrekte informatie, een beroep op de b-grond. ACM heeft daarom alleen deze grond beoordeeld.
36.  	Om in aanmerking te komen voor een ontheffing op de b-grond dient te worden aangetoond dat het GDS gas primair transporteert voor de eigenaar van dat systeem of de daarmee verwante bedrijven. Blijkens de in hoofdstuk 4 van dit besluit beschreven feiten en omstandigheden, zijn er naast aanvrager geen verwante bedrijven aangesloten op het GDS. ACM hoeft daarom alleen rekening te houden met het verbruik van aanvrager zelf. Aanvrager neemt meer dan 90% van de getransporteerde gas af. Aanvrager heeft daarnaast toegelicht dat het gastransportnet in de jaren zestig van de vorige eeuw voor aanvrager is ontwikkeld. In 2000 werd op het terrein een begin gemaakt met de High Tech Campus. In eerste instantie is de High Tech Campus ontwikkeld om plaats te bieden aan diverse laboratoria en verkoopafdelingen van aanvrager. In de loop der tijd hebben zich ook andere afnemers op de High Tech Campus gevestigd. ACM stelt vast dat de aanvraag voldoet aan beide criteria die ten grondslag liggen aan de b-grond. 9 Het GDS is derhalve primair bedoeld voor aanvrager. ACM concludeert dat aanvrager hiermee gemotiveerd heeft aangetoond dat er sprake is van een situatie ais omschreven in artikel 2a, eerste lid, onderdeel b, van de Gaswet.
37. ACM concludeert op grond van het voorgaande dat de aanvraag voldoet aan de voorwaarden genoemd in de Gaswet. Er zijn verder geen feiten en omstandigheden bij ACM bekend die, ondanks dat wordt voldaan aan de voorwaarden, aan de verlening van een ontheffing in de weg staan. ACM honoreert de aanvraag op grond van artikel 2a, eerste lid, onderdeel b, van
0 Zie bijlage 3 zienswijze 1.
&lt;!-- image --&gt;
de Gaswet. ACM merkt op dat zij de voorschriften die zijn verbonden aan dit besluit heeft aangepast naar aanleiding van de ingediende zienswijze. 1°
10   Zie bijiage 3 zienswijze 2 tot en met 6.
## 14/28
&lt;!-- image --&gt;
## 6 Dictum
38. De Autoriteit Consument en Markt besluit op grond van artikel 2a, eerste lid, onderdeel b, van de Gaswet een ontheffing te verlenen van de verplichting een netbeheerder aan te wijzen aan Philips Electronics Nederland B.V. voor het gesloten distributiesysteem gelegen op de High Tech Campus te Eindhoven.
39. De ontheffing wordt verleend onder de volgende voorschriften:
## 1) Definities
Tenzij in deze voorschriften anders gedefinieerd, zijn de definities bij of krachtens de Gaswet van toepassing. In deze ontheffing en de daarop rustende voorschriften wordt verstaan onder:
- a. Derdentoegang: Het recht van een afnemer op keuzevrijheid van leverancier.
- b.  Switchverzoek: Het verzoek van een afnemer om van leverancier te wisselen.
- c. Particuliere netbeheerder: Eigenaar van een gesloten distributiesysteem, waaraan krachtens artikel 2a van de Gaswet ontheffing is verleend.
## 2) Wijzigingen in de ontheffing
Naam- en adreswijzigingen, alle wijzigingen met betrekking tot het net zoals eigendomswisselingen of wijzigingen in het aantal afnemers en alle andere wijzigingen die van invloed kunnen zijn op deze ontheffing worden uiterlijk vier weken voorafgaand aan de wijziging onverwijld door de particuliere netbeheerder schriftelijk aan de Autoriteit Consument en Markt gemeld.
## 3) Voorwaarden en tarieven
- a. De voorwaarden en tarieven waartegen de aansluiting en het transport van gas worden uitgevoerd door de particuliere netbeheerder worden op gepaste wijze vooraf bekendgemaakt aan de afnemers op zijn gastransportnet.
- b. De particuliere netbeheerder draagt er zorg voor dat de afnemers van zijn net te alien tijde transparante informatie kunnen verkrijgen over deze geldende tarieven en voorwaarden.
- c. Tevens draagt de particuliere netbeheerder er zorg voor dat al zijn afnemers een overzicht ontvangen waarop de tarieven overzichtelijk en begrijpelijk zijn gespecificeerd. Hierbij wordt in elk geval onderscheid gemaakt tussen de tarieven in verband met de aansluiting, het transport van gas en indien van toepassing de tarieven voor levering.
## 4) Veiligheid
De particuliere netbeheerder dient onverminderd het bepaalde in artikel 10 van de Gaswet ter waarborging van de veiligheid en de betrouwbaarheid van het gastransportnet te beschikken over:
- a. een onderhoudsplan met bijbehorende onderhoudsdienst;
- b.  een storingsplan met bijbehorende storingsdienst;
- c. een calamiteitenplan met betrekking tot het gastransportnet en degenen die toegang hebben tot het gastransportnet hierover te instrueren;
## Autoriteit Consument &amp;amp; Markt Autoriteit
&lt;!-- image --&gt;
■
- d. een investeringsplan waarvan een vervangingsplan onderdeel is;
- e. een bedrijfsmiddelenregister, dat een beschrijving bevat van alle verbindingen, leidingen en hulpmiddelen van het gastransportnet, aangeduid naar locatie, aard, type en overige relevante gegevens.
## 5) Derdentoegang bij aansluitingen op openbare regionale gastransportnetten
- a. De particuliere netbeheerder waarborgt een systeem van derdentoegang door een daadwerkelijke toegang tot zijn gastransportnet voor degenen die zijn gevestigd binnen het geografisch gebied waarvoor ontheffing is verleend te bewerkstelligen. De beheerde van een particulier net zal na ontvangst van een verzoek om te switchen toestaan dat de afnemer zeif de meetverantwoordelijkheid inricht en een erkend meetverantwoordelijke contracteert, tenzij de beheerder van een particulier net met de afnemer anders is overeengekomen. Daarnaast zal de beheerder van een particulier net een "faciliterende netbeheerder" aanstellen voor de kiant- en marktprocessen zoals beschreven in de Informatiecode Elektriciteit en Gas.
- b. De particuliere netbeheerder richt zijn systeem van derdentoegang in met inachtneming van de systematiek van de technische codes.
- c. De particuliere netbeheerder dient binnen een redelijke termijn na ontvangst van het eerste schriftelijke switchverzoek van de eerste afnemer die om derdentoegang verzoekt, alle hiervoor benodigde handelingen uit te voeren en systemen in werking te laten treden, waaronder een aansluitingenregister, als bedoeld in Hoofdstuk 2, paragraaf 1 van de Informatiecode.
- d.  Onder een redelijke termijn zoals bed</t>
  </si>
  <si>
    <t>ACM__ontheffing_12552_besluit-vishay-zwolle-elektriciteit-2014-01-21.txt</t>
  </si>
  <si>
    <t>ROT_3668e_prins-alexander_Vergunning.txt::Besluitvormend Orgaan</t>
  </si>
  <si>
    <t>de burgemeester van Rotterdam</t>
  </si>
  <si>
    <t>de burgemeester van Rotterdam [2875:2904]</t>
  </si>
  <si>
    <t>[...] kelijk bent voor alle schade die door het gebruik van deze vergunning aan eigendommen van de gemeente of van anderen mocht worden toegebracht. Wij vertrouwen erop u hierbij voldoende te hebben geïnformeerd. Namens de burgemeester van Rotterdam, mr. K. Heijnen Teamleider Evenementen &lt;!-- image --&gt; ## Bijlage(n) behorende bij de evenementenvergunning Bijlage I : Voorschriften Bijlage II : Geluidsvoorschriften Bijlage III : Artikelen B [...]</t>
  </si>
  <si>
    <t>ROT_3668e_prins-alexander_Vergunning.txt::Rechtshandeling</t>
  </si>
  <si>
    <t>verleend [210:219]</t>
  </si>
  <si>
    <t>verleend [210:218]</t>
  </si>
  <si>
    <t>&lt;!-- image --&gt; ## Geachte heer, mevrouw In antwoord op het verzoek van 04 november 2021, deel ik u mede dat er ingevolge artikel 2:25 van de Algemene Plaatselijke Verordening van Rotterdam een vergunning verleend wordt voor: Evenement : Sinterklaasfeest Categorie : A-evenement met coronatoegangsbewijs Datum en tijd(en) evenement : Zaterdag 4 december 2021 van 13:30 uur t/m 15:00 uur. Locatie : Hanrat [...]</t>
  </si>
  <si>
    <t>ROT_3668e_prins-alexander_Vergunning.txt::Rechtsobject</t>
  </si>
  <si>
    <t>vergunning [199:210]</t>
  </si>
  <si>
    <t>vergunning [199:209]</t>
  </si>
  <si>
    <t>&lt;!-- image --&gt; ## Geachte heer, mevrouw In antwoord op het verzoek van 04 november 2021, deel ik u mede dat er ingevolge artikel 2:25 van de Algemene Plaatselijke Verordening van Rotterdam een vergunning verleend wordt voor: Evenement : Sinterklaasfeest Categorie : A-evenement met coronatoegangsbewijs Datum en tijd(en) evenement : Zaterdag 4 december 2021 van 13:30 uur t/m 15:00 uur. Locatie [...]</t>
  </si>
  <si>
    <t>&lt;!-- image --&gt;
## Besluit
Ons
kenmerk:
ACM/DE/2014/200251
Zaaknummer:
12.0274.30
## BESLUIT
Besluit van de Autoriteit Consument en Markt als bedoeld in artikel 15, eerste lid, van de Elektriciteitswet 1998.
&lt;!-- image --&gt;
1/19
T 070 722 20 00 | F 070 722 23 55 info@acm.nl | www.acm.nl | www.consuwijzer.nl Muzenstraat 41 | 2511 WB Den Haag Postbus 16326 | 2500 BH Den Haag
&lt;!-- image --&gt;
## Besluit
## Inhoudsopgave
| 1         | Inleiding en leeswijzer .......................................................................................................... 3                                                                                                                                                            |
|-----------|-------------------------------------------------------------------------------------------------------------------------------------------------------------------------------------------------------------------------------------------------------------------------------------------------|
| 2         | Procedure van totstandkoming van dit besluit ............................................................... 4                                                                                                                                                                                  |
| 3         | Wettelijk kader ....................................................................................................................... 6                                                                                                                                                       |
| 4         | Relevante feiten en omstandigheden .............................................................................. 10                                                                                                                                                                            |
| 5         | Beoordeling van de ontheffingaanvraag ........................................................................ 12                                                                                                                                                                               |
| 5.1       | Definitie van gesloten distributiesysteem .................................................................... 12                                                                                                                                                                               |
| 5.2       | 2/19 Eisen aan aanvrager .................................................................................................... 13                                                                                                                                                                |
| 5.3       | Ontheffingsgronden ..................................................................................................... 14                                                                                                                                                                     |
| 6 Bijlage | Dictum ................................................................................................................................... 16 1 ............................................................................................................................................ 19 |
&lt;!-- image --&gt;
## Besluit
## 1 Inleiding en leeswijzer
1. Met dit besluit geeft de Autoriteit Consument en Markt (hierna: ACM) uitvoering aan artikel 15, eerste lid, van de Elektriciteitswet 1998 (hierna: E-wet). Op grond hiervan kan de eigenaar van een gesloten distributiesysteem (hierna: GDS) een aanvraag bij ACM indienen tot verlening van een ontheffing van de verplichting tot het aanwijzen van een netbeheerder (hierna: de ontheffing).
2. ACM geeft met dit besluit haar oordeel op de aanvraag van Vishay BCcomponents B.V. (hierna: aanvrager) van 15 november 2012 voor een ontheffing op grond van artikel 15, eerste lid, onderdeel b, van de E-wet voor het GDS dat ligt op het bedrijfsterrein aan de Ceintuurbaan 15 te Zwolle.
## Opbouw van het besluit
3. De indeling van dit besluit is als volgt. Hoofdstuk 2 van dit besluit bevat de gevolgde procedure. Hoofdstuk 3 bevat het wettelijk kader. Het feitencomplex en andere relevante omstandigheden, zoals die bij ACM bekend zijn, zijn samengevat in hoofdstuk 4. ACM beschrijft haar beoordeling van de aanvraag in hoofdstuk 5. ACM eindigt haar besluit met het dictum (hoofdstuk 6).
## Bijlage bij het besluit
4. ACM heeft één bijlage toegevoegd aan het besluit. Deze bijlage is onderdeel van onderhavig besluit.
5. Bijlage 1 bevat een plattegrond van het bedrijfsterrein waarop de 10 kV verbindingen zijn weergegeven.
&lt;!-- image --&gt;
3/19
&lt;!-- image --&gt;
## Besluit
## 2 Procedure van totstandkoming van dit besluit
6. In dit hoofdstuk beschrijft ACM de procedure die zij heeft gevolgd bij de totstandkoming van dit besluit. ACM heeft de uniforme openbare voorbereidingsprocedure zoals bedoeld in afdeling 3.4 van de Algemene wet bestuursrecht (hierna: Awb) van toepassing verklaard op de voorbereiding van dit besluit.
7. Bij brief van 15 november 2012, ontvangen op 15 november 2012, 1 heeft aanvrager bij ACM een aanvraag ingediend tot verlening van een ontheffing in de zin van artikel 15, eerste lid, onderdeel b, van de E-wet. ACM stelt vast dat aanvrager reeds beschikt over een ontheffing van de verplichting tot het aanwijzen van een netbeheerder die vóór 20 juli 2012 is verleend. De beslistermijn voor de behandeling van de aanvraag bedraagt tien maanden ingevolge artikel V, derde lid, van de Wet van 12 juli 2012 tot wijziging van de Elektriciteitswet 1998 en van de Gaswet (implementatie van richtlijnen en verordeningen op het gebied van elektriciteit en gas) 2 .
8. Bij brieven van 11 december 2012, 4 februari 2013 en 12 maart 2013 3 is aanvrager verzocht om de aanvraag aan te vullen. In zijn brieven van 15 januari 2013, 19 februari 2013 en 17 april 2013, ontvangen op respectievelijk 16 januari 2013, 19 februari 2013 en 19 april 2013, 4 heeft aanvrager aanvullende informatie aangeleverd.
9. Van de ontvangst van de aanvraag heeft ACM in de Staatscourant van 30 mei 2013 mededeling gedaan. ACM heeft de aanvraag tevens op de internetpagina van ACM, www.acm.nl, gemeld. Belanghebbenden hebben twee weken de tijd gekregen om een reactie in te dienen bij ACM. Enexis B.V. (hierna: Enexis) heeft zich gemeld als belanghebbende, maar heeft geen reactie op de aanvraag ingediend.
10. ACM heeft bij brief van 29 augustus 2013 5 aanvrager verzocht om aanvullende informatie in het kader van de beoordeling van de aanvraag. Bij brief van 30 september 2013, ontvangen op 3 oktober 2013, 6 heeft aanvrager aanvullende informatie aangeleverd.
1 Met kenmerk 104265/1.
2 Stb. 2012, nr. 334.
3 Met kenmerk 104265/3.B1664, 104265/5.B1664 en 104265/10.B1649.
4 Met kenmerk 104265/3, 104265/6 en 104265/11.
5 Met kenmerk ACM/DE/2013/203362.
6 Met kenmerk 2013102370.
&lt;!-- image --&gt;
## Besluit
11. Als onderdeel van de uniforme openbare voorbereidingsprocedure heeft ACM op 2 december 2013 het ontwerpbesluit en de daarop betrekking hebbende stukken ter inzage gelegd. ACM heeft hiervan in de Staatscourant van 2 december 2014 kennis gegeven. Bovendien heeft ACM het ontwerpbesluit aan aanvrager en Enexis toegezonden 7 en op haar internetpagina gepubliceerd.
12. Op 6 januari 2014 had ACM een hoorzitting gepland. ACM heeft geen aanmeldingen voor spreektijd ontvangen. Daarom is de hoorzitting geannuleerd. Hiervan is per brief van 19 december 2013 8 mededeling gedaan aan aanvrager en Enexis.
13. ACM heeft geen schriftelijke zienswijzen ontvangen.
7 Brieven van 29 november 2013 met kenmerk ACM/DE/2013/205998 en AC/DE/2013/205999.
8 Met kenmerk ACM/DE/2013/206971 en ACM/DE/2013/206973.
&lt;!-- image --&gt;
&lt;!-- image --&gt;
## Besluit
## 3 Wettelijk kader
14. In dit hoofdstuk beschrijft ACM de bepalingen die gezamenlijk het wettelijk kader vormen voor dit besluit.
15. Artikel 1, eerste lid, onderdelen b, c, i, j, r, aq en ar van de E-wet luiden:
3. 'b. aansluiting: één of meer verbindingen tussen een net en een onroerende zaak als bedoeld in artikel 16, onderdelen a tot en met e, van de Wet waardering onroerende zaken, waaronder begrepen één of meer verbindingen tussen een net dat wordt beheerd door een netbeheerder en een net dat beheerd wordt door een ander dan die netbeheerder;
- c.   afnemer: een ieder die beschikt over een aansluiting op een net;
- i.   net: één of meer verbindingen voor het transport van elektriciteit en de daarmee verbonden transformator-, schakel-, verdeel- en onderstations en andere hulpmiddelen, behoudens voor zover deze verbindingen en hulpmiddelen onderdeel uitmaken van een directe lijn of liggen binnen de installatie van een producent of van een afnemer;
- j. landelijk hoogspanningsnet: het net, bedoeld in artikel 10, eerste lid;
- r.   verwant bedrijf: een verbonden onderneming in de zin van artikel 41 van de zevende richtlijn nr. 83/349/EEG van de Raad van 13 juni 1983 op de grondslag van artikel 44, tweede lid, onderdeel g, van het Verdrag betreffende de geconsolideerde jaarrekening, of een geassocieerde onderneming in de zin van artikel 33, eerste lid, daarvan of een onderneming die aan dezelfde aandeelhouders toebehoort;
8. aq. gesloten distributiesysteem: een net, niet zijnde het landelijk hoogspanningsnet, 1°. dat ligt binnen een geografisch afgebakende industriële locatie, commerciële locatie of
9. locatie met gedeelde diensten,
10. 2°. waarop minder dan 500 afnemers zijn aangesloten en
11. 3°. dat alleen niet-huishoudelijke afnemers van elektriciteit voorziet, tenzij er sprake is van incidenteel gebruik door een klein aantal huishoudelijke afnemers dat werkzaam is bij of vergelijkbare betrekkingen heeft met de eigenaar van het gesloten distributiesysteem;
12. ar. directe lijn: een of meer verbindingen voor het transport van elektriciteit, behoudens voor zover die gelegen is binnen een installatie, die:
1°. niet verbonden is met een net of met een andere verbinding voor het transport van elektriciteit en die een geïsoleerde productie-installatie van een producent rechtstreeks verbindt met een geïsoleerde verbruiker van elektriciteit, niet zijnde de producent of 2°. ten hoogste via de installatie van één aangeslotene op de verbinding is verbonden met een net of met een andere verbinding voor het transport van elektriciteit en die een productie-installatie van een producent, met tussenkomst van een leverancier,
- rechtstreeks verbindt met één of meer verbruikers van elektriciteit, niet zijnde de producent of in hoofdzaak huishoudelijke verbruikers, teneinde te voorzien in de elektriciteitsbehoefte van deze verbruikers;'.
&lt;!-- image --&gt;
6/19
&lt;!-- image --&gt;
## Besluit
## 16. Artikel 15 van de E-wet luidt:
- '1. De Autoriteit Consument en Markt kan op diens aanvraag ontheffing verlenen aan een eigenaar van een gesloten distributiesysteem, van het gebod van artikel 10, negende lid, indien:
- a.  het bedrijfs- of productieproces van de gebruikers van een gesloten distributiesysteem om specifieke technische of veiligheidsredenen geïntegreerd is of
- b.  het gesloten distributiesysteem primair elektriciteit transporteert voor de eigenaar van dat systeem of de daarmee verwante bedrijven en
- c.  de aanvrager geen netbeheerder is en niet in een groepsmaatschappij met een netbeheerder verbonden is.
2.  De Autoriteit Consument en Markt neemt het besluit zo spoedig mogelijk, doch uiterlijk zes maanden na ontvangst van de aanvraag. Deze termijn kan eenmaal met ten hoogste zes maanden worden verlengd. De Autoriteit Consument en Markt kan aan een ontheffing voorschriften en beperkingen verbinden.
3.  De Autoriteit Consument en Markt kan een ontheffing intrekken indien degene aan wie de ontheffing is verleend:
- a. niet langer voldoet aan de voorwaarden, bedoeld in het eerste lid;
- b. in strijd handelt met de voorschriften en beperkingen als bedoeld in het tweede lid en het bepaalde bij of krachtens het vijfde tot en met het zevende lid;
- c. bij de aanvraag om een ontheffing onjuiste of onvolledige gegevens heeft verstrekt en de verstrekking van juiste of volledige gegevens tot een andere beschikking op de aanvraag zou hebben geleid.
4.  Indien een ontheffing is verleend, zijn uitsluitend het vijfde en zesde lid van toepassing op de eigenaar van een gesloten distributiesysteem.
5.  De eigenaar van een gesloten distributiesysteem beheert het gesloten distributiesysteem. De houder van de ontheffing factureert en int het tarief voor systeemdiensten, bedoeld in artikel 30, eerste lid, bij de afnemers die op zijn net zijn aangesloten en draagt de te innen tarieven af aan de netbeheerder van het landelijk hoogspanningsnet. Op verzoek van de netbeheerder van het landelijk hoogspanningsnet verstrekt de houder van de ontheffing gegevens over het verbruik van de afnemers die op zijn net zijn aangesloten. De houder van de ontheffing kan in afwijking van de tweede volzin het tarief voor systeemdiensten in de plaats van de afnemers die op zijn net zijn aangesloten betalen. In dat geval verstrekt de houder van de ontheffing op verzoek van de netbeheerder van het landelijk hoogspanningsnet gegevens over het totale verbruik van de afnemers die op zijn net zijn aangesloten 9 .
9 Per 1 januari 2015 vervallen de vier laatste zinnen van dit artikel van rechtswege (Stb. 2013, 575).
&lt;!-- image --&gt;
## Besluit
6.  Het bepaalde bij of krachtens de artikelen 7, 16, eerste lid, met uitzondering van onderdeel h, j en m, 19d, 19e, eerste lid, 23, 24, 24b, 26a, 28, 29, 30 10 , 31b, 31c, 42, tweede en derde lid, 51, 78, 79, 95lb, 95lc en 95m, negende lid, is van overeenkomstige toepassing voor de eigenaar van een gesloten distributiesysteem, met dien verstande dat:
- a.  artikel 23, eerste lid, uitsluitend geldt voor zover er na aansluiting sprake is van een afnemer binnen het geografisch gebied waarbinnen het gesloten distributiesysteem ligt en deze aansluiting past bij het karakter van het gesloten distributiesysteem,
- b.  niet aan de verplichtingen, bedoeld in de in artikelen 23, eerste lid, en 24, eerste lid, genoemde paragrafen behoeft te worden voldaan en
- c.  in de artikelen 7 en 78 in plaats van «netbeheerder» wordt gelezen «eigenaar van een gesloten distributiesysteem».
7.  De Autoriteit Consument en Markt keurt op verzoek van een aangeslotene op een gesloten distributiesysteem de van kracht zijnde methode voor de berekening van de tarieven goed.
8.  Indien een verzoek als bedoeld in het zevende lid is ontvangen, overlegt de eigenaar van een gesloten distributiesysteem binnen drie maanden na de datum waarop de raad van bestuur de eigenaar van een gesloten distributiesysteem over het verzoek heeft geïnformeerd, aan de raad van bestuur informatie over het aan het verzoek voorafgaande kalenderjaar die relevant is voor de beoordeling van het verzoek, met daarbij een toerekening van de kosten en opbrengsten aan activiteiten die verband houden met de aanleg en het beheer van het gesloten distributiesysteem in overeenstemming met het daadwerkelijk gebruik van financiële of andere middelen voor die activiteiten.
9.  Een besluit als bedoeld in het zevende lid wordt genomen binnen zes maanden nadat de informatie, bedoeld in het achtste lid door de raad van bestuur is ontvangen. Deze termijn kan eenmaal met ten hoogste zes maanden worden verlengd.'
17. Artikel V van de Wet van 12 juli 2012 tot wijziging van de Elektriciteitswet 1998 en van de Gaswet (implementatie van richtlijnen en verordeningen op het gebied van elektriciteit en gas) luidt:
9. '1. Degene aan wie een vrijstelling of ontheffing als bedoeld in artikel 15, eerste en tweede lid, met uitzondering van het tweede lid, onderdeel b van de Elektriciteitswet 1998 zoals dit luidde voor het tijdstip van inwerkingtreding van artikel I, onderdeel M, is verleend, kan de Autoriteit Consument en Markt verzoeken om een ontheffing op basis van artikel 15 van de Elektriciteitswet 1998. Dit verzoek wordt ingediend binnen vier maanden na de datum van inwerkingtreding van artikel I, onderdeel M.
2.  Indien niet binnen vier maanden na de inwerkingtreding van artikel I, onderdeel M, door degene aan wie een vrijstelling of ontheffing als bedoeld in het eerste lid is verleend, een verzoek is ingediend, vervalt de vrijstelling of ontheffing één jaar na het tijdstip van inwerkingtreding van artikel I, onderdeel M.
10 Per 1 januari 2015 vervalt de verwijzing naar dit artikel van rechtswege (Stb. 2013, 575).
&lt;!-- image --&gt;
&lt;!-- image --&gt;
## Besluit
3.  De Autoriteit Consument en Markt beslist uiterlijk tien maanden na ontvangst van een verzoek als bedoeld in het eerste lid op dit verzoek.
4.  Indien ingevolge een besluit van de Autoriteit Consument en Markt ontheffing wordt verleend op basis van artikel 15 van de Elektriciteitswet 1998, vervalt de vrijstelling of ontheffing als bedoeld in het eerste lid op het tijdstip waarop het besluit van de Autoriteit Consument en Markt onherroepelijk wordt.
5.  Indien ingevolge een besluit van de Autoriteit Consument en Markt geen ontheffing wordt verleend op basis van artikel 15 van de Elektriciteitswet 1998, vervalt de vrijstelling of ontheffing als bedoeld in het eerste lid vier maanden na het tijdstip waarop het besluit van de Autoriteit Consument en Markt onherroepelijk is geworden.
6.  Een ontheffing als bedoeld in het eerste lid kan Onze Minister intrekken op grond van artikel 15, vijfde lid, zoals dit luidde voor het tijdstip van inwerkingtreding van artikel I, onderdeel M, uiterlijk tot het tijdstip waarop een besluit van de raad van bestuur van de mededingingsautoriteit onherroepelijk is geworden.
7.  Een ontheffing als bedoeld in artikel 15, tweede lid, onderdeel b, van de Elektriciteitswet 1998 zoals dit luidde voor het tijdstip van inwerkingtreding van artikel I, onderdeel M en die is verleend of is aangevraagd voor 15 februari 2012, vervalt op een bij koninklijk besluit te bepalen tijdstip. Voor deze ontheffing blijven de regels gelden zoals die golden voor het tijdstip van inwerkingtreding van artikel I, onderdeel M.'
&lt;!-- image --&gt;
9/19
&lt;!-- image --&gt;
## Besluit
## 4 Relevante feiten en omstandigheden
18. In dit hoofdstuk geeft ACM een samenvatting van de bij haar bekende feiten en omstandigheden met betrekking tot de ontheffingaanvraag. Deze feiten en omstandigheden zijn ontleend aan de ontheffingaanvraag en aanvullende informatie die bij aanvrager is opgevraagd. Op basis van deze informatie stelt ACM de volgende feiten en omstandigheden vast.
19. Aanvrager motiveert door middel van een omschrijving en een plattegrond van het bedrijfsterrein waarop de 10 kV verbindingen zijn weergegeven, dat er sprake is van een elektriciteitsnet op het bedrijfsterrein aan de Ceintuurbaan 15 te Zwolle. Het elektriciteitsnet opereert op een spanningsniveau van 10 kV en is, volgens aanvrager, geen onderdeel van het landelijk hoogspanningsnet. Het elektriciteitsnet is aangesloten op het elektriciteitsnet van Enexis.
20. Aanvrager betoogt dat hij eigenaar is van dit elektriciteitsnet. Hij heeft dit onderbouwd door het overleggen van een afschrift van de notariële akte van 8 januari 1999, waarmee het industrieterrein inclusief alle opstallen en toebehoren door Philips Components B.V. (hierna: Philips) aan de rechtsvoorganger van aanvrager, BC Components B.V., in eigendom is overgedragen. Aanvrager vermeldt in dit verband verder dat Philips in de jaren '50 van de vorige eeuw op deze locatie is gestart met een productiebedrijf. Volgens aanvrager heeft Philips de gebouwen en infrastructuur in eigen beheer gerealiseerd en onderhouden. Op grond van het vorenstaande stelt aanvrager eigenaar te zijn van het elektriciteitsnet.
21. Op het elektriciteitsnet zijn achttien afnemers aangesloten. Een overzicht van deze afnemers staat in Tabel 1.
Tabel 1 Overzicht van de afnemers op het elektriciteitsnet
|   Nr. | Naam afnemer                             | Adres op de locatie              |
|-------|------------------------------------------|----------------------------------|
|    1. | Niek van der Sprong Culturele Produkties | Ceintuurbaan 15, 8022 AW, Zwolle |
|    2. | Qvist Outdoor Cooking                    | Ceintuurbaan 15, 8022 AW, Zwolle |
|    3. | DSM Resins B.V.                          | Ceintuurbaan 15, 8022 AW, Zwolle |
|    4. | NMEDIA                                   | Ceintuurbaan 15, 8022 AW, Zwolle |
|    5. | IHBO B.V.                                | Ceintuurbaan 15, 8022 AW, Zwolle |
|    6. | OBM Zwolle B.V.                          | Ceintuurbaan 15, 8022 AW, Zwolle |
|    7. | KPN N.V.                                 | Ceintuurbaan 15, 8022 AW, Zwolle |
&lt;!-- image --&gt;
## Besluit
|   8. | Jansen                         | Ceintuurbaan 15, 8022 AW, Zwolle   |
|------|--------------------------------|------------------------------------|
|   9. | BAM Utiliteitsbouw B.V.        | Ceintuurbaan 15. 8022 AW, Zwolle   |
|  10. | Café Noir Nieuwe Media         | Ceintuurbaan 15, 8022 AW, Zwolle   |
|  11. | CrowdMedia v.o.f.              | Ceintuurbaan 15, 8022 AW, Zwolle   |
|  12. | SMMC                           | Ceintuurbaan 15, 8022 AW, Zwolle   |
|  13. | IM Services B.V.               | Ceintuurbaan 15, 8022 AW, Zwolle   |
|  14. | Philips Nederland B.V.         | Ceintuurbaan 15, 8022 AW, Zwolle   |
|  15. | Stichting Polymer Science Park | Ceintuurbaan 15, 8022 AW, Zwolle   |
|  16. | VOF 3D4every1                  | Ceintuurbaan 15, 8022 AW, Zwolle   |
|  17. | Basic Logistics B.V.           | Ceintuurbaan 15, 8022 AW, Zwolle   |
|  18. | Vishay BCcomponents B.V.       | Ceintuurbaan 15, 8022 AW, Zwolle   |
22. Op het elektriciteitsnet zijn geen huishoudelijke afnemers aangesloten. Op het elektriciteitsnet zijn geen productie-installaties aangesloten. Op het elektriciteitsnet zijn volgens aanvrager geen aan aanvrager verwante bedrijven aangesloten. Aanvrager gebruikte in het jaar 2012 nagenoeg alle getransporteerde elektriciteit.
23. Aanvrager heeft verklaard geen netbeheerder in de zin van de E-wet te zijn. Aanvrager heeft eveneens verklaard dat hij geen deel uitmaakt van een groep als bedoeld in artikel 24b van boek 2 van het Burgerlijk Wetboek (hierna: BW) waarvan ook een netbeheerder in de zin van de E-wet onderdeel uitmaakt.
24. Aanvrager geeft aan de kwaliteit en veiligheid op het elektriciteitsnet op de volgende wijze te borgen. Aanvrager heeft twee werknemers in dienst die zijn gecertificeerd volgens NEN 3140/3840 Installatie- en werkverantwoordelijke HS/LS. Daarnaast heeft aanvrager een overeenkomst gesloten met Joulz B.V. (hierna: Joulz) voor het uitvoeren van onderhoudswerkzaamheden aan het elektriciteitsnet. Aanvrager heeft een afschrift van de overeenkomst overgelegd. Op grond van deze overeenkomst verricht Joulz preventief onderhoud, correctief onderhoud en schakelwerkzaamheden. Preventief onderhoud omvat jaarlijks klein onderhoud en inspecties, en 5-jaarlijks groot onderhoud. Hiervoor worden planningen opgesteld. Correctief onderhoud betreft het opheffen van storingen aan componenten door slijtage, beschadigingen en overige gebreken, alsmede het vervangen van versleten en/of beschadigde componenten. Onder schakelwerkzaamheden wordt het treffen van veiligheidsmaatregelen verstaan. Voor het verhelpen van spoedeisende storingen aan het net en de installaties staat Joulz 24 uur per dag, zeven dagen per week, stand-by. Op basis van een gezamenlijke netevaluatie hebben aanvrager en Joulz een onderhoudsplan en een investeringsplan voor de komende vijf jaar opgesteld.
&lt;!-- image --&gt;
## Besluit
## 5 Beoordeling van de ontheffingaanvraag
25. In dit hoofdstuk licht ACM toe hoe zij de ontheffingaanvraag heeft beoordeeld. De beoordeling valt uiteen in drie delen. Ten eerste beoordeelt ACM of er sprake is van een GDS in de zin van artikel 1, eerste lid, onderdeel aq, van de E-wet (paragraaf 5.1). Als er sprake is van een GDS, beoordeelt ACM ten tweede of aanvrager voldoet aan de eisen die aan hem zijn gesteld in artikel 15, eerste lid, van de E-wet (paragraaf 5.2). Als er sprake is van een GDS én aanvrager voldoet aan de wettelijke eisen, dan beoordeelt ACM op welke grond de ontheffing kan worden verleend (paragraaf 5.3).
## 5.1 Definitie van gesloten distributiesysteem
26. Bij de beoordeling of er sprake is van een GDS gelden de volgende criteria:
- a) Er is sprake van een elektriciteitsnet in de zin van artikel 1, eerste lid, onderdeel i, van de E-wet;
- b) Het elektriciteitsnet is geen onderdeel van het landelijk hoogspanningsnet in de zin van artikel 1, eerste lid, onderdeel aq, van de E-wet;
- c) Het elektriciteitsnet ligt binnen een geografisch afgebakende locatie, conform artikel 1, eerste lid, onderdeel aq, van de E-wet;
- d) Er worden niet meer dan 500 niet-huishoudelijke afnemers aangesloten, conform artikel 1, eerste lid, onderdeel aq, van de E-wet.
ACM heeft deze criteria beoordeeld op basis van de bij haar bekende feiten en omstandigheden. ACM vat haar beoordeling samen aan het eind van deze paragraaf.
27. Een ontheffing voor een GDS kan alleen worden verleend als er sprake is van een elektriciteitsnet als bedoeld in artikel 1, eerste lid, onderdeel i, van de E-wet. Op grond van de in hoofdstuk 4 van dit besluit beschreven feiten en omstandigheden, concludeert ACM dat er sprake is van een stelsel van verbindingen dat is aangesloten op het elektriciteitsnet van Enexis. ACM stelt verder vast dat op het stelsel van verbindingen achttien verschillende afnemers zijn aangesloten. ACM concludeert dat er sprake is van een elektriciteitsnet in de zin van artikel 1, eerste lid, onderdeel i, van de E-wet.
28. Op grond van artikel 1, eerste lid, onderdeel aq, aanhef, van de E-wet kan geen ontheffing worden verleend voor een elektriciteitsnet dat tot het landelijk hoogspanningsnet behoort, als bedoeld in artikel 1, eerste lid, onderdeel j, juncto artikel 10, eerste lid, van de E-wet. Uit de feiten en omstandigheden zoals die zijn beschreven in hoofdstuk 4 van dit besluit maakt ACM op dat het elektriciteitsnet opereert op een spanningsniveau dat lager is dan het landelijk hoogspanningsnet. ACM concludeert hieruit dat het elektriciteitsnet geen onderdeel is van het landelijk hoogspanningsnet.
&lt;!-- image --&gt;
## Besluit
29. Op grond van artikel 1, eerste lid, onderdeel aq, van de E-wet dient het elektriciteitsnet binnen een geografisch afgebakende industriële locatie, commerciële locatie of een locatie met gedeelde diensten te liggen. Binnen die locatie geldt een aansluitplicht voor de ontheffinghouder. Uit de feiten en omstandigheden zoals die zijn beschreven in hoofdstuk 4 van dit besluit blijkt dat de geografische afbakening van de locatie waarop het elektriciteitsnet is gelegen het elektriciteitsnet het bedrijfsterrein aan de Ceintuurbaan 15 te Zwolle is. Aanvrager heeft dit genoegzaam aangetoond. Daarnaast blijkt dat er sprake is van een industriële locatie. ACM concludeert dat de aanvraag op dit punt voldoet aan de wet en definieert de geografische afbakening van het elektriciteitsnet als het industrieterrein aan de Ceintuurbaan 15 te Zwolle.
30. Om in aanmerking te komen voor een ontheffing moet aanvrager beschikken over een elektriciteitsnet waarop, blijkens artikel 1, eerste lid, onderdeel aq, sub 2 en 3, van de E-wet niet meer dan 500 niet-huishoudelijke afnemers zijn aangesloten. ACM merkt op dat indien een afnemer wenst over te stappen naar een andere leverancier, deze afnemer zelf de meetverantwoordelijkheid dient in te richten. Uit de feiten en omstandigheden zoals die zijn beschreven in hoofdstuk 4 van dit besluit blijkt dat er achttien niet-huishoudelijke afnemers en geen huishoudelijke afnemers op het elektriciteitsnet zijn aangesloten. ACM concludeert dat de aanvraag voldoet aan dit wettelijk vereiste van een GDS.
31. Uit de voorgaande randnummers blijkt dat er sprake is van een elektriciteitsnet in de zin van de E-wet, het elektriciteitsnet geen onderdeel is van het landelijk hoogspanningsnet, het elektriciteitsnet ligt binnen een geografisch afgebakende industriële locatie, er minder dan 500 afnemers en huishoudelijke afnemers zijn aangesloten op het elektriciteitsnet. ACM stelt vast dat het elektriciteitsnet kwalificeert als een GDS.
## 5.2 Eisen aan aanvrager
32. Nu er sprake is van een GDS in de zin van artikel 1, eerste lid, onderdeel aq, van de E-wet, beoordeelt ACM, conform artikel 15, eerste lid, aanhef en onderdeel c, van de E-wet, of aanvrager beschikt over de eigendom van het elektriciteitsnet, geen netbeheerder is, en ook niet verbonden is met een netbeheerder in een groepsmaatschappij. ACM heeft dit beoordeeld op basis van de bij ACM bekende feiten en omstandigheden. ACM vat haar beoordeling samen aan het eind van deze paragraaf.
33. De aanhef van het eerste lid van artikel 15 van de E-wet vereist dat aanvrager beschikt over de eigendom van het GDS waarvoor hij een ontheffing aanvraagt. ACM merkt op dat het hierbij dient te gaan om de juridische eigendom van het GDS. Uit de in hoofdstuk 4 van dit besluit beschreven feiten en omstandigheden, leidt ACM af dat aanvrager beschikt over de eigendom van het GDS ingevolge artikel 5:20, tweede lid van het BW. Aanvrager heeft dit genoegzaam aangetoond door het overleggen van de notariële akte van 8 januari 1999,
&lt;!-- image --&gt;
## Besluit
waarmee Philips de eigendom van het fabriekscomplex met opstallen, toebehoren en grond gelegen aan de Ceintuurbaan 15 te Zwolle aan de rechtsvoorganger van aanvrager, BC Components B.V., heeft overgedragen. Aangezien Philips volgens aanvrager het elektriciteitsnet voor zijn eigen productiebedrijf heeft aangelegd, acht ACM het aannemelijk dat onder 'toebehoren' onder andere het GDS moet worden verstaan. Daarmee was Philips, de rechtsvoorganger van aanvrager, de bevoegd aanlegger van het elektriciteitsnet in de zin van artikel 5:20, tweede lid, van het BW. ACM concludeert dat aanvrager beschikt over de eigendom van het GDS.
34. Op grond van artikel 15, eerste lid, onderdeel c, van de E-wet mag aanvrager geen netbeheerder zijn en ook niet in een groepsmaatschappij met een netbeheerder verbonden zijn. Aanvrager heeft verklaard geen netbeheerder en ook niet in een groepsmaatschappij met een netbeheerder verbonden te zijn. Hij heeft dit genoegzaam aangetoond door middel van het overleggen van een uittreksel uit het Handelsregister van de Kamer van Koophandel en een overzicht van de structuur van de holding waarvan aanvrager deel uitmaakt. Hiermee voldoet de aanvraag aan het criterium uit artikel 15, eerste lid, onderdeel c, van de E-wet.
35. Uit de voorgaande randnummers blijkt dat aanvrager eigenaar is van het GDS, geen netbeheerder is en niet in een groepsmaatschappij is verbonden met een netbeheerder. ACM stelt vast dat aanvrager voldoet aan de eisen in artikel 15 van de E-wet.
## 5.3 Ontheffingsgronden
36. Nu er sprake is van een GDS en aanvrager voldoet aan de wettelijke eisen, beoordeelt ACM ingevolge artikel 15, eerste lid, onderdelen a en b, van de E-wet of en op welke grond zij de ontheffing kan verlenen
- a) De a-grond: het bedrijfs- of productieproces van de gebruikers van het GDS is om specifieke technische of veiligheidsredenen geïntegreerd;
- b) De b-grond: het GDS transporteert elektriciteit primair voor de eigenaar van dat systeem of de daarmee verwante bedrijven.
Aanvrager doet, zo blijkt uit de verstrekte informatie, een beroep op de b-grond. ACM heeft daarom alleen deze grond beoordeeld.
37. Om in aanmerking te komen voor een ontheffing op de b-grond dient te worden aangetoond dat het GDS elektriciteit primair transporteert voor de eigenaar van dat systeem of de daarmee verwante bedrijven. Blijkens de in hoofdstuk 4 van dit besluit beschreven feiten en omstandigheden, zijn er naast aanvrager geen verwante bedrijven aangesloten op het GDS. Aanvrager neemt nagenoeg alle getransporteerde elektriciteit af. Aanvrager heeft bovendien toegelicht dat het elektriciteitsnet in de jaren '50 van de vorige eeuw was aangelegd ten behoeve van het productiebedrijf van Philips. ACM concludeert dat aanvrager hiermee
&lt;!-- image --&gt;
## Besluit
- gemotiveerd heeft aangetoond dat er sprake is van een situatie als omschreven in artikel 15, eerste lid, onderdeel b, van de E-wet.
38. ACM concludeert op grond van het voorgaande dat de a</t>
  </si>
  <si>
    <t>ACM__ontheffing_16533_ontheffingsbesluit-landgoed-zonnestraal-elektriciteitsnet-2016-10-14.txt</t>
  </si>
  <si>
    <t>ROT_3687e_prins-alexander_Vergunning.txt::Besluitvormend Orgaan</t>
  </si>
  <si>
    <t>De burgemeester van Rotterdam [4566:4595]</t>
  </si>
  <si>
    <t>[...] re wet- en regelgeving onverlet. Tot slot wijs ik u erop, dat u aansprakelijk bent voor alle schade die door het gebruik van deze vergunning aan eigendommen van de gemeente of van anderen mocht worden toegebracht. De burgemeester van Rotterdam, Voor deze, &lt;!-- image --&gt; mr. K. Heijnen Teamleider Evenementen ## Bijlage(n) behorende bij de evenementenvergunning | Bijlage I | : Voorschriften | |-------------|--------------- [...]</t>
  </si>
  <si>
    <t>ROT_3687e_prins-alexander_Vergunning.txt::Rechtshandeling</t>
  </si>
  <si>
    <t>verleend [197:206]</t>
  </si>
  <si>
    <t>verleend [197:205]</t>
  </si>
  <si>
    <t>ROT_3687e_prins-alexander_Vergunning.txt::Rechtsobject</t>
  </si>
  <si>
    <t>vergunning [186:197]</t>
  </si>
  <si>
    <t>vergunning [186:196]</t>
  </si>
  <si>
    <t>ACM__kartels_10979_Besluit in zaak 7401.txt::Ontvanger</t>
  </si>
  <si>
    <t>Hofstede B.V., J.B.M. Hofstede Beheer B.V., J.B.M. Hofstede Holding B.V., Jermido B.V. en Jermi B.V. | Hofstede Sloperij B.V. | M.A. Bik Holding B.V.</t>
  </si>
  <si>
    <t>hofstede b.v., j.b.m. hofstede beheer b.v., j.b.m. hofstede holding b.v., jermido b.v. en jermi b.v | hofstede sloperij b.v | m.a. bik holding b.v</t>
  </si>
  <si>
    <t>Hofstede B.V., J.B.M. Hofstede Beheer B.V., J.B.M. Hofstede Holding B.V., Jermido B.V. en Jermi B.V. [140511:140611] || Hofstede Sloperij B.V. [140758:140780] || M.A. Bik Holding B.V. [140847:140868]</t>
  </si>
  <si>
    <t>&lt;!-- image --&gt;
## Besluit Openbaar
Ons kenmerk:
ACM/DE/2016/204050
Zaaknummer:
13.0262.30
## BESLUIT
Besluit van de Autoriteit Consument en Markt als bedoeld in artikel 15, eerste lid, van de Elektriciteitswet 1998
&lt;!-- image --&gt;
1/21
T 070 722 20 00 | F 070 722 23 55 info @acm.nl | www.acm.nl | www.consuwijzer.nl Muzenstraat 41 | 2511 WB Den Haag Postbus 16326 | 2500 BH Den Haag
&lt;!-- image --&gt;
## Besluit Openbaar
## Inhoudsopgave
| 1       | Inleiding en leeswijzer ................................................................................................................ 3         |
|---------|----------------------------------------------------------------------------------------------------------------------------------------------------|
| 2       | Procedure van totstandkoming van dit besluit ........................................................................ 4                            |
| 3       | Wettelijk kader ............................................................................................................................. 7    |
| 4       | Relevante feiten en omstandigheden ...................................................................................... 10                       |
| 4.1     | Beschrijving van gesloten distributiesysteem ..................................................................... 10                              |
| 4.2     | Eisen aan aanvrager .......................................................................................................... 11                  |
| 4.3     | Ontheffingsgronden ............................................................................................................ 11                 |
| 5       | Beoordeling van de ontheffingsaanvraag ............................................................................... 13                          |
| 5.1     | Definitie van gesloten distributiesysteem ........................................................................... 13                           |
| 5.2     | Eisen aan aanvrager .......................................................................................................... 15                  |
| 5.3     | Ontheffingsgronden ............................................................................................................ 16                 |
| 1       | Dictum ........................................................................................................................................ 17 |
| Bijlage | 1 - Reactie op ontvangen zienswijzen ............................................................................... 18                            |
&lt;!-- image --&gt;
## Besluit Openbaar
## 1 Inleiding en leeswijzer
1. Met dit besluit geeft de Autoriteit Consument en Markt (hierna: ACM) uitvoering aan artikel 15, eerste lid, van de Elektriciteitswet 1998 (hierna: E-wet). Op grond hiervan kan de eigenaar van een gesloten distributiesysteem (hierna: GDS) een aanvraag bij ACM indienen tot verlening van een ontheffing van de verplichting tot het aanwijzen van een netbeheerder (hierna: de ontheffing).
2. ACM geeft met dit besluit haar oordeel op de aanvraag van Landgoed Zonnestraal B.V. (hierna: aanvrager) van 13 mei 2013 voor een ontheffing op grond van artikel 2a, eerste lid, onderdeel b, van de Gaswet voor het GDS dat ligt op de percelen die kadastraal bekend staan als H 2888, H 2956, H 3018 en H 3254, waarop Loosdrechtse Bos 5, 7, 9, 11 en 13, te Hilversum zijn aangesloten.
3. De indeling van dit besluit is als volgt. Hoofdstuk 2 van dit besluit bevat de gevolgde procedure. Hoofdstuk 3 bevat het wettelijk kader. Het feitencomplex en andere relevante omstandigheden, zoals die bij ACM bekend zijn, zijn samengevat in hoofdstuk 4. ACM beschrijft haar beoordeling van de aanvraag in hoofdstuk 5. ACM eindigt haar besluit met het dictum (hoofdstuk 6).
4. ACM heeft één bijlagen toegevoegd aan het besluit. Deze bijlage is onderdeel van onderhavig besluit. Bijlage 1 bevat een reactie op de ontvangen zienswijzen op het herzien ontwerpbesluit.
## Autoriteit
&lt;!-- image --&gt;
## Besluit Openbaar
## 2 Procedure van totstandkoming van dit besluit
5. In dit hoofdstuk beschrijft ACM de procedure die zij heeft gevolgd bij de totstandkoming van dit besluit. ACM heeft de procedure bedoeld in afdeling 3.4 van de Algemene wet bestuursrecht (hierna: Awb) van toepassing verklaard op de voorbereiding van dit besluit.
6. Bij brief van 3 mei 2013, ontvangen op 13 mei 2013, 1 heeft aanvrager bij ACM een aanvraag ingediend tot verlening van een ontheffing in de zin van artikel 15, eerste lid, onderdeel b, van de E-wet. De beslistermijn voor de behandeling van de aanvraag bedraagt zes maanden ingevolge artikel 15, tweede lid, van de E-wet. ACM heeft deze termijn op grond van artikel 15, tweede lid, van de E-wet verlengd met zes maanden. ACM heeft aanvrager bij brief van 6 juni 2013 hierover geïnformeerd. 2 De totale beslistermijn bedraagt na verlenging twaalf maanden.
7. Bij brief van 4 juli 2013 3 is aanvrager verzocht om de aanvraag aan te vullen. In zijn brief van 19 november 2013, ontvangen op 21 november 2013, 4 heeft aanvrager aanvullende informatie aangeleverd.
8. Op 3 december 2013 heeft op verzoek van aanvrager een overleg plaatsgevonden tussen ACM en aanvrager over onderhavige ontheffingsaanvraag en twee andere ontheffingsaanvragen die aanvrager tegelijkertijd heeft ingediend. Naar aanleiding van dit overleg heeft aanvrager besloten om te onderzoeken of hij Liander NV (hierna: Liander) kon aanwijzen als netbeheerder van zijn elektriciteits- en gastransportnetten. Op verzoek van aanvrager heeft ACM vervolgens op 17 december 2013 de behandeling van de ontheffingsaanvragen opgeschort. 5 Bij brief van 14 september 2014, ontvangen pp 17 september 2014, 6 heeft aanvrager aan ACM gemeld dat Liander zich op het standpunt stelt geen bestaande elektriciteits- of gastransportnetten over te nemen. In aanvulling hierop meld aanvrager dat de andere regionale netbeheerders de elektriciteits- of gastransportnetten ook niet willen overnemen omdat deze in het verzorgingsgebied van Liander liggen. Aanvrager heeft derhalve ACM verzocht de ontheffingsaanvragen weer in behandeling te nemen.
1 Met kenmerk ACM/DE/2013/100698
2 Met kenmerk ACM/DE/2013/201901
3 Met kenmerk ACM/DE/2013/202345
4 Met kenmerk ACM/DE/2013/103006
5 Brief van 17 decemeber 2013 met kenmerk ACM/DE/2013/206753
6 Met kenemrk ACM/DE/2014/102161
## Autoriteit
&lt;!-- image --&gt;
## Besluit Openbaar
9. Op 29 oktober 2014 heeft ACM een ontwerpbesluit genomen. Dit ontwerpbesluit is op dezelfde datum aan aanvrager 7 en Liander gestuurd. 8 Naar aanleiding van dit ontwerpbesluit heeft geen hoorzitting plaatsgevonden. Ook zijn er door partijen geen zienswijzen ingediend. In verband met een verwachte voor deze ontheffingsaanvraag relevante rechterlijke uitspraak van het College van Beroep voor het bedrijfsleven (hierna CBb) is met instemming van aanvrager de procedure voor twaalf weken opgeschort. ACM heeft dit op 9 februari 2015 telefonisch met aanvrager besproken. 9 Hierna heeft op 12 mei 2015 telefonisch contact plaatsgevonden tussen ACM en aanvrager. Naar aanleiding van de besproken stand van zaken heeft ACM in overeenstemming met aanvrager nogmaals besloten om het de behandeling van de ontheffingsaanvraag op te schorten, ditmaal voor een periode van 16 weken. 10 Op 17 juli 2015 heeft ACM aanvrager geïnformeerd over de rechterlijke uitspraak van het CBb van 17 juni 2015. 11
10. Met het oog op de uitspraak van het CBb van 17 juni 2015 12 heeft ACM het ontwerpbesluit van 29 oktober 2014 heroverwogen. Ter verduidelijking van de aanvragen heeft ACM op 8 september 2015 per telefoon met aanvrager gesproken. Hierna heeft ACM onderhavig herzien ontwerpbesluit genomen.
11. Als onderdeel van de uniforme openbare voorbereidingsprocedure heeft ACM op 17 december 2015 het ontwerpbesluit en de daarop betrekking hebbende stukken ter inzage gelegd. ACM heeft hiervan in de Staatscourant van 17 december 2015 kennis gegeven. Bovendien heeft ACM het ontwerpbesluit aan aanvrager en belanghebbende toegezonden 13 en op haar internetpagina gepubliceerd.
12. Op 21 januari 2016 had ACM een hoorzitting gepland. ACM heeft geen aanmeldingen voor spreektijd ontvangen. Daarom is deze hoorzitting geannuleerd. Hiervan is per brief van 19 januari 2016 14 mededeling gedaan aan aanvrager en andere belanghebbenden.
13. ACM heeft schriftelijke zienswijzen ontvangen van Liander NV (hierna: Liander). Deze zienswijzen zijn gepubliceerd op de internetpagina van ACM. In bijlage 2 bij dit besluit heeft
7 Brief van 29 oktober 2014 met kenmerk ACM/DE/2014/206161
8 Brief van 29 oktober 2014 met kenmerk ACM/DE/2014/206013
9 Bevestigd per brief van 17 februari 2015 met kenmerk ACM/DE/2015/200877
10 Brief van 19 mei 2015 met kenemerk ACM/DE/2015/202627
11 Brief van 17 juli 2015 met kenmerk ACM/DE/2015/204074
12 CBb 17 juni 2015, ECLI:NL:CBB: 2015:214
13 Brief van 17 december 2015 met kenmerk ACM/DE/2015/207539 en brief van 17 december 2015 met kenmerk ACM/DE/2015/ 2015207540
14 Met kenmerk ACM/DE/2016/200307 en kenmerk ACM/DE/2016/200309
&lt;!-- image --&gt;
ACM haar reactie op de ingebrachte zienswijzen gegeven. Indien een zienswijze heeft geleid tot een wijziging van het besluit ten opzichte van het ontwerpbesluit, dan heeft ACM dat duidelijk in het besluit aangegeven.
&lt;!-- image --&gt;
## Besluit Openbaar
## 3 Wettelijk kader
14. In dit hoofdstuk beschrijft ACM de bepalingen die gezamenlijk het wettelijk kader vormen voor dit besluit.
15. Artikel 1, eerste lid, onderdelen b, c, i, j, r, aq en ar, van de E-wet luiden:
3. 'b. aansluiting: één of meer verbindingen tussen een net en een onroerende zaak als bedoeld in artikel 16, onderdelen a tot en met e, van de Wet waardering onroerende zaken, waaronder begrepen één of meer verbindingen tussen een net dat wordt beheerd door een netbeheerder en een net dat beheerd wordt door een ander dan die netbeheerder;
- c.   afnemer: een ieder die beschikt over een aansluiting op een net;
- i.   net: één of meer verbindingen voor het transport van elektriciteit en de daarmee verbonden transformator-, schakel-, verdeel- en onderstations en andere hulpmiddelen, behoudens voor zover deze verbindingen en hulpmiddelen onderdeel uitmaken van een directe lijn of liggen binnen de installatie van een producent of van een afnemer;
- j. landelijk hoogspanningsnet: het net, bedoeld in artikel 10, eerste lid;
- r.   verwant bedrijf: een verbonden onderneming in de zin van artikel 41 van de zevende richtlijn nr. 83/349/EEG van de Raad van 13 juni 1983 op de grondslag van artikel 44, tweede lid, onderdeel g, van het Verdrag betreffende de geconsolideerde jaarrekening, of een geassocieerde onderneming in de zin van artikel 33, eerste lid, daarvan of een onderneming die aan dezelfde aandeelhouders toebehoort;
8. aq. gesloten distributiesysteem: een net, niet zijnde het landelijk hoogspanningsnet,
9. 1°. dat ligt binnen een geografisch afgebakende industriële locatie, commerciële locatie of locatie met gedeelde diensten,
10. 2°. waarop minder dan 500 afnemers zijn aangesloten en
11. 3°. dat alleen niet-huishoudelijke afnemers van elektriciteit voorziet, tenzij er sprake is van incidenteel gebruik door een klein aantal huishoudelijke afnemers dat werkzaam is bij of vergelijkbare betrekkingen heeft met de eigenaar van het gesloten distributiesysteem;
12. ar. directe lijn: een of meer verbindingen voor het transport van elektriciteit, behoudens voor zover die gelegen is binnen een installatie, die: 1°. niet verbonden is met een net of met een andere verbinding voor het transport van elektriciteit en die een geïsoleerde productie-installatie van een producent rechtstreeks verbindt met een geïsoleerde verbruiker van elektriciteit, niet zijnde de producent of een net of met een andere verbinding voor het transport van elektriciteit en die een productie-installatie van een producent, met tussenkomst van een leverancier,
13. 2°. ten hoogste via de installatie van één aangeslotene op de verbinding is verbonden met rechtstreeks verbindt met één of meer verbruikers van elektriciteit, niet zijnde de producent of in hoofdzaak huishoudelijke verbruikers, teneinde te voorzien in de elektriciteitsbehoefte van deze verbruikers;'.
16. Artikel 15 van de E-wet luidt:
&lt;!-- image --&gt;
## Besluit Openbaar
- '1. De Autoriteit Consument en Markt kan op diens aanvraag ontheffing verlenen aan een eigenaar van een gesloten distributiesysteem, van het gebod van artikel 10, negende lid, indien:
- a.  het bedrijfs- of productieproces van de gebruikers van een gesloten distributiesysteem om specifieke technische of veiligheidsredenen geïntegreerd is of
- b.  het gesloten distributiesysteem primair elektriciteit transporteert voor de eigenaar van dat systeem of de daarmee verwante bedrijven en
- c.  de aanvrager geen netbeheerder is en niet in een groepsmaatschappij met een netbeheerder verbonden is.
2.  De Autoriteit Consument en Markt neemt het besluit zo spoedig mogelijk, doch uiterlijk zes maanden na ontvangst van de aanvraag. Deze termijn kan eenmaal met ten hoogste zes maanden worden verlengd. De Autoriteit Consument en Markt kan aan een ontheffing voorschriften en beperkingen verbinden.
3.  De Autoriteit Consument en Markt kan een ontheffing intrekken indien degene aan wie de ontheffing is verleend:
- a. niet langer voldoet aan de voorwaarden, bedoeld in het eerste lid;
- b. in strijd handelt met de voorschriften en beperkingen als bedoeld in het tweede lid en het bepaalde bij of krachtens het vijfde tot en met het zevende lid;
- c. bij de aanvraag om een ontheffing onjuiste of onvolledige gegevens heeft verstrekt en de verstrekking van juiste of volledige gegevens tot een andere beschikking op de aanvraag zou hebben geleid.
4.  Indien een ontheffing is verleend, zijn uitsluitend het vijfde en zesde lid van toepassing op de eigenaar van een gesloten distributiesysteem.
5.  De eigenaar van een gesloten distributiesysteem beheert het gesloten distributiesysteem.
6.  Het bepaalde bij of krachtens de artikelen 7, 16, eerste lid, met uitzondering van onderdeel h, j en m, 19d, 19e, eerste lid, 23, 24, 24b, 26a, 28, 29, 31b, 31c, 42, tweede en derde lid, 51, 78, 79, 95lb, 95lc en 95m, negende lid, is van overeenkomstige toepassing voor de eigenaar van een gesloten distributiesysteem, met dien verstande dat:
- a.  artikel 23, eerste lid, uitsluitend geldt voor zover er na aansluiting sprake is van een afnemer binnen het geografisch gebied waarbinnen het gesloten distributiesysteem ligt en deze aansluiting past bij het karakter van het gesloten distributiesysteem,
- b.  niet aan de verplichtingen, bedoeld in de in artikelen 23, eerste lid, en 24, eerste lid, genoemde paragrafen behoeft te worden voldaan en
- c.  in de artikelen 7 en 78 in plaats van «netbeheerder» wordt gelezen «eigenaar van een gesloten distributiesysteem».
7.  De Autoriteit Consument en Markt keurt op verzoek van een aangeslotene op een gesloten distributiesysteem de van kracht zijnde methode voor de berekening van de tarieven goed.
&lt;!-- image --&gt;
## Besluit Openbaar
8.  Indien een verzoek als bedoeld in het zevende lid is ontvangen, overlegt de eigenaar van een gesloten distributiesysteem binnen drie maanden na de datum waarop de raad van bestuur de eigenaar van een gesloten distributiesysteem over het verzoek heeft geïnformeerd, aan de raad van bestuur informatie over het aan het verzoek voorafgaande kalenderjaar die relevant is voor de beoordeling van het verzoek, met daarbij een toerekening van de kosten en opbrengsten aan activiteiten die verband houden met de aanleg en het beheer van het gesloten distributiesysteem in overeenstemming met het daadwerkelijk gebruik van financiële of andere middelen voor die activiteiten.
9.  Een besluit als bedoeld in het zevende lid wordt genomen binnen zes maanden nadat de informatie, bedoeld in het achtste lid door de raad van bestuur is ontvangen. Deze termijn kan eenmaal met ten hoogste zes maanden worden verlengd .'
&lt;!-- image --&gt;
## Besluit Openbaar
## 4 Relevante feiten en omstandigheden
17. In dit hoofdstuk geeft ACM een samenvatting van de bij haar bekende feiten en omstandigheden met betrekking tot de ontheffingaanvraag. Deze feiten en omstandigheden zijn ontleend aan de ontheffingaanvraag en aanvullende informatie die van aanvrager is ontvangen. Op basis van deze informatie stelt ACM de hiernavolgende feiten en omstandigheden met betrekking tot het GDS (paragraaf 4.1), de eigenaar van het GDS (paragraaf 4.2) en de ontheffingsgronden (paragraaf 4.3) vast.
## 4.1 Beschrijving van gesloten distributiesysteem
18. Aanvrager is van oordeel dat er sprake is van een elektriciteitsnet op percelen die kadastraal bekend staan als H 2888, H 2956, H 3018 en H 3254, te gemeente Hilversum. Hij motiveert dit door middel van een omschrijving, een installatietekening en een kadastrale kaart. Dit betreft een commerciële locatie, aldus aanvrager.
19. Het elektriciteitsnet opereert op een spanningsniveau van 230 V en 400 V en is, volgens aanvrager, geen onderdeel van het landelijk hoogspanningsnet. Het elektriciteitsnet is aangesloten op het elektriciteitsnet van Liander.
20. Op het elektriciteitsnet zijn vijf afnemers aangesloten. Een overzicht van deze afnemers staat in Tabel 1.
21. Op het elektriciteitsnet zijn geen huishoudelijke afnemers aangesloten. Over het verpleeghuis, waarin personen met dementie woonachtig zijn, heeft aanvrager opgemerkt dat de gemeente Hilversum het verpleeghuis aanmerkt als één onroerende zaak in de zin van de Wet waardering onroerende zaken. Dit betreft nummer 3 uit Tabel 1.
22. Op het elektriciteitsnet zijn geen productie-installaties aangesloten.
Tabel 1 Overzicht van de afnemers op het elektriciteitsnet
|   Nr. | Naam afnemer                                   | Adres op de locatie   |
|-------|------------------------------------------------|-----------------------|
|    1. | Arteria Consulting B.V.                        | Loosdrechtse Bos 5    |
|    2. | Stichting Tergooiziekenhuizen                  | Loosdrechtse Bos 7    |
|    3. | Stichting HilverZorg (Verpleeghuis Zonnehoeve) | Loosdrechtse Bos 9    |
|    4. | Redres.NL B.V.                                 | Loosdrechtse Bos 11   |
|    5. | Kendall Mason B.V.                             | Loosdrechtse Bos 13   |
## Autoriteit
&lt;!-- image --&gt;
## Besluit Openbaar
## 4.2 Eisen aan aanvrager
23. Aanvrager betoogt dat hij eigenaar is van dit elektriciteitsnet. Hij heeft hiertoe toegelicht dat hij eigenaar is van de grond waarin het elektriciteitsnet is gelegen. Hij heeft dit onderbouwd door middel van het overleggen van de relevante notariële aktes en een uittreksel van het Kadaster van 8 juni 2010. Op 31 juli 2007 heeft aanvrager erfpacht verkregen van de (voor zover relevant) kadastrale percelen H 2956 en H 3254. Op het perceel dat kadastraal bekend staat als H 3018 heeft Stichting HilverZorg op 1 augustus 2007 een recht van erfpacht gevestigd. Dit recht van erfpacht ziet niet op het elektriciteitsnet, zo blijkt uit de overlegde akte. Op 26 november 2009 heeft aanvrager vervolgens bloot eigendom van de percelen die kadastraal bekend staan als H 2956, H 3254 en H 3018, te gemeente Hilversum verkregen, waarna het recht van erfpacht dat is gevestigd op de percelen H 2956 en H 3254 van rechtswege door vermenging teniet is gegaan. Ten aanzien van het perceel dat kadastraal bekend staat als gemeente Hilversum H 2888, geldt dat aanvrager ook hiervan eigenaar is.
24. Aanvrager heeft verklaard geen netbeheerder in de zin van de E-wet te zijn. Aanvrager heeft eveneens verklaard dat hij geen deel uitmaakt van een groep als bedoeld in artikel 24b van boek 2 van het Burgerlijk Wetboek (hierna: BW) waarvan ook een netbeheerder in de zin van de E-wet onderdeel uitmaakt. Hij heeft dit aangetoond door middel van het overleggen van statuten en een uittreksel van de Kamer van koophandel.
## 4.3 Ontheffingsgronden
25. Aanvrager verzoekt om een ontheffing op grond van artikel 15, eerste lid, onderdeel b, van de E-wet. Hij licht dit als volgt toe.
26. Op het elektriciteitsnet zijn volgens aanvrager geen aan aanvrager verwante bedrijven aangesloten. Volgens aanvrager gebruikte hij in het jaar 2012 meer dan 60% van de getransporteerde elektriciteit zelf.
27. In aanvulling hierop licht aanvrager toe dat het terrein waarop het elektriciteitsnet is gelegen, een particulier landgoed van circa 80 hectare betreft. Het landgoed was oorspronkelijk een sanatorium. Later heeft zich een algemeen ziekenhuis (Ziekenhuis Zonnestraal) gevestigd op het landgoed. Nadien heeft terrein de functie gekregen van landgoed voor zorg en gezondheid. Eerst beheerde de Stichting Loosdrechtse Bos het landgoed. Later werd dit aanvrager.
28. Aanvrager geeft aan de kwaliteit en veiligheid op het elektriciteitsnet op de volgende wijze te borgen. Aanvrager heeft een overeenkomst gesloten met Imtech voor het preventief en correctief onderhoud van het elektriciteitsnet. In deze overeenkomst is opgenomen dat Imtech
&lt;!-- image --&gt;
## Besluit Openbaar
zich bezighoudt met het regelmatig onderhouden van het net en verantwoordelijk is voor het oplossen van storingen. Imtech schrijft ook veiligheidsvoorschriften voor waaraan Landgoed Zonnestraal zich moet houden. Na faillissement van Imtech is een overeenkomst voor onderhoud van het net gesloten met Unica Groep B.V. De manager van het landgoed is als installatieverantwoordelijke aangewezen.
&lt;!-- image --&gt;
## Besluit Openbaar
## 5 Beoordeling van de ontheffingsaanvraag
29. In dit hoofdstuk licht ACM toe hoe zij de ontheffingaanvraag heeft beoordeeld. De beoordeling valt uiteen in drie delen. Ten eerste beoordeelt ACM of er sprake is van een GDS in de zin van artikel 1, eerste lid, onderdeel aq, van de E-wet (paragraaf 5.1). Als er sprake is van een GDS, beoordeelt ACM ten tweede of aanvrager voldoet aan de eisen die aan hem zijn gesteld in artikel 15, eerste lid, van de E-wet (paragraaf 5.2). Als er sprake is van een GDS én aanvrager voldoet aan de wettelijke eisen, dan beoordeelt ACM op welke grond de ontheffing kan worden verleend (paragraaf 5.3).
## 5.1 Definitie van gesloten distributiesysteem
30. Bij de beoordeling of er sprake is van een GDS gelden de volgende criteria:
- a) Er is sprake van een elektriciteitsnet in de zin van artikel 1, eerste lid, onderdeel i, van de E-wet;
- b) Het elektriciteitsnet is geen onderdeel van het landelijk hoogspanningsnet in de zin van artikel 1, eerste lid, onderdeel aq, van de E-wet;
- c) Het elektriciteitsnet ligt binnen een geografisch afgebakende locatie, conform artikel 1, eerste lid, onderdeel aq, van de E-wet;
- d) Er worden niet meer dan 500 niet-huishoudelijke afnemers aangesloten, conform artikel 1, eerste lid, onderdeel aq, van de E-wet.
ACM heeft deze criteria beoordeeld op basis van de bij haar bekende feiten en omstandigheden. ACM vat haar beoordeling samen aan het eind van deze paragraaf.
31. Een ontheffing voor een GDS kan alleen worden verleend als er sprake is van een elektriciteitsnet als bedoeld in artikel 1, eerste lid, onderdeel i, van de E-wet. Op grond van de in hoofdstuk 4 van dit besluit beschreven feiten en omstandigheden, concludeert ACM dat er sprake is van een stelsel van verbindingen dat is aangesloten op het elektriciteitsnet van Liander. ACM stelt verder vast dat op het stelsel van verbindingen vijf WOZ-objecten met vijf verschillende afnemers zijn aangesloten. ACM concludeert dat er sprake is van een elektriciteitsnet in de zin van artikel 1, eerste lid, onderdeel i, van de E-wet.
32. Op grond van artikel 1, eerste lid, onderdeel aq, aanhef, van de E-wet kan geen ontheffing worden verleend voor een elektriciteitsnet dat tot het landelijk hoogspanningsnet behoort, als bedoeld in artikel 1, eerste lid, onderdeel j, juncto artikel 10, eerste lid, van de E-wet. Uit de feiten en omstandigheden zoals die zijn beschreven in hoofdstuk 4 van dit besluit maakt ACM op dat het elektriciteitsnet opereert op een spanningsniveau dat lager is dan het landelijk hoogspanningsnet. ACM concludeert hieruit dat het elektriciteitsnet geen onderdeel is van het landelijk hoogspanningsnet.
## Autoriteit
&lt;!-- image --&gt;
## Besluit Openbaar
33. Op grond van artikel 1, eerste lid, onderdeel aq, van de E-wet dient het elektriciteitsnet binnen een geografisch afgebakende industriële locatie, commerciële locatie of een locatie met gedeelde diensten te liggen. Binnen die locatie geldt een aansluitplicht voor de ontheffinghouder. Uit de feiten en omstandigheden zoals die zijn beschreven in hoofdstuk 4 van dit besluit blijkt dat de geografische afbakening van de locatie waarop het elektriciteitsnet is gelegen de percelen die kadastraal bekend staan als H 2888, H 2956, H 3018 en H 3254, te Hilversum, is. Aanvrager heeft dit genoegzaam aangetoond. ACM stelt vast dat er nog een elektriciteitsnet is gelegen op nagenoeg dezelfde locatie. 15 Om beide elektriciteitsnetten van elkaar te kunnen onderscheiden, voegt ACM aan de geografische afbakening toe welke adressen hierop zijn aangesloten, te weten: de Loosdrechtse Bos 5, 7, 9, 11 en 13, te Hilversum. Daarnaast blijkt dat er sprake is van een commerciële locatie. ACM concludeert dat de aanvraag op dit punt voldoet aan de wet en definieert de geografische afbakening van de locatie waarop het elektriciteitsnet is gelegen als de percelen die kadastraal bekend staan als H 2888, H 2956, H 3018 en H 3254, te Hilversum, waarop de Loosdrechtse Bos 5, 7, 9, 11 en 13, te Hilversum zijn aangesloten.
34. Om in aanmerking te komen voor een ontheffing moet aanvrager beschikken over een gastransportnet waarop, blijkens artikel 1, eerste lid, onderdeel am, van de Gaswet niet meer dan 500 niet-huishoudelijke afnemers zijn aangesloten. Uit de feiten en omstandigheden zoals die zijn beschreven in hoofdstuk 4 van dit besluit blijkt dat er vijf niet-huishoudelijke afnemers en geen huishoudelijke afnemers op het gastransportnet zijn aangesloten. Anders dan ACM oordeelde in een eerder ontwerpbesluit inzake de ontheffingsaanvraag van aanvrager, is irrelevant dat het Verpleeghuis Zonnehoeve bewoond wordt door personen met dementie die mogelijk elektriciteit afnemen voor huishoudelijk verbruik. Uit rechtspraak van het College van Beroep voor het bedrijfsleven volgt namelijk dat voor de vraag wie afnemer is op het net, bepalend is wie daadwerkelijk aangesloten is op het net. 16 Aangezien de bewoners van het verpleeghuis geen directe aansluiting hebben op het net, moeten zij niet als afnemers worden aangemerkt. Het verpleeghuis zelf, in eigendom van Stichting HilverZorg, is de (niethuishoudelijke) afnemer. Dat het verpleeghuis doorlevert aan  de bewoners, is hierbij niet van belang. ACM concludeert dat de aanvraag voldoet aan dit wettelijk vereiste van een GDS.
35. Uit de voorgaande randnummers blijkt dat er sprake is van een elektriciteitsnet in de zin van de E-wet, het elektriciteitsnet geen onderdeel is van het landelijk hoogspanningsnet, het elektriciteitsnet ligt binnen een geografisch afgebakende commerciële locatie, er minder dan
15 Zie het besluit met kenmerk ACM/DE/2014/205447
16 CBb 17 juni 2015, ECLI:NL:2015:214
## Autoriteit
&lt;!-- image --&gt;
## Besluit Openbaar
500 afnemers en geen huishoudelijke afnemers zijn aangesloten op het elektriciteitsnet. ACM stelt vast dat het elektriciteitsnet kwalificeert als een GDS
## 5.2 Eisen aan aanvrager
36. Nu er sprake is van een GDS in de zin van artikel 1, eerste lid, onderdeel aq, van de E-wet, beoordeelt ACM, conform artikel 15, eerste lid, aanhef en onderdeel c, van de E-wet, of aanvrager beschikt over de eigendom van het elektriciteitsnet, geen netbeheerder is, en ook niet verbonden is met een netbeheerder in een groepsmaatschappij. ACM heeft dit beoordeeld op basis van de bij ACM bekende feiten en omstandigheden. ACM vat haar beoordeling samen aan het eind van deze paragraaf.
37. De aanhef van het eerste lid van artikel 15 van de E-wet vereist dat aanvrager beschikt over de eigendom van het GDS waarvoor hij een ontheffing aanvraagt. ACM merkt op dat het hierbij dient te gaan om de juridische eigendom van het GDS. Bij het beoordelen van het eigendom van het GDS kijkt ACM op de eerste plaats of het eigendom volgt uit de inschrijving van het eigendom van het GDS in het kadaster. Omdat het eigendom van het GDS in dit geval niet uit het kadaster volgt, dient aanvrager te betogen dat hij bevoegd aanlegger is. Dit kan blijken uit facturen, een beschrijving van de historische ontwikkeling van het net en zakelijke rechten op de grond. Ter onderbouwing hiervan heeft aanvrager een overeenkomst met Imtech voor correctief en preventief onderhoud aan het gastransportnet, een beschrijving van de historische ontwikkeling en een bewijs van de eigendom van de percelen overlegd. ACM neemt daarbij in ogenschouw dat er verder geen reden aanwezig is om aan te nemen dat aanvrager niet over de eigendom beschikt. ACM concludeert dat aanvrager beschikt over de eigendom van het GDS.
38. Op grond van artikel 15, eerste lid, onderdeel c, van de E-wet mag aanvrager geen netbeheerder zijn en ook niet in een groepsmaatschappij met een netbeheerder verbonden zijn. Aanvrager heeft verklaard geen netbeheerder en ook niet in een groepsmaatschappij met een netbeheerder verbonden te zijn. Hij heeft dit genoegzaam aangetoond. Hiermee voldoet de aanvraag aan het criterium uit artikel 15, eerste lid, onderdeel c, van de E-wet.
39. Uit de voorgaande randnummers blijkt dat aanvrager eigenaar is van het GDS, geen netbeheerder is en niet in een groepsmaatschappij is verbonden met een netbeheerder. ACM stelt vast dat aanvrager voldoet aan de eisen in artikel 15 van de E-wet.
## Autoriteit
&lt;!-- image --&gt;
## Besluit Openbaar
## 5.3 Ontheffingsgronden
40. Nu er sprake is van een GDS en aanvrager voldoet aan de wettelijke eisen, beoordeelt ACM ingevolge artikel 15, eerste lid, onderdelen a en b, van de E-wet of en op welke grond zij de ontheffing kan verlenen
- a) De a-grond: het bedrijfs- of productieproces van de gebruikers van het GDS is om specifieke technische of veiligheidsredenen geïntegreerd;
- b) De b-grond: het GDS transporteert elektriciteit primair voor de eigenaar van dat systeem of de daarmee verwante bedrijven.
Aanvrager doet, zo blijkt uit de verstrekte informatie, een beroep op de b-grond. ACM heeft daarom alleen deze grond beoordeeld.
41. Om in aanmerking te komen voor een ontheffing op de b-grond dient te worden aangetoond dat het GDS elektriciteit primair transporteert voor de eigenaar van dat systeem of de daarmee verwante bedrijven. Blijkens de in hoofdstuk 4 van dit besluit beschreven feiten en omstandigheden, zijn er naast aanvrager geen verwante bedrijven aangesloten op het GDS. In afwijking van wat aanvrager betoogt in zijn aanvraag, neemt aanvrager niet meer dan 60% van de getransporteerde elektriciteit af. Voor de vraag wie afnemer is, moet gekeken worden naar de gebruiker van het WOZ-object. Hoewel vier van de vijf op het GDS aangesloten WOZobjecten in eigendom van aanvrager zijn, zijn er andere gebruikers in gevestigd, die niet aan aanvrager verwant zijn. Aanvrager neemt daarom minder dan 5% van de getransporteerde elektriciteit af. ACM concludeert dat aanvrager hiermee niet gemotiveerd heeft aangetoond dat er sprake is van een situatie als omschreven in artikel 15, eerste lid, onderdeel b, van de E-wet.
42. Uit de voorgaande randnummers blijkt dat de aanvraag niet voldoet aan de b-grond. Nu de aanvraag niet voldoet aan de criteria uit artikel 15 van de E-wet, honoreert ACM de aanvraag niet. Hieruit volgt dat aanvrager het net niet zelf mag beheren en moet overdragen aan een aangewezen netbeheerder als bedoeld in artikel 10 van de E-wet.
&lt;!-- image --&gt;
## Besluit Openbaar
## 1 Dictum
43. De Autoriteit Consument en Markt besluit geen ontheffing te verlenen van de verplichting een netbeheerder aan te wijzen aan Landgoed Zonnestraal BV voor het elektriciteitsnet gelegen op de percelen die kadastraal bekend staan als H 2888, H 2956, H 3018 en H 3254, te Hilversum, waarop Loosdrechtse Bos 5, 7, 9, 11 en 13, te Hilversum zijn aangesloten.
44. Van dit besluit wordt mededeling gedaan in de Staatscourant. Voorts publiceert de Autoriteit Consument en Markt dit besluit op de internetpagina van de Autoriteit Consument en Markt.
Den Haag, Datum:
Autoriteit Consument en Markt</t>
  </si>
  <si>
    <t>ACM__ontheffing_besluit-ontheffingsaanvraag-liander-gelijkstroomnet-lelystad.txt</t>
  </si>
  <si>
    <t>[...] bedraagt de boete voor Hofstede EUR 13.000 en de boete voor M.A. Bik Holding B.V. EUR nihil. - «Besluit» - «Openbaar» ## 6 BESLUIT De Autoriteit Consument en Markt: - I. legt een boete van EUR 13.000 op aan Hofstede B.V., J.B.M. Hofstede Beheer B.V., J.B.M. Hofstede Holding B.V., Jermido B.V. en Jermi B.V., allen statutair gevestigd te Rotterdam, waarbij alle rechtspersonen hoofdelijk aansprakelijk zijn voor het geheel; - II. legt geen boete op aan Hofstede Sloperij B.V., statutair gevestigd te Rotterdam; - III. legt geen boete op aan M.A. Bik Holding B.V., statutair gevestigd te Krimpen aan de Lek. Dit besluit is gericht tot ieder van bovengenoemde rechtspersonen afzonderlijk. Datum: 24 mei 2013 Autoriteit Consument en Markt, namens deze, w.g. mr. C.A. Fontei [...]</t>
  </si>
  <si>
    <t>ACM__kartels_10979_Besluit in zaak 7401.txt::Besluitvormend Orgaan</t>
  </si>
  <si>
    <t>De Autoriteit Consument en Markt [140432:140464]</t>
  </si>
  <si>
    <t>[...] tecode 2007 en onder verwijzing naar de randnummers 166 en 172 van dit besluit bedraagt de boete voor Hofstede EUR 13.000 en de boete voor M.A. Bik Holding B.V. EUR nihil. - «Besluit» - «Openbaar» ## 6 BESLUIT De Autoriteit Consument en Markt: - I. legt een boete van EUR 13.000 op aan Hofstede B.V., J.B.M. Hofstede Beheer B.V., J.B.M. Hofstede Holding B.V., Jermido B.V. en Jermi B.V., allen statutair gevestigd te Rotterdam, waarbij alle rechtspersonen hoo [...]</t>
  </si>
  <si>
    <t>ACM__kartels_10979_Besluit in zaak 7401.txt::Rechtshandeling</t>
  </si>
  <si>
    <t>legt [140474:140479] || legt [140735:140740] || legt [140824:140829]</t>
  </si>
  <si>
    <t>legt [140474:140478] || legt [140735:140739] || legt [140824:140828]</t>
  </si>
  <si>
    <t>[...] ndnummers 166 en 172 van dit besluit bedraagt de boete voor Hofstede EUR 13.000 en de boete voor M.A. Bik Holding B.V. EUR nihil. - «Besluit» - «Openbaar» ## 6 BESLUIT De Autoriteit Consument en Markt: - I. legt een boete van EUR 13.000 op aan Hofstede B.V., J.B.M. Hofstede Beheer B.V., J.B.M. Hofstede Holding B.V., Jermido B.V. en Jermi B.V., allen statutair gevestigd te Rotterdam, waarbij alle rechtspersonen hoofdelijk aansprakelijk zijn voor het geheel; - II. legt geen boete op aan Hofstede Sloperij B.V., statutair gevestigd te Rotterdam; - III. legt geen boete op aan M.A. Bik Holding B.V., statutair gevestigd te Krimpen aan de Lek. Dit besluit is gericht tot ieder van bovengenoemde rechtspersonen afzonderlijk. Datum: 24 mei 2013 Autoriteit Consument en Mark [...]</t>
  </si>
  <si>
    <t>ACM__kartels_10979_Besluit in zaak 7401.txt::Rechtsobject</t>
  </si>
  <si>
    <t>boete | geen boete</t>
  </si>
  <si>
    <t>boete [140483:140489] || geen boete [140740:140750] || geen boete [140829:140839]</t>
  </si>
  <si>
    <t>boete [140483:140488] || geen boete [140740:140750] || geen boete [140829:140839]</t>
  </si>
  <si>
    <t>[...] 166 en 172 van dit besluit bedraagt de boete voor Hofstede EUR 13.000 en de boete voor M.A. Bik Holding B.V. EUR nihil. - «Besluit» - «Openbaar» ## 6 BESLUIT De Autoriteit Consument en Markt: - I. legt een boete van EUR 13.000 op aan Hofstede B.V., J.B.M. Hofstede Beheer B.V., J.B.M. Hofstede Holding B.V., Jermido B.V. en Jermi B.V., allen statutair gevestigd te Rotterdam, waarbij alle rechtspersonen hoofdelijk aansprakelijk zijn voor het geheel; - II. legt geen boete op aan Hofstede Sloperij B.V., statutair gevestigd te Rotterdam; - III. legt geen boete op aan M.A. Bik Holding B.V., statutair gevestigd te Krimpen aan de Lek. Dit besluit is gericht tot ieder van bovengenoemde rechtspersonen afzonderlijk. Datum: 24 mei 2013 Autoriteit Consument en Markt, namens [...]</t>
  </si>
  <si>
    <t>ACM__ontheffing_12285_104259-ontheffingbesluit-albermarle.txt::Ontvanger</t>
  </si>
  <si>
    <t>Albemarle Catalysts Company B.V.</t>
  </si>
  <si>
    <t>albemarle catalysts company b.v</t>
  </si>
  <si>
    <t>Albemarle Catalysts Company B.V. [20971:21003]</t>
  </si>
  <si>
    <t>## Autoriteit
&lt;!-- image --&gt;
## Besluit
## Ontheffing gelijkstroomnet Lelystad
Ons kenmerk
:  ACM/UIT/502967
Zaaknummer
:  ACM/18/033850
Datum
:  29 november 2018
Besluit van de Autoriteit Consument en Markt op grond van artikel 37a van de Elektriciteitswet 1998 op de ontheffingsaanvraag van Liander N.V.
&lt;!-- image --&gt;
## Inhoud
| 1                                                                                | Inleiding                                                                        | Inleiding                                                                        |   3 |
|----------------------------------------------------------------------------------|----------------------------------------------------------------------------------|----------------------------------------------------------------------------------|-----|
| 2                                                                                | Procedure                                                                        | Procedure                                                                        |   3 |
| 3                                                                                | Relevante omstandigheden                                                         | Relevante omstandigheden                                                         |   4 |
| 4                                                                                | De reikwijdte van de aanvraag en het besluit                                     | De reikwijdte van de aanvraag en het besluit                                     |   4 |
| 5                                                                                | Beoordeling                                                                      | Beoordeling                                                                      |   5 |
|                                                                                  | 5.1                                                                              | Gelijkstroomnet                                                                  |   5 |
|                                                                                  | 5.2                                                                              | Individuele gevallen of specifieke omstandigheden                                |   6 |
|                                                                                  | 5.3                                                                              | Ongewenste uitwerking van de onverkorte toepassing                               |   7 |
|                                                                                  | 5.4                                                                              | Codewijziging niet opportuun en overbruggingsmaatregel noodzakelijk              |   8 |
|                                                                                  | 5.5                                                                              | Conclusie                                                                        |   9 |
| 6                                                                                | Dictum                                                                           | Dictum                                                                           |   9 |
| Bijlage 1 - Bepalingen die in plaats van de ontheven codebepalingen gelden       | Bijlage 1 - Bepalingen die in plaats van de ontheven codebepalingen gelden       | Bijlage 1 - Bepalingen die in plaats van de ontheven codebepalingen gelden       |  11 |
| Bijlage 2 - Conversie van Tarievencode en Informatiecode                         | Bijlage 2 - Conversie van Tarievencode en Informatiecode                         | Bijlage 2 - Conversie van Tarievencode en Informatiecode                         |  35 |
| Bijlage 3 - Planning van het experiment (bijlage I van de ontheffingsaanvraag)37 | Bijlage 3 - Planning van het experiment (bijlage I van de ontheffingsaanvraag)37 | Bijlage 3 - Planning van het experiment (bijlage I van de ontheffingsaanvraag)37 |     |
| Bijlage 4 - Reactie op zienswijze                                                | Bijlage 4 - Reactie op zienswijze                                                | Bijlage 4 - Reactie op zienswijze                                                |  39 |
| Bijlage 5 - Wettelijk kader                                                      | Bijlage 5 - Wettelijk kader                                                      | Bijlage 5 - Wettelijk kader                                                      |  41 |
3
3
4
4
5
5
6
7
8
9
9
11
35
39
41
## 1 Inleiding
1. De Autoriteit Consument en Markt (hierna: de ACM) geeft met dit besluit haar oordeel op de aanvraag van Liander N.V. (hierna: Liander) van 4 september 2018 voor een ontheffing op grond van artikel 37a van de Elektriciteitswet 1998 (hierna: E-wet). De ontheffing wordt gevraagd om een experiment met een gelijkstroomnet voor het bedrijventerrein Lelystad Airport Business park mogelijk te maken. De bestaande netten zijn gebaseerd op wisselstroomtechnologie, waardoor veel bepalingen in de huidige codes niet kunnen worden toegepast op een gelijkstroomnet. Duurzaam opgewekte elektriciteit is steeds vaker gebaseerd op gelijkstroomtechnologie, waardoor in het net wisselstroom en gelijkstroom regelmatig in elkaar worden omgezet. Een gelijkstroomnet kan een rol spelen in de betaalbaarheid en realisatie van de energietransitie. Een experiment met een gelijkstroomnet kan de technologische en economische haalbaarheid verkennen.
2. Liander verzoekt daarom om een ontheffing van een aantal artikelen uit hoofdstuk 1, 2, 3 en 6 van de Netcode elektriciteit, en van een aantal artikelen uit hoofdstuk 1, 4, 6 en de bijlagen van de Meetcode elektriciteit.  Daarnaast stelt Liander een aantal aanvullende bepalingen voor. Het is daarbij de bedoeling dat alle beginselen uit de huidige codes, zoals leveringszekerheid en kwaliteit, gewaarborgd blijven.
3. In dit besluit gaat de ACM in op de procedure (hoofdstuk 2), de relevante omstandigheden in de ontheffingsaanvraag (hoofdstuk 3), de reikwijdte van de aanvraag en van het besluit (hoofdstuk 4), de beoordeling van de aanvraag (hoofdstuk 5) en het dictum (hoofdstuk 6). De gewijzigde codebepalingen zijn opgenomen in Bijlage 1. De conversie voor de Tarievencode elektriciteit en de Informatiecode elektriciteit en gas is opgenomen in Bijlage 2. In Bijlage 3 staat de voorgenomen planning van het experiment. In Bijlage 4 reageert de ACM op de ingediende zienswijze. Het wettelijk kader is aangehecht als Bijlage 5 bij dit besluit. De bijlagen vormen een integraal onderdeel van dit besluit.
## 2 Procedure
4. Op 4 september 2018 heeft Liander op grond van artikel 37a E-wet een ontheffingsaanvraag ingediend.
5. De ACM heeft de uniforme openbare voorbereidingsprocedure uit afdeling 3.4 van de Algemene wet bestuursrecht (hierna: Awb) van toepassing verklaard op de totstandkoming van dit besluit. Als onderdeel van deze procedure heeft de ACM hiervan mededeling gedaan in de Staatscourant en het ontwerpbesluit ter inzage gelegd op de website van de ACM. De ACM heeft op het ontwerpbesluit één reactie ontvangen. 1 Deze heeft niet tot wijziging van het besluit geleid en wordt in Bijlage 4 behandeld.
1 Kenmerk: ACM/IN/423737.
## 3 Relevante omstandigheden
6. De ACM stelt, mede op basis van de aanvraag van Liander, de volgende omstandigheden vast.
7. De Netcode elektriciteit, de Meetcode elektriciteit, de Begrippencode elektriciteit, de Tarievencode elektriciteit en de Informatiecode elektriciteit en gas gaan uit van wisselstroomtechnologie (ook wel 'alternating current' of AC genoemd). De E-wet benoemt, in tegenstelling tot deze codes, geen specifieke technologie voor elektriciteit.
8. Liander wil nu op het terrein van Lelystad Airport Businesspark een gelijkstroomnet (ook wel 'direct current' of DC genoemd) realiseren. Omdat duurzame energie vaak met gelijkstroomtechnologie opgewekt wordt, en veel verbruikers ook gelijkstroom kunnen verbruiken, ontstond er behoefte om ook het transport op gelijkstroom uit te voeren. Hierdoor kunnen bijvoorbeeld energieverliezen gereduceerd worden.
9. Het betreft een gelijkstroomnet op laagspanningsniveau. Dit gelijkstroomnet is beperkt tot een aansluitvermogen van in totaal 1.000 kW, en een maximaal aansluitvermogen per aansluiting van 500 kW. Hierdoor zal ook het aantal aansluitingen beperkt zijn. 2
10. In het betreffende gebied zullen alle afnemers standaard worden aangesloten op het wisselstroomnet. Alleen als afnemers dat wensen, worden zij ook of uitsluitend aangesloten op het gelijkstroomnet.
11. In de huidige regeling van de elektriciteitscodes wordt nog niet voorzien in gelijkstroom. Ook zijn er nog geen standaarden of maatwerkoplossingen voor componenten voor gelijkstroomaansluitingen en -meetinrichtingen.
## 4 De reikwijdte van de aanvraag en het besluit
12. Om een gelijkstroomnet te kunnen realiseren, vraagt Liander ontheffing aan van een aantal bepalingen uit de Netcode elektriciteit en een aantal bepalingen uit de Meetcode elektriciteit. Liander stelt in haar ontheffingsaanvraag aangepaste of aanvullende bepalingen voor, die aansluiten bij de technische codes maar rekening houden met de gelijkstroomtechnologie.
13. Zij stelt tevens voor om naast de definities in de Begrippencode elektriciteit nog een aantal aanvullende definities te hanteren. Ook de Tarievencode elektriciteit blijft onverkort van toepassing. Wel stelt Liander een conversietabel voor om de tarieven voor de gelijkstroomaansluitingen te koppelen aan de tarieven voor de overeenkomstige gelijkstroomaansluitingen. Liander stelt voor om de Informatiecode elektriciteit en gas onverkort van toepassing te laten zijn voor zover deze grootverbruik-aansluitingen betreft. Liander stelt namelijk voor om een aansluiting op het gelijkstroomnet te beschouwen als een wisselstroom grootverbruik-aansluiting die is voorzien van een telemetrie grootverbruik meetinrichting. Hiermee zullen voor de aangeslotenen op het gelijkstroomnet slechts de marktprocessen gelden die in de Informatiecode elektriciteit en gas vastgesteld zijn.
2 Liander heeft aangegeven dat zij stuurt op een zo klein mogelijke aansluiting per klant, en verwacht daarom meer dan twee klanten. Zij wil echter wel de mogelijkheid openhouden voor een grotere klant en heeft daarom gekozen voor een maximaal aansluitvermogen per aansluiting van 500kW.
14. Liander vraagt een ontheffing aan voor een periode van vijf jaar, gevolgd door een periode van vier jaar voor evaluatie en vervolg. Dit komt neer op een maximale ontheffingsduur van negen jaar.
## 5 Beoordeling
15. Artikel 37a E-wet geeft de ACM de bevoegdheid om een ontheffing te verlenen. De ACM benadrukt dat zij terughoudend omgaat met het verlenen van ontheffingen van codes op grond van artikel 37a E-wet. 3 Een ontheffing wordt alleen verleend wanneer onverkorte toepassing van tariefstructuren en voorwaarden zoals in de codes vastgelegd in individuele gevallen of onder specifieke omstandigheden een ongewenste uitwerking heeft, aanpassing van de codes niet opportuun is gelet op het individuele karakter van het probleem of de tijdelijkheid daarvan en een tijdelijke voorziening noodzakelijk en urgent is ter overbrugging van de periode die nodig is om een structurele oplossing van het probleem te bewerkstelligen.
16. Deze criteria gelden cumulatief. De ACM is op grond van artikel 37a, derde lid, E-wet bevoegd voorschriften en beperkingen aan een ontheffing te verbinden.
17. De ACM beoordeelt in het vervolg of Liander een ontheffing van een aantal artikelen uit hoofdstuk 1, 2, 3 en 6 van de Netcode elektriciteit en een aantal artikelen uit hoofdstuk 1, 4, 6 en de bijlagen van de Meetcode elektriciteit kan krijgen. Ook beoordeelt de ACM of Liander de aanvullende definities naast de Begrippencode elektriciteit, de conversietabel voor de Tarievencode elektriciteit en de conversie voor de Informatiecode elektriciteit en gas mag hanteren. Hiertoe beoordeelt de ACM navolgend of aan ieder van de in randnummer 15 genoemde cumulatieve voorwaarden is voldaan. Maar eerst beschouwt de ACM de mogelijke voordelen van een gelijkstroomnet.
## 5.1 Gelijkstroomnet
18. Gelijkstroom en wisselstroom zijn twee verschillende technologieën om elektriciteit te transporteren. Bij gelijkstroom stroomt de stroom altijd één kant op; bij bijvoorbeeld een batterij van de plus- naar de min-pool. Bij wisselstroom wisselt de stroomrichting periodiek. In Nederland 'wisselt' de stroomrichting uit het stopcontact 50 keer per seconde (50 Hertz).
19. Om elektriciteit over langere afstanden efficiënt te transporteren, worden hogere spanningen gebruikt dan bij de consument wordt afgeleverd. Het voordeel van wisselstroom is dat het spanningsniveau eenvoudig is om te zetten met behulp van een transformator. Een transformator heeft een relatief eenvoudige opzet 4 die bestaat uit elektriciteitsdraad en magnetiseerbaar metaal. Transformatoren worden al meer dan 100 jaar gemaakt. Elektriciteitsnetten zijn historisch gezien op wisselstroom gebaseerd.
3 Besluit van 20 september 2011, met kenmerk 103850/4 ( Ontheffing afschakelvolgorde Hilvarenbeek ).
4 Hiermee wil de ACM niet de innovatie (en de daarbij behorende R&amp;amp;D kosten) die nog steeds bij transformatoren wordt behaald, bagatelliseren. Transformatoren worden onder andere steeds efficiënter en stiller.
20. Bij gelijkstroom is voor het omzetten van het spanningsniveau elektronica nodig. Het efficiënt omzetten van gelijkstroom is pas de laatste tientallen jaren mogelijk. Maar de afgelopen tijd werkt apparatuur (intern) steeds vaker op gelijkstroom. Computers, datacenters, en mobiele telefoons werken intern op gelijkstroom. En dit geldt ook voor LED-verlichting, elektrische auto's en platte televisies. Ook vanuit de opwekking van elektriciteit is er een verschuiving naar gelijkstroom. Zonnepanelen en batterijopslag leveren gelijkstroom. En vaak speelt ook bij windmolens gelijkstroom een rol.
21. Bij het omzetten van wisselstroom in gelijkstroom en omgekeerd gaat energie verloren. In vergelijking met wisselstroom is er bij gelijkstroom minder energieverlies in de elektriciteitsleidingen.
22. Er lijken dus potentiële voordelen te zijn om een gelijkstroomnet te gaan gebruiken. Er zijn daarbij echter wel vraagstukken die nog nader uitgezocht moeten worden, zowel van technische als economische aard.
23. Een vraagstuk bij een gelijkstroomnet is bijvoorbeeld hoe het verbruik van de verschillende afnemers elkaar beïnvloedt en welk effect dit heeft op de spanningskwaliteit. Ook moet bekeken worden of normen ten aanzien van veiligheidseisen en het meten van het energieverbruik realistisch zijn. De economische vraag is of de economische voordelen voor zowel netbeheerders als afnemers groot genoeg zijn om een verandering van technologie in gang te zetten.
24. De ACM is van mening dat een gelijkstroomnet potentieel kan bijdragen aan de energietransitie en een welvaartsverhogend effect kan hebben. Een experiment waarin de technische en economische vraagstukken verder worden verkend, is daarom nuttig voor de maatschappij. Het is daarbij van belang om ook voor de aangeslotenen op dit net het belang van het betrouwbaar, duurzaam, doelmatig en milieuhygiënisch verantwoord functioneren van de elektriciteitsvoorziening (artikel 36 E-Wet) te waarborgen.
## 5.2 Individuele gevallen of specifieke omstandigheden
25. De ACM constateert dat Liander van plan is om een gelijkstroomnet te realiseren. Deze technologie wijkt af van wisselstroomtechnologie, zoals in paragraaf 5.1 uiteengezet. De ACM acht voldoende aangetoond dat gedeelten van de codes elektriciteit gebaseerd zijn op wisselstroomtechnologie, waardoor deze codes niet toepasbaar zijn op gelijkstroomnetten. Een gelijkstroomnet is daarom te onderscheiden van de wisselstroomnetten in het verzorgingsgebied van Liander.
26. Verder constateert de ACM dat Liander op dit moment de enige netbeheerder is die een gelijkstroomnet wil realiseren in haar verzorgingsgebied. Van belang daarbij is dat Liander dit beoogt te doen onmiddellijk nadat de ACM de gevraagde ontheffing verleent en voor een looptijd van vijf jaren, gevolgd door een evaluatie en vervolg van vier jaren. Er zijn geen aanwijzingen dat de overige openbare netbeheerders op het moment van de aanvraag een vergelijkbaar gelijkstroomnet willen realiseren, dan wel concrete voornemens hebben dit te doen gedurende dezelfde looptijd als Liander.
27. Samenvattend komt de ACM tot de conclusie dat het gaat om een gelijkstroomnet dat enkel door Liander en enkel op het bedrijventerrein van Lelystad Airport wordt gerealiseerd. De ACM is dan ook van oordeel dat hier sprake is van een individueel geval en van specifieke omstandigheden.
## 5.3 Ongewenste uitwerking van de onverkorte toepassing
28. De ACM toetst of de bestaande codes een ongewenste uitwerking hebben voor dit individuele geval. Daartoe weegt de ACM de situatie zonder ontheffing af tegen de situatie met ontheffing. De ACM houdt hierbij rekening met het doel van de betreffende bepalingen, in het licht van de relevante belangen en regels in artikel 36 E-wet.
29. De onverkorte toepassing van de Netcode elektriciteit en de Meetcode elektriciteit zou betekenen dat Liander haar gelijkstroomnet niet zou kunnen realiseren, zonder in strijd te handelen met deze codes. De bepalingen in deze codes hebben namelijk tot gevolg dat Liander aan eisen zou moeten voldoen die voor gelijkstroomtechnologie niet werken. Zo is bijvoorbeeld het aardingsconcept bij een wisselstroomnet anders, en worden er voor wisselstroom ook andere soorten eisen aan de kwaliteit van de transportdienst gesteld. Ook is er ten behoeve van het primaire deel van de meetinrichting als gevolg van een afwijkende technologie bij gelijkstroom geen sprake van de toepassing van stroomtransformatoren dan wel spanningstransformatoren en komen daar stroomtransducers, shuntweerstanden en spanningstransducers voor in de plaats.
30. Zonder een conversietabel zou de Tarievencode elektriciteit niet kunnen worden toegepast voor de DC-aansluitingen. Hetzelfde geldt voor de verduidelijking van de toepassing van de Informatiecode elektriciteit en gas. De reden hiervoor is dat in deze codes alleen wordt gesproken over wisselstroomaansluitingen.
31. De ACM stelt dan ook vast dat de toepassing van de codebepalingen op het gelijkstroomnet in het geval van Liander een ongewenste uitwerking heeft, omdat deze bepalingen het onmogelijk maken om een gelijkstroomnet aan te leggen.
32. Gelet op het voorgaande vindt de ACM het wenselijk dat Liander het gelijkstroomnet test, zoals Liander voorstelt. De ACM vindt daarnaast dat de aangepaste voorwaarden voldoende rechtsbescherming voor de afnemers moeten bieden. Bij de beoordeling van de voorgestelde voorwaarden toetst de ACM of de aangepaste voorwaarden minimale eisen ten aanzien van veiligheid en de kwaliteit van de transportdienst borgen. Een generieke eis is dat de afnemers op het gelijkstroomnet gelijkwaardig dienen te worden beschermd als de afnemers op wisselstroomnetten. Mede omdat de gelijkstroomtechnologie in ontwikkeling is, zijn er geen internationale normen en standaarden over bijvoorbeeld spanningskwaliteit. De ACM hecht daarom aan monitoring en een tussentijdse evaluatie. De ACM vindt het belangrijk dat Liander haar bevindingen jaarlijks rapporteert aan zowel de ACM als aan de deelnemers van het Gebruikersplatform Elektriciteits- en Gastransportnetten. Op deze manier worden de lessen uit het experiment met de sector gedeeld. Daar waar de technologische ontwikkeling of de evaluatie meer duidelijkheid biedt, zal de ACM indien nodig de kwaliteitscriteria zoals veiligheid en spanningskwaliteit opgenomen in de voorwaarden nader concretiseren.
## 5.4 Codewijziging niet opportuun en overbruggingsmaatregel noodzakelijk
33. Hoewel een ontheffing gewenst kan zijn om Liander te laten experimenteren met een gelijkstroomnet, moet worden overwogen of een codewijziging opportuun zou zijn. Uiteindelijk vormt een ontheffing immers een uitzondering op de regel, waar de code een algemeen verbindend voorschrift is dat voor iedereen geldt. De ACM toetst dan ook of een ontheffing een betere oplossing is dan een codewijziging, gelet op het individuele karakter van het probleem of de tijdelijkheid daarvan, alsmede of een tijdelijke voorziening noodzakelijk en urgent is ter overbrugging van de periode die nodig is om een structurele oplossing van het probleem te bewerkstelligen. Naar het oordeel van de ACM is het nu niet opportuun om de codebepalingen te wijzigen om zo het gelijkstroomnet mogelijk te maken, aangezien het van belang is dat hier eerst ervaring mee wordt opgedaan.
34. Daarnaast wordt beoogd om op termijn wel de technische codes te wijzigen als uit de resultaten van het experiment blijkt dat een gelijkstroomnet in de praktijk daadwerkelijk werkt en tot de gewenste effecten leidt. Hiervoor moet er echter eerst een gelijkstroomnet worden aangelegd en moeten voldoende afnemers hierop worden aangesloten. Daarmee is dus sprake van een tijdelijk probleem, dat door een ontheffing bij wijze van overbrugging kan worden verholpen. De ontheffing is daarnaast bestemd om praktijkervaring op te doen met het gelijkstroomnet. Zonder de ontheffing is dit niet mogelijk, waardoor potentiële kansen op duurzamer energiegebruik en welvaartswinsten verloren gaan. Indien het gelijkstroomnet in het experiment niet succesvol blijkt te zijn, is het niet noodzakelijk om de technische codes aan te passen.
35. Als de praktijkervaring echter uitwijst dat het gelijkstroomnet wel degelijk tot positieve resultaten leidt en er wellicht meerdere gelijkstroomnetten worden aangelegd in Nederland, dan bestaat zonder wijziging van de betreffende artikelen uit de Netcode elektriciteit, de Meetcode elektriciteit en de Begrippencode elektriciteit een blijvend probleem. De relevante bepalingen blijven dan immers een belemmering om gelijkstroomnetten te realiseren. De oplossing hiervoor is dan gelegen in het wijzigen van deze bepalingen, ditmaal met inachtneming van de bevindingen van Liander. Het is aannemelijk dat een codewijzigingsprocedure dan opportuun is, als de praktijkervaring van Liander netbeheerders in staat stelt om een weloverwogen en breed gedragen codewijzigingsvoorstel in te dienen.
36. De ACM acht van groot belang dat hier een reëel uitzicht op bestaat om te kunnen spreken van een overbrugging. Daartoe overweegt de ACM dat Liander in haar aanvraag verzoekt om een ontheffing van een periode van maximaal vijf jaar, gevolgd door een vervolgperiode van maximaal vier jaar die start met een grondige evaluatie. Indien dit experiment succesvol is, is de periode van vier jaar nodig ter overbrugging om het experiment te evalueren en vervolgens gelijkstroomnetten mogelijk te maken in de technische code of andere wet- en regelgeving. Indien het experiment niet succesvol is, dient de periode van vier jaar om het experiment te evalueren en vervolgens het gelijkstroomnet geleidelijk te beëindigen, zonder dat de aangeslotenen hiervan nadeel ondervinden. In Bijlage 3 onderbouwt Liander de genoemde periodes.
37. De ACM acht het voldoende aangetoond dat sprake is van een probleem dat een tijdelijk karakter kent en dat uiteindelijk niet langer zal bestaan of waarvoor een structurele oplossing wordt gevonden. Hiermee acht de ACM ook aangetoond dat sprake is van een overbruggingsmaatregel.
38. Gelet op het bovenstaande acht de ACM een codewijzing nu niet opportuun. De ontheffing dient om een bepaalde periode te overbruggen, waarna het probleem wordt opgelost door middel van een structurele oplossing. Deze overbruggingsmaatregel is noodzakelijk omdat zij het enige mogelijke alternatief is voor een codewijziging, en urgent omdat Liander op korte termijn duidelijkheid moet verschaffen aan potentiële klanten. Dit is naar het oordeel van de ACM conform de strekking van artikel 37a van de E-wet, daarom kan de ACM overgaan tot verlening van de aangevraagde ontheffing.
## 5.5 Conclusie
39. Op grond van het bovenstaande concludeert de ACM dat sprake is van een individueel geval en een specifieke omstandigheid waarin de onverkorte toepassing van de betreffende artikelen uit de Netcode elektriciteit en de Meetcode elektriciteit een ongewenste uitwerking hebben, terwijl een codewijziging niet opportuun is gelet op het individuele karakter van het probleem alsmede de tijdelijkheid ervan. Bovendien zou over de toepassing van de Tarievencode elektriciteit en de Informatiecode elektriciteit en gas onduidelijkheid bestaan. Een ontheffing of verduidelijking van deze bepalingen kan volgens de ACM onder een aantal voorschriften en beperkingen fungeren als een overbruggingsmaatregel.
40. In plaats van de ontheven codebepalingen komen aangepaste bepalingen die zijn toegespitst op de gelijkstroomtechnologie. De ACM heeft de door Liander voorgestelde voorwaarden getoetst om te bepalen of zij aangesloten afnemers voldoende bescherming bieden en de veiligheid en de kwaliteit van de transportdienst voldoende borgen. De ACM komt tot de conclusie dat dit het geval is en neemt de voorstellen van Liander integraal over - zie bijlage 1, 2 en 3. Als door de technologische ontwikkeling of door de evaluatie meer duidelijkheid ontstaat, zal de ACM indien nodig de kwaliteitscriteria zoals veiligheid en spanningskwaliteit opgenomen in de voorwaarden nader concretiseren.
## 6 Dictum
41. De Autoriteit Consument en Markt besluit op grond van artikel 37a van de Elektriciteitswet 1998 aan Liander N.V. een ontheffing te verlenen van een aantal artikelen uit de Netcode elektriciteit en een aantal artikelen uit de Meetcode elektriciteit.
42. Daarnaast staat de Autoriteit Consument en Markt toe dat Liander een aantal aanvullende definities hanteert naast de Begrippencode elektriciteit. Ook geldt voor Liander een conversietabel voor de Tarievencode elektriciteit en een verduidelijking van de toepassing van de Informatiecode elektriciteit en gas voor een gelijkstroomnet.
43. De ACM verbindt de volgende voorschriften aan de ontheffing:
- i. Liander hanteert de bepalingen overeenkomstig Bijlage 1 van dit besluit.
- ii. Liander geeft onverkort uitvoering aan de Tarievencode elektriciteit en de Informatiecode elektriciteit en gas, met behulp van de conversiebepalingen opgenomen in Bijlage 2 van dit besluit.
- iii. Liander realiseert op grond van de ontheffing het gelijkstroomnet zoals zij heeft omschreven in de aanvraag.
- iv. Liander sluit afnemers alleen aan als zij zelf verzoeken om op het gelijkstroomnet te worden aangesloten.
- v. De looptijd van de ontheffing loopt met ingang van de ontheffing tot en met uiterlijk 31 december 2027.
- vi. Na een periode van vijf jaar evalueert Liander het experiment en informeert zij de ACM over de uitkomsten van de evaluatie en de vervolgstappen. Dit gebeurt overeenkomstig Bijlage 3 van dit besluit.
- vii. Mocht eerder blijken dat het gelijkstroomnet niet succesvol werkt, dan dient Liander het gelijkstroomnet weer te beëindigen en eindigt de ontheffing.
- viii. Liander rapporteert haar bevindingen uiterlijk twee maanden na afloop van elk kalenderjaar aan de ACM.
- ix. Liander rapporteert haar bevindingen eveneens minimaal een keer per jaar aan de deelnemers van het Gebruikersplatform Elektriciteits- en Gastransportnetten (GEN). Op deze manier worden de lessen uit het experiment binnen de sector gedeeld.
- x. Als het experiment succesvol is, spant Liander zich ervoor in dat een eventueel benodigde wijziging van technische codes die nodig is om gelijkstroomnetten te realiseren, uiterlijk per 1 januari 2028 in werking kan treden.
- xi. Liander doet elk jaar een voorstel aan de ACM voor maximumtarieven voor aangesloten klanten op het gelijkstroomnet. Dit voorstel moet worden gebaseerd op de daadwerkelijke kosten van het gelijkstroomnet. Het staat Liander vervolgens vrij om lagere tarieven te hanteren dan de vastgestelde maximumtarieven.
- xii. Liander draagt zorg dat de extra kosten voor dit gelijkstroomnet niet ten koste komen van de overige afnemers op haar net.
44. De ACM verbindt de volgende beperkingen aan de ontheffing:
- i. De ontheffing geldt uitsluitend voor het gelijkstroomnet van Liander binnen het Lelystad Airport Businesspark.
- ii. De ontheffing geldt uitsluitend voor de afnemers die zijn aangesloten op het gelijkstroomnet van Liander.
45. De Autoriteit Consument en Markt doet mededeling van dit besluit in de Staatscourant en plaatst het besluit op haar website (www.acm.nl).
Den Haag,
Datum: 29 november 2018
De Autoriteit Consument en Markt, Namens deze,
W.g.
dr. F.J.H Don Bestuurslid
Tegen dit besluit kan degene, wiens belang rechtstreeks bij dit besluit is betrokken, binnen zes weken na bekendmaking beroep instellen bij het College van Beroep voor het bedrijfsleven, postbus 20021, 2500 EA, 's-Gravenhage.
## Bijlage 1 - Bepalingen die in plaats van de ontheven codebepalingen gelden
De bepalingen gelden in plaats van of aanvullend aan de codebepalingen.
## Netcode elektriciteit
## 1. Algemene bepalingen
## 1.1. Werkingssfeer en definities
Aan paragraaf 1.1 worden artikel 1.1.8 en 1.1.9 toegevoegd, luidend:
## 1.1.8
Indien sprake is van een aansluiting op een gelijkspanningsnet wordt deze aansluiting voor de bepalingen in deze code beschouwd als een grootverbruiksaansluiting op een laagspanningsnet op wisselspanning.
## 1.1.9
Voor aansluitingen op een gelijkstroomnet geldt dat de specifieke technische voorwaarden, waaronder beveiligings- en kwaliteitseisen en overige aan de elektrische installatie voor verbruik en/of opwek gerelateerde voorwaarden, voor zover niet in het bijzonder verwoord in deze code, gelijkwaardig zijn aan de voorwaarden zoals deze voor wisselspanning zijn opgenomen.
## Toelichting:
Met deze toevoeging wordt, m.b.t. de Netcode elektriciteit in zijn algemeenheid, duidelijk gemaakt wat binnen de pilot voor een aansluiting op een gelijkspanningsnet als uitgangspunt wordt gehanteerd.
## 2. Voorwaarden met betrekking tot de aansluiting
- 2.1. Voorwaarden voor alle aangeslotenen
- 2.1.1. De aansluiting
De tekst van artikel 2.1.1.1 komt te vervallen en wordt vervangen door:
## 2.1.1.1
Het ontheffingsgebied beperkt zich tot uitsluitend de percelen direct behorende tot bedrijventerrein Lelystad Airport Businesspark (LAB) in Lelystad, conform onderstaande situatieschetsen:
&lt;!-- image --&gt;
In aanvulling op het recht aangesloten te worden op een wisselspanningsnet, kan een aanvrager aan Liander, binnen de ontheffing en de mogelijkheden van het benodigde gelijkspanningsnet wat ter plaatse beschikbaar is, verzoeken om een aansluiting op het gelijkspanningsnet. Als er sprake is van voldoende transportcapaciteit, zal Liander de gevraagde aansluiting op het gelijkspanningsnet aanbieden, tenzij dit redelijkerwijs niet kan worden verlangd. De transportcapaciteit van het DC net is beperkt en zal worden verdeeld op basis van het principe 'first-come-first-served'. Afwijzing van een aanvraag zal schriftelijk en gemotiveerd plaatsvinden. Er zal een 'schone' spanning aan de klant geleverd worden met een vast, nominaal spanningsniveau tussen de 200 Vdc en 500 Vdc. Deze keuze wordt met de klant bij de aanvraag van zijn aansluiting overeengekomen.
## Toelichting:
Liander gaat binnen het ontheffingsgebied uit van een totale stations capaciteit van het algemene voedingspunt voor het publieke DC netwerk (DC AVP: DC algemeen voedingspunt) van 1MW en een maximale van aansluitcapaciteit voor de klant van &amp;lt;500kW bij een nominale LS DC spanning van 750V. Op basis hiervan bepaalt Liander, rekening houdend met de aard en de omvang van de elektrische installatie, de vorm waarin de transportcapaciteit op de aansluiting ter beschikking wordt gesteld. De uitvoeringvorm, waarvoor Liander binnen de ontheffing kiest, staat weergegeven in onderstaande grondschema (figuur 1: Basisontwerp DC-net), waarbij het overdrachtspunt is gelegen op de afgaande klemmen van [2] de DC/DC conversie.
figuur 1: Basisontwerp DC-net
&lt;!-- image --&gt;
Het DC AVP is ingelust in een standaard 10 kV ring van Liander. Het transformatorveld is voorzien van een standaard GV meting om de energie-uitwisseling tussen het AC-net en het DC-net te meten. Voor de transformator wordt een standaard distributietransformator van Liander voorzien van 1000</t>
  </si>
  <si>
    <t>[...] aag voldoet aan de eisen van de E-wet. Daarom honoreert ACM de aanvraag op grond van artikel 15, eerste lid, onderdeel b, van de E-wet niet. ## 5 Dictum 25. De Autoriteit Consument en Markt besluit de aanvraag van Albemarle Catalysts Company B.V. af te wijzen. 26. Van dit besluit wordt mededeling gedaan in de Staatscourant. Voorts publiceert de Autoriteit Consument en Markt dit besluit op de internetpagina van de Autoriteit Consument en Markt. Den Haag, D [...]</t>
  </si>
  <si>
    <t>ACM__ontheffing_12285_104259-ontheffingbesluit-albermarle.txt::Rechtshandeling</t>
  </si>
  <si>
    <t>af te wijzen</t>
  </si>
  <si>
    <t>af te wijzen [21004:21016]</t>
  </si>
  <si>
    <t>[...] -wet. Daarom honoreert ACM de aanvraag op grond van artikel 15, eerste lid, onderdeel b, van de E-wet niet. ## 5 Dictum 25. De Autoriteit Consument en Markt besluit de aanvraag van Albemarle Catalysts Company B.V. af te wijzen. 26. Van dit besluit wordt mededeling gedaan in de Staatscourant. Voorts publiceert de Autoriteit Consument en Markt dit besluit op de internetpagina van de Autoriteit Consument en Markt. Den Haag, Datum: 18 nove [...]</t>
  </si>
  <si>
    <t>ACM__ontheffing_12285_104259-ontheffingbesluit-albermarle.txt::Rechtsobject</t>
  </si>
  <si>
    <t>aanvraag</t>
  </si>
  <si>
    <t>aanvraag [20958:20967]</t>
  </si>
  <si>
    <t>aanvraag [20958:20966]</t>
  </si>
  <si>
    <t>[...] n of de aanvraag voldoet aan de eisen van de E-wet. Daarom honoreert ACM de aanvraag op grond van artikel 15, eerste lid, onderdeel b, van de E-wet niet. ## 5 Dictum 25. De Autoriteit Consument en Markt besluit de aanvraag van Albemarle Catalysts Company B.V. af te wijzen. 26. Van dit besluit wordt mededeling gedaan in de Staatscourant. Voorts publiceert de Autoriteit Consument en Markt dit besluit op de internetpagina van de Autoriteit C [...]</t>
  </si>
  <si>
    <t>ACM__ontheffing_12464_philips-electronics-nederland-besluit-ontheffing-gas-2013-12-30.txt::Ontvanger</t>
  </si>
  <si>
    <t>Philips Electronics Nederland B.V.</t>
  </si>
  <si>
    <t>philips electronics nederland b.v</t>
  </si>
  <si>
    <t>Philips Electronics Nederland B.V. [28686:28720]</t>
  </si>
  <si>
    <t>[...] image --&gt; ## 6 Dictum 38. De Autoriteit Consument en Markt besluit op grond van artikel 2a, eerste lid, onderdeel b, van de Gaswet een ontheffing te verlenen van de verplichting een netbeheerder aan te wijzen aan Philips Electronics Nederland B.V. voor het gesloten distributiesysteem gelegen op de High Tech Campus te Eindhoven. 39. De ontheffing wordt verleend onder de volgende voorschriften: ## 1) Definities Tenzij in deze voorschriften anders gedefinieer [...]</t>
  </si>
  <si>
    <t>ACM__ontheffing_12464_philips-electronics-nederland-besluit-ontheffing-gas-2013-12-30.txt::Besluitvormend Orgaan</t>
  </si>
  <si>
    <t>De Autoriteit Consument en Markt [28499:28531]</t>
  </si>
  <si>
    <t>[...] j de voorschriften die zijn verbonden aan dit besluit heeft aangepast naar aanleiding van de ingediende zienswijze. 1° 10 Zie bijiage 3 zienswijze 2 tot en met 6. ## 14/28 &lt;!-- image --&gt; ## 6 Dictum 38. De Autoriteit Consument en Markt besluit op grond van artikel 2a, eerste lid, onderdeel b, van de Gaswet een ontheffing te verlenen van de verplichting een netbeheerder aan te wijzen aan Philips Electronics Nederland B.V. voor het gesloten distributies [...]</t>
  </si>
  <si>
    <t>ACM__ontheffing_12464_philips-electronics-nederland-besluit-ontheffing-gas-2013-12-30.txt::Rechtshandeling</t>
  </si>
  <si>
    <t>verlenen [28622:28631]</t>
  </si>
  <si>
    <t>verlenen [28622:28630]</t>
  </si>
  <si>
    <t>[...] 0 Zie bijiage 3 zienswijze 2 tot en met 6. ## 14/28 &lt;!-- image --&gt; ## 6 Dictum 38. De Autoriteit Consument en Markt besluit op grond van artikel 2a, eerste lid, onderdeel b, van de Gaswet een ontheffing te verlenen van de verplichting een netbeheerder aan te wijzen aan Philips Electronics Nederland B.V. voor het gesloten distributiesysteem gelegen op de High Tech Campus te Eindhoven. 39. De ontheffing wordt verleend onder de volge [...]</t>
  </si>
  <si>
    <t>## Autoriteit
&lt;!-- image --&gt;
Ons kenmerk:
ACM/DE/2018/200048
Zaaknummer:
17.0282.53
Besluit van de Autoriteit Consument en Markt als bedoeld in artikel 15 lid 7 van de Elektriciteitswet 1998 over de toets van de van kracht zijnde methode voor de berekening van de tarieven door Huntsman Holland B.V.
&lt;!-- image --&gt;
## Inhoudsopgave
| 1                                                                                                | Inleiding en leeswijzer .................................................................................... 3           |
|--------------------------------------------------------------------------------------------------|--------------------------------------------------------------------------------------------------------------------------|
| 2                                                                                                | Verloop van de procedure .............................................................................. 3                |
| 3                                                                                                | Beoordelingskader van de ACM .................................................................... 4                      |
|                                                                                                  | 3.1 Reikwijdte van de goedkeuring door de ACM ...................................................................... 4   |
|                                                                                                  | 3.2 Beschrijving van de onderdelen van het beoordelingskader ............................................... 4           |
| 4                                                                                                | Beschrijving en beoordeling van de methode van Huntsman ..................... 7                                          |
|                                                                                                  | 4.1 Beschrijving van de methode van Huntsman....................................................................... 7    |
|                                                                                                  | 4.2 Beoordeling van de methode van Huntsman ....................................................................... 9    |
|                                                                                                  | 4.3 Bespreking van de gronden van Ducor.............................................................................. 11 |
| 5                                                                                                | Dictum ............................................................................................................ 14   |
| Bijlage 1 - Reactie op de ingediende zienswijzen ............................................ 15 | Bijlage 1 - Reactie op de ingediende zienswijzen ............................................ 15                         |
| Bijlage 2 - Overzicht van de relevante wettelijke bepalingen .......................... 19       | Bijlage 2 - Overzicht van de relevante wettelijke bepalingen .......................... 19                               |
## 1.  Inleiding en leeswijzer
1. Met dit besluit geeft de Autoriteit Consument en Markt (hierna: de ACM) uitvoering aan artikel 15 lid 7 van de Elektriciteitswet 1998 (hierna: E-wet). Op grond hiervan toetst de ACM op verzoek van een aangeslotene op een gesloten distributiesysteem (hierna: GDS) de van kracht zijnde methode voor de berekening van de tarieven (hierna: de methode). Ducor Petrochemicals B.V. (hierna: Ducor) heeft een dergelijk verzoek gedaan. De ACM geeft met dit besluit haar oordeel over de methode van Huntsman Holland B.V. (hierna: Huntsman of ontheffinghouder).
2. De indeling van dit besluit is als volgt. In hoofdstuk 2 staat de gevolgde procedure. De ACM beschrijft haar beoordelingskader voor de toetsing van de methode in hoofdstuk 3. In hoofdstuk 4 beschrijft de ACM de methode van Huntsman en geeft hier haar oordeel over. In dit hoofdstuk bespreekt de ACM eveneens de gronden die Ducor aanvoert. De ACM eindigt haar besluit met het dictum. In bijlage 1 geeft de ACM haar reactie op de ingediende zienswijzen. De relevante wettelijke bepalingen staan in bijlage 2 van dit besluit. Beide bijlagen zijn onderdeel van het onderhavige besluit.
## 2.  Verloop van de procedure
3. Op 10 oktober 2013 heeft Huntsman een ontheffing van de ACM gekregen op grond waarvan Huntsman haar eigen GDS mag beheren. 1 Op dit GDS zijn verschillende ondernemingen aangesloten, waaronder Ducor. Op 7 maart 2017 heeft Ducor de ACM verzocht de methode tot berekening van de tarieven van Huntsman te toetsen.
4. Op 24 april 2017 heeft de ACM Huntsman verzocht om informatie aan te leveren die relevant is voor het beoordelen van het verzoek, zoals bedoeld in artikel 15 lid 8 E-wet. Op 19 juli 2017 heeft Huntsman de benodigde informatie aangeleverd. Op 7 augustus 2017 heeft de ACM aanvullende informatie opgevraagd die op 30 augustus 2017 door Huntsman is aangeleverd. Op 5 september 2017 heeft Huntsman wederom aanvullende informatie per brief aangeleverd. Op 7,12,15 en 20 september heeft Huntsman antwoord gegeven op aanvullende vragen van de ACM.
5. De ACM heeft de procedure bedoeld in afdeling 3.4 van de Algemene wet bestuursrecht (hierna: Awb) van toepassing verklaard op de voorbereiding van dit besluit. Als onderdeel van de uniforme openbare voorbereidingsprocedure heeft de ACM op 4 oktober 2017 een ontwerpbesluit ter inzage gelegd voor een periode van zes weken. Binnen deze periode hebben belanghebbenden hun zienswijzen schriftelijk kenbaar kunnen maken. Op 30 oktober 2017 heeft de ACM partijen in de gelegenheid gesteld hun zienswijzen mondeling kenbaar te maken tijdens een hoorzitting. Deze hoorzitting is geannuleerd, omdat geen van de partijen zich had aangemeld. De ACM heeft binnen de daarvoor gestelde termijn een schriftelijke zienswijze op het ontwerpbesluit van Huntsman en Ducor ontvangen. Huntsman heeft in haar zienswijze aangegeven dat zij haar methode vanaf 1 januari 2018 wijzigt. In bijlage 1 geeft de ACM haar reactie op de ingediende zienswijzen. Indien een zienswijze heeft geleid tot aanpassing van het ontwerpbesluit, dan geeft
1 Besluit van ACM van 10 oktober 2013 (zaaknummer 104307/ Huntsman Holland BV).
de ACM dat in het besluit duidelijk aan.
6. Op 29 november 2017 heeft de ACM de ingediende zienswijzen voorgelegd aan Huntsman en Ducor. De ACM heeft beide partijen de gelegenheid gegeven om binnen een termijn van twee weken op de zienswijzen te reageren. Op 18 december 2017 heeft Huntsman een reactie op de zienswijze van Ducor aan de ACM gestuurd.
## 3.  Beoordelingskader van de ACM
7. In dit hoofdstuk geeft de ACM een beschrijving van haar beoordelingskader dat als basis dient ter toetsing van de methode van een ontheffinghouder. In de eerste plaats beschrijft de ACM de reikwijdte van haar beoordeling zoals dat uit de E-wet volgt en in de tweede plaats de onderdelen waaruit het beoordelingskader bestaat.
## 1.1 Reikwijdte van de goedkeuring door de ACM
8. In artikel 15 lid 7 E-wet is opgenomen dat een aangeslotene op een GDS aan de ACM kan verzoeken om de methode tot berekening van de tarieven van een ontheffinghouder goed te keuren. Dit artikel geeft de ACM de wettelijke verplichting om de methode tot berekening van de tarieven van een ontheffinghouder te toetsen. Het is daarbij niet aan de ACM om een oordeel te vormen over de hoogte van de individuele tarieven voor afnemers op een GDS-net. De bevoegdheid van de ACM is beperkt tot het toetsen van de methode. De ACM toetst de van kracht zijnde methode, oftewel de actuele methode van een ontheffinghouder. 2
9. Verder volgt uit artikel 15 lid 4 jo. lid 6 E-wet dat de ACM de methode alleen kan toetsen aan de wettelijke bepalingen zoals die op de ontheffinghouder van overeenkomstige toepassing zijn verklaard. In artikel 15 lid 6 E-wet staat een limitatieve opsomming hiervan.
## 1.2 Beschrijving van de onderdelen van het beoordelingskader
10.  In deze paragraaf beschrijft de ACM de drie onderdelen van haar beoordelingskader. Uit artikel 15 lid 8 en de artikelen die volgens artikel 15 lid 6 E-wet van toepassing zijn op een GDS-eigenaar leidt de ACM af dat de methode aan deze onderdelen moet voldoen. De onderdelen zijn:
2. o de methode is objectief, transparant en niet-discriminatoir;
3. o de methode gaat uit van kostentoerekening gebaseerd op daadwerkelijk gemaakte kosten en ontvangen opbrengsten;
4. o de aansluit- en transporttarieven voldoen aan de eisen van artikel 28 en 29 E-wet.
Onderdeel i: de methode is objectief, transparant en niet-discriminatoir
2 Zie ook Kamerstukken II , 2010/2011, 32 814, nr. 3, p. 31.
11.  De gehanteerde methode moet objectief, transparant en non-discriminatoir zijn. 3 Dit sluit aan bij de uitwerking van het ontheffingbesluit. Als voorschrift bij de ontheffing heeft de ACM opgenomen dat de ontheffinghouder haar voorwaarden en tarieven objectief, transparant en niet-discriminatoir moet toepassen. 4 Dit voorschrift gaat over de voorwaarden en tarieven van een ontheffinghouder. De ACM is van mening dat ook de gehanteerde methode aan deze onderdelen moet voldoen. De tarieven vinden immers hun grondslag in de methode. Hieronder geeft de ACM een nadere uitleg van deze onderdelen.
12.  Een ontheffinghouder moet haar tarieven objectief toepassen. De ontheffinghouder kan hieraan voldoen als blijkt dat de methode objectief is. De methode is objectief als de ACM achteraf kan vaststellen dat de ontheffinghouder een methode gebruikt die gebaseerd is op feiten en een logisch verklaarbare onderbouwing.
13.  Bij de toets aan het vereiste van transparantie maakt de ACM een onderscheid tussen transparantie van de methode en transpantie van de tarieven. De beoordeling van de methode zoals opgenomen in artikel 15 lid 7 E-wet geeft de ACM de bevoegdheid om zich uit te laten over de transparantie van de methode en niet over transparantie van tarieven. De transparantie van de methode betekent dat voor aangeslotenen duidelijk is welke methode de ontheffinghouder hanteert. De methode is transparant als een ontheffinghouder inzichtelijk maakt welke kosten de ontheffinghouder voor elke taak maakt.
14.  De eis van non-discriminatie is een beginsel dat mede voortvloeit uit het Europese recht. 5 Voor de aansluit- en transporttaak van een ontheffinghouder is dit beginsel opgenomen in artikel 23 lid 2 respectievelijk artikel 24 lid 3 E-wet. Het beginsel brengt mee dat de ontheffinghouder zich van iedere vorm van discriminatie moet onthouden voor alle aangeslotenen waarvoor de ontheffinghouder het transport van elektriciteit verricht. De ontheffinghouder mag geen onderscheid maken tussen de verschillende aangeslotenen op een GDS, tenzij er objectieve rechtvaardigheidsgronden zijn. Alle aangeslotenen moeten het GDS tegen niet-discriminerende tarieven kunnen gebruiken. De ACM gaat er daarbij van uit dat een ontheffinghouder nondiscriminatoir handelt als het tarief of de wijze van kostentoerekening voor vergelijkbare aangeslotenen vergelijkbaar is. De ontheffinghouder handelt niet in strijd met het nondiscriminatiebeginsel als deze een objectieve rechtvaardigingsgrond heeft voor een eventuele differentiatie. Een rechtvaardigingsgrond kan bijvoorbeeld volgen uit de wet.
3 In artikel 32 lid 1 Richtlijn 2009/72/EG staat: ' De lidstaten dragen zorg voor de invoering van een systeem voor van derden (…), gebaseerd op bekendgemaakte tarieven die voor alle in aanmerking komende afnemers gelden en die objectief worden toegepast zonder onderscheid te maken tussen systeemgebruikers.'
4 Zie ook Kamerstukken II , 2010/2011, 32 814, nr. 3, p. 30 - 31. Hier staat: ' De eigenaar van een gesloten distributiesysteem moet vooraf tarieven bekend maken, en deze tarieven objectief, transparant en non-discriminatoir toepassen. '
5 Dit volgt uit uit artikel 32 van de Richtlijn 2009/72/EG  van 13 juli 2009 betreffende gemeenschappelijke regels voor de interne markt voor elektriciteit. Zie ook ro. 71 - 86 van de uitspraak van het Hof van Justitie van 29 september 2016, zaak C-492/14 (Essent Belgium NV) en de daar aangehaalde jurisprudentie. Zie ook de uitspraak van het College van Beroep voor het bedrijfsleven (hierna: CBb) van 1 december 2016 (ECLI:NL:CBB:2016:35) en de uitspraak van het CBb van 13 juli 2017 (ECLI:NL:CBB:2017:297).
Onderdeel ii: de methode gaat uit van kostentoerekening gebaseerd op daadwerkelijk gemaakte kosten en ontvangen opbrengsten
15.  Uit artikel 15 lid 8 E-wet volgt een aantal onderdelen waar de methode van de ontheffinghouder aan moet voldoen. Zo is de ontheffinghouder verplicht om informatie aan de ACM te geven over de toerekening van de kosten en de opbrengsten aan de activiteiten van de ontheffinghouder die nodig zijn om het GDS aan te leggen en te beheren. De specifieke taken van een netbeheerder en dus een ontheffinghouder zijn uitgewerkt in artikel 16 lid 1 met uitzondering van onderdelen h, j en m E-wet. Voorbeelden van wettelijke taken van ontheffinghouders zijn het in werking hebben van netten, het onderhouden van netten, het aansluiten van derden en het ten behoeve van de aangeslotenen transporteren van elektriciteit (artikel 16 lid 1 onder a, e en f E-wet). Uit de methode moet in voldoende mate af te leiden zijn voor welke taken de ontheffinghouder kosten maakt. Dit betekent dat uit een methode moet blijken welke kosten zijn toe te rekenen aan bijvoorbeeld aansluit- en transportdiensten. Ook moet uit de methode blijken welke kosten zijn verbonden aan inkoop bij derden, zoals bij de levering van energie. Om de taken uit te voeren moet de ontheffinghouder kosten maken die deze mag verrekenen in haar tarieven. De mate waarin de ontheffinghouder kosten toerekent moet in overeenstemming zijn met het daadwerkelijk gebruik van financiële of andere middelen voor de activiteiten van de ontheffinghouder (artikel 15 lid 8 E-wet). De ACM toetst de methode daarom aan het volgende: i) de methode is gebaseerd op toerekening van daadwerkelijke gemaakte kosten voor de uitvoering van de taken van de ontheffinghouder en ii) de methode houdt rekening met de opbrengsten die de ontheffinghouder bij de uitvoering van haar taken ontvangt.
Onderdeel iii: de aansluit- en transporttarieven voldoen aan de eisen van artikel 28 en 29 E-wet
16.  In de artikelen 28 en 29 E-wet staan de relevante bepalingen waar de aansluit- en transporttarieven van de ontheffinghouder aan moeten voldoen. 6 Uit de methode moet blijken dat aan de wettelijke eisen is voldaan. Hieronder geeft de ACM een toelichting op de bepalingen.
17.  In artikel 28 E-wet is uitgelegd waar de aansluittarieven aan moeten voldoen. Het eerste lid van dit artikel gaat over de activiteiten waar de ontheffinghouder een aansluittarief voor in rekening mag brengen, zoals het tot stand brengen en in stand houden van de aansluiting van de aangeslotenen op het GDS. De ACM leidt hieruit af dat uit de methode voldoende af te leiden moet zijn welke kosten de ontheffinghouder maakt voor de aansluitdiensten. Verder staat in dit artikel dat de ontheffinghouder het aansluittarief in rekening brengt bij iedere afnemer op het GDS (artikel 28 lid 2 E-wet). Voor de aansluittarieven voor producenten op een GDS moet de ontheffinghouder verder rekening houden met de kosten en baten van de onderscheiden technieken met betrekking tot duurzame energiebronnen, decentrale productie en warmtekrachtkoppeling (artikel 28 lid 3 Ewet). De eisen die uit dit artikel volgen moeten in de methode tot uitdrukking komen.
18.  In artikel 29 E-wet staan de basisregels voor het in rekening brengen van de transporttarieven. De methode van de ontheffinghouder moet voldoen aan de bepalingen van dit artikel. Uit dit artikel volgt dat het transporttarief betrekking heeft op de ontvangst en het invoeden van elektriciteit. Ook de kosten voor de transportdiensten moeten uit de methode voldoende af te leiden zijn. De ontheffinghouder brengt de kosten voor het transport in rekening bij iedere afnemer die elektriciteit
6 Zie Kamerstukken II , 2010/2011, 32 814, nr. 3, p. 31 waar staat dat de ACM bij haar toets uit artikel 15 E-wet rekening met deze artikelen moet houden, omdat in deze artikelen de basisregels voor de tarieven staan.
ontvangt op een aansluiting op het GDS. Dit betekent dat de ontheffinghouder geen transporttarief bij een invoeder in rekening kan brengen. Verder is bepaald dat de ontheffinghouder het transporttarief per aansluiting rekent. In artikel 29 lid 2 E-wet is opgenomen het transporttarief van een ontheffinghouder kan verschillen voor verschillende afnemers. Een ontheffinghouder kan kiezen om tot differentiatie van transporttarieven over te gaan. De wijze waarop een ontheffinghouder kan differentiëren is uitgewerkt in het ' Besluit differentiatie tarieven transport elektriciteit' . 7 Hierin staat dat de mate van differentiatie afhankelijk is van:
- o het transportvermogen waarover een afnemer maximaal kan beschikken;
- o het tijdsdeel dat een afnemer beschikt over zijn maximale transportvermogen;
- o de fysieke wijze van aansluiten op een net met een spanningsniveau van ten hoogste 50 kV 8 - of de situering van een aansluiting in een net met een spanningsniveau van ten hoogste 50 kV ten opzichte van de transformator die dat net verbindt met een net van hoger spanningsniveau;
- o het verzorgen van de aan- en uitschakeling van een aansluiting door een netbeheerder.
19.  Om vast te stellen of de methode voldoet aan de eisen uit de wet, toetst de ACM aan het bovenstaande beoordelingskader.
## 4.  Beschrijving en beoordeling van de methode van Huntsman
## 1.3 Beschrijving van de methode van Huntsman
20.  De methode van Huntsman geldt voor de aangeslotenen op het GDS van Huntsman. Het GDS van Huntsman zelf is aangesloten op het 25kV-hoofdverdeelstation van Stedin. In dit hoofdverdeelstation zit een 25kV-railsysteem. Dit railsysteem behoort als hulpmiddel tot het GDS van Huntsman. Op dit railsysteem zijn Huntsman en Ducor aangesloten. Daarnaast is op dit railsysteem een TS/MS 9 -transformator aangesloten die eveneens als hulpmiddel bij het GDS van Huntsman behoort. De overige aangeslotenen op het GDS zitten op het MS-deel van de transformator.
21.  Huntsman heeft haar methode vastgelegd in overeenkomsten (' Service agreements') die zij met elke aangeslotene op haar GDS heeft afgesloten. Deze overeenkomsten zijn in de loop van de tijd gewijzigd, wel steeds met instemming van alle aangeslotenen.
22.  Huntsman hanteert de volgende methode. Voor de transportvergoeding sommeert Huntsman alle gemaakte kosten voor de transportdienst. Deze kosten verdeelt zij vervolgens naar rato van het verbruik van elke aangeslotene. Huntsman heeft aangegeven dat de producenten op het GDS geen elektriciteit afnemen en geen transportvergoeding betalen. Wel betalen de producenten
7 Stb. , 2011, 439.
8 kV staat voor Kilovolt.
9 TS staat voor tussenspanning en MS voor middenspanning.
evenals de overige aangeslotenen een vergoeding voor de aansluitdienst. 10 Deze vergoeding is voor de kosten voor het vervangen van delen van de aansluiting en het onderhoud van de aansluiting.
23.  In haar methode maakt Huntsman onderscheid in vier kostenonderdelen, die tezamen de totale beheerskosten van Huntsman vormen:
2. o Onderdeel 1- Stedin-kosten: De vergoeding die Huntsman aan Stedin betaalt bestaat uit meet-, aansluit- en transportkosten. Deze kosten baseert Stedin op het totale afgenomen volume op het GDS van Huntsman. Stedin verleent aan Huntsman een volumekorting, omdat het GDS een totaal verbruik heeft van meer dan 50 GWh 11 per jaar. Huntsman geeft deze korting volledig door aan de verbruikers op haar GDS via de transportkosten. De producenten ontvangen deze korting niet. Huntsman rekent de meet- en allocatiekosten van de meetverantwoordelijke niet door aan haar afnemers.
3. o Onderdeel 2 - operationele kosten: De operationele kosten bestaan uit de kosten voor de manuren die gerelateerd zijn aan het beheer van het GDS, de kosten voor regulier en groot onderhoud en de overheadkosten. Elk van deze kostenposten is gebaseerd op een begroting uit 2012 die Huntsman jaarlijks indexeert met de Consumentenprijsindex (CPI).
4. o Onderdeel 3 - Netverliezen: Voor de compensatie van de netverliezen rekent Huntsman een vast percentage van het totaal van de afgenomen elektriciteit door een verbruiker. Het vastgestelde percentage geeft het zogenoemde in/uit verschil weer. Dit is het verschil tussen i) de totale afgenomen elektriciteit en ii) de elektriciteit die via de aansluiting op het openbare net van Stedin wordt afgenomen plus de ingevoede elektriciteit van de twee producenten op het GDS van Huntsman.
5. o Onderdeel 4 - Kapitaalkosten: Voor de berekening van de kapitaalkosten hanteert Huntsman een return on capital (ROC) die is gebaseerd op een vergoeding zoals die met de verbruikers is overeengekomen. Huntsman indexeert deze vergoeding jaarlijks met de CPI.
24.  De kosten voor het leveren van elektriciteit staan separaat op de factuur die Huntsman aan elke afnemer stuurt. De kosten ten behoeve van de aansluiting bestaan voornamelijk uit onderhoudskosten, kosten voor het vervangen van delen van een aansluiting en daaraan gerelateerde manuren. Deze kosten zijn volgens Huntsman vergelijkbaar met de periodieke aansluitvergoeding van de openbare netbeheerders. Dat betekent dat de kosten voor het aanleggen van de aansluiting geen onderdeel zijn van deze kosten. De kosten voor het aanleggen van de aansluiting brengt Huntsman direct bij de afnemers in rekening bij het aanleggen van de aansluiting.
25.  Huntsman bracht tot 1 januari 2018, met instemming van alle aangesloten partijen, niet een separaat aansluit- en transporttarief in rekening aan de aangeslotenen. De kosten die Huntsman aan de afnemers in rekening brengt bestonden voor 1 januari 2018 hoofdzakelijk uit transportkosten. Huntsman maakte voor 1 januari 2018 geen onderscheid tussen de aansluit- en de transportkosten. Daarnaast hebben de producenten tot en met december 2017 geen kosten
10 Hiervan is de aanleg van de aansluiting in het onderhavige besluit uitgezonderd. Zie hierover randnummers 25 en 30 en voetnoot 13.
11 GwH staat voor Gigawattuur.
aan Huntsman betaald en dus ook geen kosten voor hun aansluiting. Huntsman verricht wel aansluitdiensten voor de producenten in de vorm van onderhoud aan en vervanging van (delen van) de aansluiting.
26.  Voorafgaand aan elk kalenderjaar maakt Huntsman een schatting van het bedrag dat zij bij de aangeslotenen in rekening gaat brengen. Dit bedrag factureert Huntsman vervolgens aan elke verbruiker. Na afloop van elk kalenderjaar verrekent Huntsman het verschil met de gerealiseerde kosten met de verbruikers. Huntsman beschrijft dat er sprake is van een ex ante budgettering en een ex post vaststelling en verrekening. Hierbij stuurt zij zowel voorafgaand als na afloop van de periode een overzicht van de gespecificeerde kosten. Voor aanvang van een tariefjaar krijgen de afnemers een financieel overzicht waarop alle kosten staan. Huntsman stuurt deze specificatie voordat zij een tariefswijziging implementeert. Alle berekende tarieven zijn volgens Huntsman nondiscriminatoir. Huntsman berekent voor de transport aan elke verbruiker dezelfde tarieven naar rato van het jaarlijks elektriciteitsverbruik van de desbetreffende verbruiker. Huntsman rekent daarnaast aan elke verbruiker en producent hetzelfde aansluittarief.
27.  Huntsman heeft in haar zienswijze aangegeven dat zij de methode voor de berekening van de tarieven heeft gewijzigd en dat de gewijzigde methode vanaf 1 januari 2018 toepast. De eerste wijziging die Huntsman heeft doorgevoerd, is dat Huntsman inzichtelijk maakt welke kosten Huntsman in rekening brengt voor de aansluitdienst. Daarnaast brengt Huntsman vanaf 1 januari 2018 ook aansluitkosten in rekening bij de producenten. Deze kosten staan aan de basis van de aansluitvergoeding. De aansluitvergoeding die bij producten in rekening wordt gebracht is gelijk aan de vergoeding die bij verbruikers in rekening wordt gebracht.
## 1.4 Beoordeling van de methode van Huntsman
28.  Op basis van het beoordelingskader zoals de ACM dat in het vorige hoofdstuk heeft beschreven beoordeelt de ACM de methode van Huntsman. De ACM merkt daarbij op dat Huntsman in haar zienswijze heeft aangegeven dat zij haar methode vanaf 1 januari 2018 wijzigt. Dat betekent dat de ter beoordeling voorliggende methode is gewijzigd ten opzichte van de methode die is beoordeeld ten tijde van het ontwerpbesluit. Conform artikel 15 lid 7 E-wet is de ACM bevoegd de van kracht zijnde methode te beoordelen. Verder baseert de ACM zich bij het nemen van haar besluit op feiten en omstandigheden die ten tijde van het nemen van het besluit bekend zijn, tenzij uit de wet of de aard van het te nemen besluit voortvloeit dat de feiten en omstandigheden zoals die zich voordeden in het verleden bepalend zijn. 12 Van dat laatste is geen sprake. De ACM beoordeelt derhalve de gewijzigde methode van Huntsman.
29.  Op basis van de overgelegde informatie door Huntsman heeft de ACM ex post kunnen vaststellen welke methode Huntsman hanteert. De ACM constateert dat de methode op feiten is gebaseerd en daarmee objectief is.
30.  De ACM constateert dat Huntsman een onderscheid maakt tussen de vergoeding voor de aanleg
12 Zie ook rechtsoverweging 1.4.2. van de uitspraak van het College van beroep voor het bedrijfsleven van 8 december 2016 (ECLI:NL:CBB:2016:374).
van de aansluiting en het tarief voor de overige kosten voor de aansluit- en transportdiensten. De vergoeding voor de aanleg van de aansluiting wordt rechtstreeks in rekening gebracht bij degene die om de aansluiting verzoekt. Dit zijn de enige kosten die Huntsman enkel voor een specifieke afnemer maakt. De overige kosten (hierna ook wel: indirecte kosten) worden gemaakt voor het GDS als geheel en alle daarop aangesloten afnemers tezamen. Dit zijn de kosten voor het onderhouden en vervangen van (delen van) aansluitingen en voor de transportdienst. 13
31.  Wat de transparantie betreft constateert de ACM dat Huntsman haar methode heeft vastgelegd in een overeenkomst met de aangeslotene. De methode is daarmee op dit punt voldoende transparant. Daarnaast is gebleken dat Huntsman de aangeslotenen tijdig en volledig over de tarieven informeert. Voorafgaand aan elk kalenderjaar geeft Huntsman aan de aangeslotenen een schatting van de kosten en achteraf verrekent Huntsman de daadwerkelijk gemaakte kosten. Huntsman heeft aangegeven dat zij de kosten voor de levering van energie en de operationele kosten afzonderlijk weergegeeft.
32.  De ACM heeft in het ontwerpbesluit geconstateerd dat uit het kostenoverzicht van Huntsman onvoldoende te herleiden is welke kosten Huntsman maakt voor het onderhoud aan en vervangen van (delen van) de aansluiting, en welke kosten zij maakt voor de transportdienst. Hunstman kon wel indicatief aangeven wat de hoogte van de aansluitkosten is, maar dit was niet uitgesplitst. Als reactie op het ontwerpbesluit heeft Huntsman aangegeven dat zij de kosten vanaf 1 januari 2018 gaat specificeren. Huntsman heeft alle aangeslotenen hierover geïnformeerd. Met deze wijzigingen is de methode van Huntsman voor wat betreft dit onderdeel in lijn met het beoordelingskader van de ACM.
33.  Wat betreft non-discriminatoire tarieven stelt de ACM vast dat Huntsman het transporttarief alleen in rekening brengt bij de afnemers die elektriciteit gebruiken en niet bij de invoeders van elektriciteit. Dit onderscheid tussen verbruikers en invoeders is toegestaan op grond van artikel 15 lid 6 E-wet in samenhang met artikel 29 lid 2 E-wet. Er is verder niet gebleken dat Huntsman in strijd handelt met de wettelijke bepalingen over het transporttarief.
34.  Uit de methode blijkt dat Huntsman tot eind december 2017 voor het berekenen van de aansluitkosten een onderscheid maakte tussen verbruikers en producenten. Op grond van artikel 29 E-wet hoeven producenten geen transporttarief te betalen, maar voor het betalen van het aansluittarief bestaat geen vergelijkbare bepaling. Huntsman levert wel aansluitdiensten aan de producenten. In het ontwerpbesluit heeft de ACM geconstateerd dat de producenten geen tarief betalen voor het onderhoud en vervangen van aansluitingen. Huntsman heeft de methode gedurende de zienswijzeperiode gewijzigd op dit onderdeel. Vanaf 1 januari 2018 betalen de producenten jaarlijks een aansluitvergoeding voor deze diensten. Dit tarief is gelijk aan het tarief van de verbruikers. Daarmee voldoet wat dit betreft de methode aan het beoordelingskader van de ACM.
13 Het verzoek van Ducor ziet op de methode voor de berekening van de tarieven voor het onderhoud en de vervanging van de aansluiting alsmede de transportdiensten. De ACM gaat daarom niet in op de methode voor de berekening van de tarieven voor de aanleg van de aansluiting. Hoewel ook de methode voor de berekening van dit tarief ter goedkeuring aan de ACM kan worden voorgelegd (artikel 15 lid 7 jo. lid 6 en artikel 23 lid 1 E-wet), laat de ACM dit gelet op het voorstel van Ducor buiten beschouwing
35.  Huntsman heeft aangegeven uit welke onderdelen de kosten bestaan (zie paragraaf 1.3). De ACM constateert dat deze onderverdeling aansluit bij de taken die een ontheffinghouder moet uitvoeren. Huntsman verricht de transporttaken als bedoeld in artikel 16, eerste lid, met uitzondering van onderdelen h, j en m, E-wet. Ten behoeve van de uitvoering hiervan, koopt Huntsman elektriciteit in om voor netverliezen te compenseren. Uit de methode blijkt verder dat Huntsman de opbrengsten verrekent die zij als volumekorting van Stedin ontvangt. Huntsman rekent een marge boven op de operationele kosten die als dekking van de kapitaalkosten dient. De ACM acht deze keuze economisch gerechtvaardigd. Het is namelijk voldoende aannemelijk dat een ontheffinghouder het net heeft moeten financieren. Hiervoor maakt de ontheffinghouder kapitaalkosten. Om deze kosten te dekken wordt er gerekend met een marge op de operationele kosten oftewel ' return on capital '. De marge is met de verbuikers afgesproken waarbij Huntsman conform de gemaakte afspraken de marge indexeert met de CPI. De marge is daarmee transparant. Het totaal van de bovengenoemde kosten leiden tot de vergoeding voor de transportdienst. Huntsman heeft aangegeven dat de kosten van de aansluitdienst onderdeel zijn van de operationele kosten. Deze kosten leiden tot de aansluitvergoeding die Huntsman in rekening brengt bij de verbruikers en de producten. De ACM concludeert dat de kostentoerekening van Huntsman gebaseerd is op daadwerkelijk gemaakte kosten.
36.  De ACM komt tot de slotsom dat de methode van Huntman voldoet aan het beoordelingskader zoals de ACM dat gesteld heeft en daarmee in overeenstemming is met de eisen uit de wet.
## 1.5 Bespreking van de gronden van Ducor
## Gronden van Ducor
37.  Ducor geeft aan dat Huntsman en zijzelf op het 25kV-netvlak van het GDS zijn aangesloten en de andere aangeslotenen op het 10kV-netvlak van het GDS. Ducor beschikt over een eigen EANcode 14 en heeft zelf met een energieleverancier een contract gesloten. Volgens Ducor maakt zij alleen gebruik van het 25kV-netvlak van het GDS en niet van het 10kV-netvlak. De methode van Hunstman leidt ertoe dat Ducor meebetaalt aan kosten voor de netinfrastructuur waar zij geen gebruik van maakt. Het gaat dan om de TS-kabels, TS/MS-transformatoren en bijbehorende MSinfrastructuur. Dit leidt er toe dat de tarieven van Ducor onevenredig hoog zijn en daarmee is de methode volgens Ducor in strijd met het beginsel van kostenoriëntatie. Volgens Ducor zijn de kosten die Huntsman aanvoert bovendien niet inzichtelijk, is niet duidelijk hoe deze kosten zijn opgebouwd en waaruit deze kosten precies bestaan. Daarmee is de methode eveneens niet transparant.
38.  Ducor geeft aan wat de uitgangspunten van de ACM moeten zijn bij het vaststellen van de methode van Huntsman. Volgens Ducor moet de ACM rekening houden met de uitgangspunten van tariefregulering zoals deze gelden voor de netbeheerders. Dit betekent dat de kosten in de eerste plaats kostengeoriënteerd moeten zijn waarbij Ducor verwijst naar artikel 41b E-wet. In de tweede plaats stelt Ducor dat de ACM het cascademodel als uitgangspunt moet nemen zoals neergelegd in de Tarievencode elektriciteit. In de derde plaats moet de ACM in haar beoordeling
14 EAN staat voor European Article Numbering.
uitgaan van efficiënte kosten waar</t>
  </si>
  <si>
    <t>ACM__ontheffing_12464_philips-electronics-nederland-besluit-ontheffing-gas-2013-12-30.txt::Rechtsobject</t>
  </si>
  <si>
    <t>ACM__ontheffing_openbare-versie-besluit-universiteit-twente-gas.txt</t>
  </si>
  <si>
    <t>ontheffing</t>
  </si>
  <si>
    <t>ontheffing [28608:28619]</t>
  </si>
  <si>
    <t>ontheffing [28608:28618]</t>
  </si>
  <si>
    <t>[...] wijze. 1° 10 Zie bijiage 3 zienswijze 2 tot en met 6. ## 14/28 &lt;!-- image --&gt; ## 6 Dictum 38. De Autoriteit Consument en Markt besluit op grond van artikel 2a, eerste lid, onderdeel b, van de Gaswet een ontheffing te verlenen van de verplichting een netbeheerder aan te wijzen aan Philips Electronics Nederland B.V. voor het gesloten distributiesysteem gelegen op de High Tech Campus te Eindhoven. 39. De ontheffing wordt verleend on [...]</t>
  </si>
  <si>
    <t>ACM__ontheffing_12552_besluit-vishay-zwolle-elektriciteit-2014-01-21.txt::Ontvanger</t>
  </si>
  <si>
    <t>Vishay BCcomponents B.V.</t>
  </si>
  <si>
    <t>vishay bccomponents b.v</t>
  </si>
  <si>
    <t>Vishay BCcomponents B.V. [33342:33366]</t>
  </si>
  <si>
    <t>[...] 6 Dictum 39. De Autoriteit Consument en Markt besluit op grond van artikel 15, eerste lid, onderdeel b, van de Elektriciteitswet 1998 een ontheffing te verlenen van de verplichting een netbeheerder aan te wijzen aan Vishay BCcomponents B.V. voor het gesloten distributiesysteem gelegen op het bedrijfsterrein aan de Ceintuurbaan 15 te Zwolle. 40. De ontheffing wordt verleend onder de volgende voorschriften: ## 1) Definities Tenzij in deze voorschrifte [...]</t>
  </si>
  <si>
    <t>ACM__ontheffing_12552_besluit-vishay-zwolle-elektriciteit-2014-01-21.txt::Besluitvormend Orgaan</t>
  </si>
  <si>
    <t>De Autoriteit Consument en Markt [33139:33171]</t>
  </si>
  <si>
    <t>[...] e voorwaarden, aan de verlening van een ontheffing in de weg staan. ACM honoreert derhalve op grond van artikel 15, eerste lid, onderdeel b, van de Ewet de aanvraag. &lt;!-- image --&gt; ## Besluit ## 6 Dictum 39. De Autoriteit Consument en Markt besluit op grond van artikel 15, eerste lid, onderdeel b, van de Elektriciteitswet 1998 een ontheffing te verlenen van de verplichting een netbeheerder aan te wijzen aan Vishay BCcomponents B.V. voor het gesloten distri [...]</t>
  </si>
  <si>
    <t>ACM__ontheffing_12552_besluit-vishay-zwolle-elektriciteit-2014-01-21.txt::Rechtshandeling</t>
  </si>
  <si>
    <t>verlenen [33278:33287]</t>
  </si>
  <si>
    <t>verlenen [33278:33286]</t>
  </si>
  <si>
    <t>[...] , van de Ewet de aanvraag. &lt;!-- image --&gt; ## Besluit ## 6 Dictum 39. De Autoriteit Consument en Markt besluit op grond van artikel 15, eerste lid, onderdeel b, van de Elektriciteitswet 1998 een ontheffing te verlenen van de verplichting een netbeheerder aan te wijzen aan Vishay BCcomponents B.V. voor het gesloten distributiesysteem gelegen op het bedrijfsterrein aan de Ceintuurbaan 15 te Zwolle. 40. De ontheffing wordt verleend onde [...]</t>
  </si>
  <si>
    <t>## Besluit
Ons
kenmerk:
ACM/DE/2015/204574\_OV
Zaaknummer:
12.0324.30
## HERZIEN BESLUIT
## Openbaar
&lt;!-- image --&gt;
1/33
Besluit van de Autoriteit Consument en Markt als bedoeld in artikel 2a, eerste lid, van de Gaswet.
T 070 722 20 00 | F 070 722 23 55 info@acm.nl | www.acm.nl | www.consuwijzer.nl Muzenstraat 41 | 2511 WB Den Haag Postbus 16326 | 2500 BH Den Haag
## Besluit
## Inhoudsopgave
| 1                                     | Inleiding en leeswijzer ......................................................................................................... 3         |
|---------------------------------------|---------------------------------------------------------------------------------------------------------------------------------------------|
| 2                                     | Procedure van totstandkoming van dit besluit ................................................................. 4                            |
| 3                                     | Wettelijk kader ...................................................................................................................... 6    |
| 4                                     | Beoordeling van de relevante feiten en omstandigheden ............................................... 9                                     |
| 4.1                                   | Beschrijving van gesloten distributiesysteem ................................................................ 9                             |
| 4.2                                   | Eisen aan aanvrager .................................................................................................... 10                 |
| 4.3                                   | Ontheffingsgronden ..................................................................................................... 11                 |
| 5                                     | Beoordeling ......................................................................................................................... 11    |
| 5.1                                   | Beschrijving van het gesloten distributiesysteem ........................................................ 11                                |
| 5.2                                   | Eisen aan aanvrager .................................................................................................... 14                 |
| 5.3                                   | Ontheffingsgronden ..................................................................................................... 15                 |
| 6                                     | Dictum ................................................................................................................................. 16 |
| Bijlage 1 - Overzicht van de afnemers | .................................................................................... 20                                                     |
| Bijlage 2                             | - Terreinoverzicht campus Universiteit Twente. .................................................... 24                                      |
| Bijlage                               | 3 - Reactie op ontvangen zienswijzen ....................................................................... 25                             |
| Bijlage 4                             | - Toelichting op ontheffingsvoorschriften ............................................................. 28                                  |
## Besluit
## 1 Inleiding en leeswijzer
1. Met dit besluit geeft de Autoriteit Consument en Markt (hierna: ACM) uitvoering aan artikel 2a, eerste lid, van de Gaswet. Op grond hiervan kan de eigenaar van een gesloten distributiesysteem (hierna: GDS) een aanvraag bij ACM indienen tot verlening van een ontheffing van de verplichting tot het aanwijzen van een netbeheerder (hierna: de ontheffing).
2. ACM geeft met dit besluit haar oordeel op de aanvraag van Universiteit Twente (hierna: aanvrager) van 19 november 2012 voor een ontheffing op grond van artikel 2a, eerste lid, onderdeel a, van de Gaswet voor het GDS dat ligt op het campusterrein aan de Drienerlolaan 5 te Enschede.
## Opbouw van het besluit
3. De indeling van dit besluit is als volgt. Hoofdstuk 2 van dit besluit bevat de gevolgde procedure. Hoofdstuk 3 bevat het wettelijk kader. ACM beschrijft de relevante feiten en omstandigheden, zoals die bij ACM bekend zijn, in hoofdstuk 4. Hoofdstuk 5 bevat de beoordeling. ACM eindigt haar besluit met het dictum in hoofdstuk 6.
## Bijlagen bij het besluit
4. ACM heeft drie bijlagen toegevoegd aan het besluit. Deze bijlagen zijn onderdeel van onderhavig besluit.
5. Bijlage 1 bevat een overzicht van de afnemers die zijn aangesloten op het gasnet van aanvrager. Bijlage 2 biedt inzicht in de geografische afbakening van de locatie waarop dit gastransportnet is gelegen. Bijlage 3 bevat de reactie van ACM op de ontvangen zienswijzen.
&lt;!-- image --&gt;
## Besluit
## 2 Procedure van totstandkoming van dit besluit
6. In dit hoofdstuk beschrijft ACM de procedure die zij heeft gevolgd bij de totstandkoming van dit besluit. ACM heeft de uniforme openbare voorbereidingsprocedure zoals bedoeld in afdeling 3.4 van de Algemene wet bestuursrecht (hierna: Awb) van toepassing verklaard op de voorbereiding van dit besluit.
7. Bij brief van 19 november 2012, ontvangen op 19 november 2012, 1  heeft aanvrager bij ACM een aanvraag ingediend tot verlening van een ontheffing in de zin van artikel 2a, eerste lid, onderdeel a, van de Gaswet. Aanvrager heeft de aanvraag ingediend in de veronderstelling dat hij in het bezit was van een ontheffing verleend vóór 20 juli 2012. Bij brief van 23 januari 2013 2 is aanvrager in de gelegenheid gesteld aan te tonen dat hij reeds in het bezit van een ontheffing was. Aanvrager heeft hiertoe een kopie van de aangifte van de energiebelasting bij de Belastingdienst overgelegd 3 . ACM heeft vervolgens navraag gedaan bij diverse overheidsinstanties. Er is echter niet gebleken dat aanvrager reeds over een ontheffing beschikt. ACM heeft derhalve besloten de aanvraag aan te merken als een eerste aanvraag tot verlening van een ontheffing in de zin van artikel 2a, eerste lid, onderdeel a, van de Gaswet. De beslistermijn voor de behandeling van de aanvraag bedraagt zes maanden ingevolge artikel 2a, tweede lid, van de Gaswet. ACM heeft deze termijn op grond van artikel 2a, tweede lid, van de Gaswet verlengd met zes maanden. ACM heeft aanvrager bij brief van 23 januari 2013 4  over het voornemen tot verlenging van de termijn geïnformeerd. ACM heeft hierop geen reactie van aanvrager ontvangen. De totale beslistermijn bedraagt na verlenging twaalf maanden.
8. Bij brief van 23 januari 2013 5 is aanvrager tevens verzocht om de aanvraag aan te vullen. In zijn brief van 21 maart 2013, ontvangen op 26 maart 2013, 6  heeft aanvrager aanvullende informatie aangeleverd.
9. Van de ontvangst van de aanvraag heeft ACM in de Staatscourant van 30 mei 2013 mededeling gedaan. ACM heeft de aanvraag tevens op de internetpagina van ACM, www.acm.nl, gemeld. Belanghebbenden hebben twee weken de tijd gekregen om een reactie in te dienen bij ACM. Enexis B.V. (hierna: Enexis) heeft zich gemeld als belanghebbende, maar heeft geen reactie op de aanvraag ingediend. ACM heeft verder geen reacties ontvangen.
1  Met kenmerk aanvrager FB12.103/O&amp;amp;V en kenmerk ACM: 104314/1.
2  Met kenmerk ACM: 104314/4.
3 Bij e-mail van 12 februari 2013 met onderwerp 'Behandeling aanvraag ontheffing netbeheer.'
4  Met kenmerk ACM: 104314/4.
5  Met kenmerk ACM: 104314/4.
6  Met kenmerk aanvrager FB13.196/V&amp;amp;O en kenmerk ACM: 104314/14.
## Besluit
10. Op 27 juni 2013 7  heeft ACM een voornemen tot afwijzing van de aanvraag kenbaar gemaakt aan aanvrager. Aanvrager heeft hierop bij brief van 22 augustus 2013, ontvangen op 22 augustus 2013, 8  gereageerd.
11. Als onderdeel van de uniforme openbare voorbereidingsprocedure heeft ACM op 7 oktober 2013 het ontwerpbesluit en de daarop betrekking hebbende stukken ter inzage gelegd. ACM heeft hiervan in de Staatscourant van 7 oktober 2013 kennis gegeven. Bovendien heeft ACM het ontwerpbesluit aan aanvrager en Enexis toegezonden 9  en op haar internetpagina gepubliceerd.
12. Op 11 november 2013 had ACM een hoorzitting gepland. ACM heeft geen aanmeldingen voor spreektijd ontvangen. Daarom is deze hoorzitting geannuleerd.
13. ACM heeft schriftelijke zienswijzen 10  ontvangen van aanvrager. Deze zienswijzen zijn gepubliceerd op de internetpagina van ACM. In Bijlage 3 bij dit besluit heeft ACM haar reactie op de ingebrachte zienswijzen gegeven. Indien een zienswijze heeft geleid tot een wijziging van het besluit ten opzichte van het ontwerpbesluit, dan heeft ACM dat duidelijk in het besluit aangegeven.
14. Op 14 maart 2014 publiceerde ACM het definitieve besluit 11 als bedoeld in artikel 2a, eerste lid, van de Gaswet, op de ontheffingsaanvraag.  Hiertegen is op 11 juni 2014 door aanvrager rechtstreeks beroep 12 ingesteld bij het College van Beroep voor het Bedrijfsleven (hierna CBb).  Het CBb heeft op 17 juni 2015 de beroepen gegrond verklaard. 13   ACM heeft hierop besloten om de aanvraag opnieuw te beoordelen.
7  Met kenmerk ACM: 104314/17.
8  Met kenmerk ACM: 104314/21.
9  Met kenmerk ACM: 104314/23.
10 Met kenmerk ACM/DE/2013/102941.
11  Met kenmerk ACM: 2014200662.
12  Met kenmerk ACM: 2014101775.
13  CBb 17 juni 2015, AWB 14/230, 14/231 en 14/232 W1.
&lt;!-- image --&gt;
## Besluit
## 3 Wettelijk kader
15. In dit hoofdstuk beschrijft ACM de bepalingen die gezamenlijk het wettelijk kader vormen voor dit besluit.
16. Artikel 1, eerste lid, onderdelen b, c, d, k, m, n, o, am, an en as van de Gaswet luiden:
3. 'b. gas:
1°. aardgas dat bij een temperatuur van 15° Celsius en bij een druk van 1,01325 bar in gasvormige toestand verkeert en in hoofdzaak bestaat uit methaan of een andere stof die vanwege haar eigenschappen aan methaan gelijkwaardig is en
## 2°. stof die:
- -is opgewekt in een productie-installatie die uitsluitend gebruik maakt van hernieuwbare energiebronnen of
- -is opgewekt in een hybride productie-installatie die gebruik maakt van zowel hernieuwbare als fossiele energiebronnen en
- -bij een temperatuur van 15° Celsius en bij een druk van 1,01325 bar in gasvormige toestand verkeert en in hoofdzaak bestaat uit methaan of een andere stof die vanwege haar eigenschappen aan methaan gelijkwaardig is voor zover het mogelijk en veilig is deze stof overeenkomstig hoofdstuk 2 te transporteren.
- c.   gasproductienet: een of meer pijpleidingen die onderdeel uitmaken van een olie- of gaswinningsproject of die worden gebruikt voor het transport van gas rechtstreeks van een gaswinningsproject naar een verwerkingsinstallatie, een opslagplaats of een aanlandingsplaats
- d.  gastransportnet: niet tot een gasproductienet behorende, met elkaar verbonden leidingen of hulpmiddelen bestemd of gebruikt voor het transport van gas, met inbegrip van hulpmiddelen en installaties waarmee ondersteunende diensten voor dat transport worden verricht behoudens voor zover deze leidingen en hulpmiddelen onderdeel uitmaken van een directe lijn of gelegen zijn binnen de installatie van de afnemer.
- k.   verwant bedrijf: verbonden onderneming in de zin van artikel 41 van de zevende richtlijn nr. 83/349/EEG van de Raad van 13 juni 1983 op de grondslag van artikel 54, derde lid, sub g, van het Verdrag betreffende de geconsolideerde jaarrekening of een geassocieerde onderneming in de zin van artikel 33, eerste lid, daarvan of een onderneming die aan dezelfde aandeelhouders toebehoort;
- m.   aansluiting: één of meer verbindingen tussen een gastransportnet en een onroerende zaak als bedoeld in artikel 16, onderdelen a tot en met e, van de Wet waardering onroerende zaken, waaronder begrepen één of meer verbindingen tussen een gastransportnet dat wordt beheerd door een netbeheerder en een gastransportnet dat beheerd wordt door een ander dan die netbeheerder;
- n.  landelijk gastransportnet: een gastransportnet dat uitsluitend of in hoofdzaak bestemd is of
&lt;!-- image --&gt;
6/33
## Besluit
wordt gebruikt voor het op landelijk niveau transporteren van gas;
- o.  afnemer: een persoon met een aansluiting op een gastransportnet;
am. gesloten distributiesysteem: een net, niet zijnde het landelijk gastransportnet:
1. dat ligt binnen een geografisch afgebakende industriële locatie, commerciële locatie of locatie met gedeelde diensten,
2. waarop minder dan 500 afnemers zijn aangesloten en
3. dat alleen niet-huishoudelijke afnemers van gas voorziet, tenzij er sprake is van incidenteel gebruik door een klein aantal huishoudelijke afnemer die werkzaam is of vergelijkbare betrekkingen heeft met de eigenaar van het gesloten distributiesysteem.
4. an. directe lijn: een of meer leidingen voor het transport van gas, behoudens voor zover die gelegen is binnen een installatie, die: 1°. niet is verbonden met een gastransportnet of een andere leiding voor het transport van gas en die een geïsoleerde productie-installatie van een producent rechtstreeks verbindt met een geïsoleerde verbruiker van gas, niet zijnde de producent, of 2°. ten hoogste via de installatie van één aangeslotene op de leiding is verbonden met een gastransportnet of een andere leiding voor het transport van gas en die een productieinstallatie van een producent met tussenkomst van een leverancier rechtstreeks verbindt met één of meer verbruikers van gas, niet zijnde de producent of in hoofdzaak huishoudelijke verbruikers, teneinde te voorzien in de gasbehoefte van deze verbruikers;
5. as. gas uit hernieuwbare energiebronnen: een stof die is opgewekt in een productie-installatie die uitsluitend gebruik maakt van hernieuwbare energiebronnen of is opgewekt met hernieuwbare energiebronnen in een hybride productie-installatie die ook gebruik maakt van fossiele energiebronnen;'.
17. Artikel 2a van de Gaswet luidt:
7. '1. De Autoriteit Consument en Markt kan op diens aanvraag ontheffing verlenen aan een eigenaar van een gesloten distributiesysteem van het gebod van artikel 2, achtste lid, indien:
- a. de bedrijfs- of productieproces van de gebruikers van een gesloten distributiesysteem om specifieke technische of veiligheidsredenen geïntegreerd is of
- b. het gesloten distributiesysteem primair gas transporteert voor de eigenaar van dat systeem of de daarmee verwante bedrijven en
- c. de aanvrager geen netbeheerder is en niet in een groepsmaatschappij met een netbeheerder verbonden is.
2.  De Autoriteit Consument en Markt neemt het besluit zo spoedig mogelijk, doch uiterlijk zes maanden na ontvangst van de aanvraag. Deze termijn kan eenmaal met ten hoogste zes maanden worden verlengd. De Autoriteit Consument en Markt kan aan een ontheffing voorschriften en beperkingen verbinden.
3.  De Autoriteit Consument en Markt kan een ontheffing intrekken indien degene aan wie de ontheffing is verleend:
&lt;!-- image --&gt;
7/33
## Besluit
- a. niet langer voldoet aan de voorwaarden, bedoeld in het eerste lid;
- b. in strijd handelt met de voorschriften en beperkingen als bedoeld in het tweede lid en het bepaalde bij of krachtens het vierde tot en met het zevende lid;
- c. bij de aanvraag om een ontheffing onjuiste of onvolledige gegevens heeft verstrekt en de verstrekking van juiste of volledige gegevens tot een andere beschikking op de aanvraag zou hebben geleid.
4.  Indien een ontheffing is verleend, zijn uitsluitend het vijfde en zesde lid van toepassing op de eigenaar van een gesloten distributiesysteem.
5.  De eigenaar van een gesloten distributiesysteem beheert het gesloten distributiesysteem.
6.  Het bepaalde bij of krachtens de artikelen 1g, 1h, 10, eerste lid, tweede lid, onderdeel b, derde lid, onderdeel b, vijfde en zesde lid, 14, 17a, 19, 35d, 35e, eerste lid, 42, 42b, 42c, 52b, negende lid, en 81d, tweede en derde lid, is van overeenkomstige toepassing voor de eigenaar van een gesloten distributiesysteem, met dien verstande dat:
- a.     artikel 10, zesde lid, uitsluitend geldt voor zover er na aansluiting sprake is van een afnemer binnen het geografisch gebied waarbinnen het gesloten distributiesysteem ligt en deze aansluiting past bij het karakter van het gesloten distributiesysteem,
- b.    niet aan de verplichtingen, bedoeld in de in artikel 14, eerste lid, genoemde artikelen behoeft te worden voldaan;
- c.    dat in de artikelen 1g en 1h in plaats van «gasbedrijf» wordt gelezen «eigenaar van een gesloten distributiesysteem».
7.  De Autoriteit Consument en Markt keurt op verzoek van een aangeslotene op een gesloten distributiesysteem de van kracht zijnde methode voor de berekening van de tarieven goed.
8.  Indien een verzoek als bedoeld in het zevende lid is ontvangen, overlegt de eigenaar van een gesloten distributiesysteem binnen drie maanden na de datum waarop de raad van bestuur de eigenaar van een gesloten distributiesysteem over het verzoek heeft geïnformeerd, aan de raad van bestuur informatie over het aan het verzoek voorafgaande kalenderjaar die relevant is voor de beoordeling van het verzoek, met daarbij een toerekening van de kosten en opbrengsten aan activiteiten die verband houden met de aanleg en het beheer van het gesloten distributiesysteem in overeenstemming met het daadwerkelijk gebruik van financiële of andere middelen voor die activiteiten.
9.  Een besluit als bedoeld in het zevende lid, wordt genomen binnen zes maanden nadat de informatie, bedoeld in het achtste lid door de raad van bestuur is ontvangen. Deze termijn kan eenmaal met ten hoogste zes maanden worden verlengd.'
## Besluit
## 4 Beoordeling van de relevante feiten en omstandigheden
18. In dit hoofdstuk geeft ACM een samenvatting van de bij haar bekende feiten en omstandigheden met betrekking tot de ontheffingaanvraag. Deze feiten en omstandigheden zijn ontleend aan de ontheffingaanvraag en aanvullende informatie die van aanvrager is ontvangen. Op basis van deze informatie stelt ACM de hiernavolgende feiten en omstandigheden met betrekking tot het GDS (paragraaf 4.1), de eigenaar van het GDS (paragraaf 4.2) en de ontheffingsgronden (4.3) vast.
## 4.1 Beschrijving van gesloten distributiesysteem
19. In deze paragraaf geeft ACM een samenvatting van de bij haar bekende feiten en omstandigheden met betrekking tot de ontheffingaanvraag. Deze feiten en omstandigheden zijn ontleend aan de ontheffingaanvraag en aanvullende informatie die bij aanvrager is opgevraagd. Op basis van deze informatie stelt ACM de volgende feiten en omstandigheden vast.
20. Aanvrager is van oordeel dat er sprake is van een gastransportnet op het campusterrein aan de Drienerlolaan 5, te Enschede. Hij motiveert dit door middel van een omschrijving en een aantal plattegronden waarop de leidingen zijn ingetekend. Het gastransportnet opereert op een drukniveau van 15 Bar, 100 mBar en 25 mBar en is, volgens aanvrager, geen onderdeel van het landelijk gastransportnet. Het gastransportnet is aangesloten op het gastransportnet van Enexis.
21. Op het gastransportnet zijn volgens aanvrager 119 afnemers aangesloten. Een overzicht van deze afnemers staat in Tabel 1 opgenomen in Bijlage 1 bij dit besluit.
22. Op het gastransportnet zijn volgens aanvrager 60 huishoudelijke afnemers aangesloten. Dit betreft de nummers 60 tot en met 119 uit Tabel 1. Deze huishoudelijke afnemers staan volgens aanvrager in een dienstbetrekking of een vergelijkbare betrekking tot de eigenaar van het gastransportnet. Aanvrager heeft daarbij toegelicht dat dit woningen betreft die zijn verkocht aan medewerkers. Daarbij is vastgelegd dat zij de woning slechts mogen verkopen aan personen met een dienstverband met aanvrager van tenminste 0,3 fte. Dit blijkt uit een voorbeeld koopcontract van één van de woningen, welke aanvrager heeft overgelegd.
23. In het definitieve besluit heeft ACM bepaald dat, gelet op het bovenstaande, niet kan worden gesproken van incidenteel gebruik door een klein aantal huishoudelijke afnemers. In haar beroepschrift heeft aanvrager betoogd dat er wel degelijk sprake is van incidenteel verbruik door een klein aantal huishoudelijke afnemers, omdat het verbruik van deze afnemers van
&lt;!-- image --&gt;
## Besluit
ondergeschikte betekenis is voor aanvrager. Het CBb volgt aanvrager in haar betoog. 14  Het feit dat er 60 huishoudelijke afnemers aangesloten zijn en zij meer dan 50% van het totaal aantal afnemers vormen, is niet beslissend gebleken voor de vraag of er sprake is van incidenteel gebruik door een klein aantal huishoudelijke afnemers. Bij de beantwoording van deze vraag speelt, onder anderen, het percentage van het elektriciteitsverbruik van de bedrijfswoningen ten opzichte van het totale elektriciteitsverbruik op het elektriciteitsnet van aanvrager, een rol.  Dit percentage ligt rond 1%.
24. Uit de aanvraag is gebleken dat een van de afnemers een woningcorporatie voor studenten is. Het betreft een Woningcorporatie Veste-Acasta. Via deze woningcorporatie wordt vanaf het gasnet van aanvrager aan 2.100 studentenwoningen gas geleverd. In het definitieve besluit ACM merkt deze de bewoners van deze studentenwoningen als huishoudelijke afnemers aan. Aanvrager betoogt dat de studentenwoningen geen huishoudelijke afnemers zijn. Aanvrager stelt dat de woningcorporatie de aangeslotene en derhalve de afnemer is. Dit beroep is gegrond verklaard door het CBb. Volgens het CBb moet aansluiting worden gezocht bij de definitie van het begrip 'afnemer' in artikel 1, eerste lid, onderdeel o, van de Gaswet. 15
## 4.2 Eisen aan aanvrager
25. Aanvrager betoogt dat hij eigenaar is van dit gastransportnet. Dit is gemotiveerd door middel van een uittreksel van het Kadaster, waaruit blijkt dat aanvrager het perceel waarop de campus is gelegen in eigendom heeft en er een opstalrecht met betrekking tot de nutsvoorzieningen ten behoeve van aanvrager op is gevestigd. Daarnaast heeft aanvrager vermeld dat dat de volledige beslisbevoegdheid betreffende het onroerend goed van het ministerie van Onderwijs Cultuur en Wetenschap aan de universiteiten is overgedragen in 1995. Hiertoe heeft aanvrager verwezen naar de wetswijziging van de Wet op het Hoger onderwijs en Wetenschappelijk onderzoek in verband met decentralisatie van huisvestings- en bestedingsbeslissingen in het wetenschappelijk onderwijs en het wetenschappelijk onderzoek van 30 maart 1994. De eigendom van het gastransportnet gelegen op de andere kadastrale percelen is niet nader onderbouwd.
26. Aanvrager heeft verklaard geen netbeheerder in de zin van de Gaswet te zijn. Aanvrager heeft eveneens verklaard dat hij geen deel uitmaakt van een groep als bedoeld in artikel 24b van boek 2 van het Burgerlijk Wetboek (hierna: BW) waarvan ook een netbeheerder in de zin van de Gaswet onderdeel uitmaakt.
14 Voetnoot 13, r.o. 5.3.
15 Voetnoot 13, r.o. 5.2.
## Besluit
## 4.3 Ontheffingsgronden
27. Op het gastransportnet zijn geen productie-installaties aangesloten. Op het gastransportnet zijn volgens aanvrager geen aan aanvrager verwante bedrijven aangesloten. Aanvrager gebruikte in het jaar 2011 meer dan 50% van het getransporteerde gas.
28. Het bedrijfsproces van de gebruikers op het gastransportnet is volgens aanvrager om specifieke technische redenen en veiligheidsredenen geïntegreerd. Het gastransportnet is in ringen aangelegd waarop de grotere afnemers meerdere aansluitingen hebben. Bij een lekkage kan op deze manier het lek worden geïsoleerd zonder dat dit ten koste gaat van de gaslevering. Dit schaadt bovendien de bedrijfsvoering van aanvrager zo min mogelijk. De gaslevering is bedrijfskritisch voor het handhaven van de luchtvochtigheid binnen nauwe grenzen zoals in laboratoria en clean rooms.
29. Aanvrager geeft aan de kwaliteit en veiligheid op het gastransportnet op de volgende wijze te borgen. Het onderhoud wordt uitgevoerd door een externe partij. Aanvrager heeft hiertoe een onderhoudsverklaring overgelegd. Er wordt momenteel een nieuwe onderhoudsovereenkomst opgesteld. Naar aanleiding van snuffel-controles worden poreuze leidingen vervangen uit het budget voor storingen. Daarnaast vindt er een herontwerp van het gasnet plaats. Met het herontwerp zal een meerjaren-onderhoudsplan worden opgesteld.
## 5 Beoordeling
30. De beoordeling valt uiteen in drie delen. Ten eerste beoordeelt ACM of er sprake is van een GDS in de zin van artikel 1, eerste lid, onderdeel am, van de Gaswet. Als er sprake is van een GDS, beoordeelt ACM ten tweede of aanvrager voldoet aan de eisen die aan hem zijn gesteld in artikel 2a, eerste lid, van de Gaswet. Als er sprake is van een GDS én aanvrager voldoet aan de wettelijke eisen, dan beoordeelt ACM op welke grond de ontheffing kan worden verleend.
## 5.1 Beschrijving van het gesloten distributiesysteem
31. Bij de beoordeling of er sprake is van een GDS gelden de volgende criteria:
- a) Er is sprake van een gastransportnet in de zin van artikel 1, eerste lid, onderdeel d, van de Gaswet;
- b) Het gastransportnet is geen onderdeel van het landelijk gastransportnet conform artikel 1, eerste lid, onderdeel am, van de Gaswet;
- c) Het gastransportnet ligt binnen een geografisch afgebakende locatie conform artikel 1, eerste lid, onderdeel am, van de Gaswet;
## Besluit
- d) Er worden niet meer dan 500 niet-huishoudelijke afnemers aangesloten, conform artikel 1, eerste lid, onderdeel am, van de Gaswet.
ACM heeft deze criteria beoordeeld op basis van de bij haar bekende feiten en omstandigheden. ACM vat haar beoordeling samen aan het eind van deze paragraaf.
32. Een ontheffing voor een GDS kan alleen worden verleend als er sprake is van een gastransportnet als bedoeld in artikel 1, eerste lid, onderdeel d, van de Gaswet. Op grond van de in hoofdstuk 4 van dit besluit beschreven feiten en omstandigheden, concludeert ACM dat er sprake is van een stelsel van leidingen dat is aangesloten op het gastransportnet van Enexis en gas in de zin van artikel 1, eerste lid, onderdeel b, van de Gaswet transporteert. ACM stelt verder vast dat op het stelsel van leidingen 64 verschillende afnemers zijn aangesloten. ACM concludeert dat er sprake is van een gastransportnet in de zin van artikel 1, eerste lid, onderdeel d, van de Gaswet.
33. Op grond van artikel 1, eerste lid, onderdeel am, aanhef, van de Gaswet kan geen ontheffing worden verleend betreffende een gastransportnet dat tot het landelijk gastransportnet, als bedoeld in artikel 1, eerste lid, onderdeel n, van de Gaswet, behoort. Uit de feiten en omstandigheden zoals die zijn beschreven in hoofdstuk 4 van dit besluit maakt ACM op dat het gastransportnet niet wordt gebruikt voor het landelijk transport van gas. ACM concludeert dat het gastransportnet geen onderdeel is van het landelijk gastransportnet.
34. Op grond van artikel 1, eerste lid, onderdeel am, van de Gaswet dient het gastransportnet binnen een geografisch afgebakende industriële locatie, commerciële locatie of een locatie met gedeelde diensten te liggen. Binnen die locatie geldt een aansluitplicht voor de ontheffinghouder. Uit de de feiten en omstandigheden zoals die zijn beschreven in hoofdstuk 4 van dit besluit blijkt dat de geografische afbakening van de locatie waarop het gastransportnet is gelegen het campusterrein aan de Drienerlolaan 5 te Enschede 16  is. Het campusterrein is gelegen tussen de Hengelose straat in het zuiden en de Bosweg respectievelijk de Wit Breuksweg in het westen. In het noorden wordt het terrein afgebakend door de Langenkampweg en de Horstlindelaan. De Zomerdijksweg vormt de grens in het oosten. Aanvrager heeft dit genoegzaam aangetoond. Daarnaast blijkt dat er sprake is van een locatie met gedeelde diensten. ACM concludeert dat de aanvraag op dit punt voldoet aan de wet en definieert de geografische afbakening van de locatie waarop het gastransportnet is gelegen als het campusterrein aan de Drienerlolaan 5 te Enschede.
35. Om in aanmerking te komen voor een ontheffing moet aanvrager beschikken over een gastransportnet waarop, blijkens artikel 1, eerste lid, onderdeel am, van de Gaswet niet meer dan 500 afnemers zijn aangesloten en geen huishoudelijke afnemers van gas voorziet. Uit de
16 Verwezen wordt naar bijlage 2 bij dit besluit.
## Besluit
feiten en omstandigheden zoals die zijn beschreven in paragraaf 4.1 van dit besluit blijkt dat er 59 niet-huishoudelijke afnemers en 60 huishoudelijke afnemers op het gastransportnet zijn aangesloten. Aanvrager heeft reeds in het aanvraagformulier vermeld dat er 60 huishoudelijke afnemers op het gastransportnet zijn aangesloten. Deze huishoudelijke afnemers staan in een dienstbetrekking in relatie tot aanvrager voor minimaal 0,3 fte. Aanvrager stelt bij de verkoop van de woningen als voorwaarde dat de bewoners minimaal een dienstverband van 0,3 fte hebben bij aanvrager. Dit is onderbouwd door middel van een voorbeeld koopovereenkomst. ACM stelt derhalve vast dat deze 60 huishoudelijke afnemers in een dienstverband met aanvrager staan.
36. In het ontwerpbesluit heeft ACM overwogen dat deze huishoudelijke afnemers permanent woonachtig zijn op de in tabel 1 vermelde adressen (onder nummers 73 tot en met 111). Hetgeen in de zienswijze van 15 november 2013 naar voren is gebracht, maakt echter dat ACM dit niet meer als een belemmering ziet in de beoordeling of er sprake is van een GDS. 17
37. In het definitieve besluit heeft ACM overwogen dat de hoeveelheid bedrijfswoningen tot gevolg heeft dat geen sprake is van een GDS, nu niet kan worden gesproken van incidenteel gebruik door een klein aantal huishoudelijke afnemers. ACM ziet in de hoeveelheid aangesloten huishoudelijke afnemers echter niet langer een belemmering. Conform de uitspraak van 17 juni 2015 van het CBb is de vraag of er sprake is van incidenteel gebruik door een klein aantal huishoudelijke afnemers afhankelijk van de hoeveelheid verbruik. 18  Nu het percentage van het verbruik door de huishoudelijke afnemers rond één procent ligt, is er sprake van incidenteel gebruik door een klein aantal huishoudelijke afnemers. ACM constateert derhalve dat op dit punt wordt voldaan aan hetgeen is neergelegd in artikel 1, eerste lid, onderdeel m, sub 3 van de Gaswet.
38. In het definitieve besluit heeft ACM geconcludeerd dat de bewoners van de 2.100 studentenwoningen die zijn aangesloten bij Woningcorporatie de Veste-Acasa, moeten worden aangemerkt als huishoudelijke afnemers van het gasnet van aanvrager. Gelet op de uitspraak van 17 juni 2015 van het CBb heroverweegt ACM dit echter als volgt. De studentenwoningen hebben geen aansluiting op het gasnet van aanvrager en kunnen derhalve conform artikel 1, eerste lid, onderdeel c, van de E-wet niet als huishoudelijke afnemer worden aangemerkt. ACM constateert derhalve dat aan het wettelijk vereiste van artikel 1, eerste lid, onderdeel m, sub 3 van de Gaswet is voldaan.
39. Uit de voorgaande randnummers blijkt dat er sprake is van een gastransportnet in de zin van de Gaswet, het gastransportnet geen onderdeel is van het landelijk gastransportnet, het
17 Verwezen wordt naar bijlage 3, zienswijze 1.
18 Zie voetnoot 13, r.o. 5.3.
## Besluit
gastransportnet ligt binnen een geografisch afgebakende locatie met gedeelde diensten, er minder dan 500 afnemers zijn aangesloten en dat er sprake is van incidenteel gebruik door klein aantal huishoudelijke afnemers. ACM stelt derhalve vast dat het gasnet kwalificeert als een GDS. Nu er sprake is van een GDS in de zin van artikel 1, eerste lid, onderdeel m, van de Gaswet, dient ACM te beoordelen of de aanvraag voldoet aan de criteria van een ontheffing zoals die zijn opgenomen in artikel 2a, eerste lid, van de Gaswet.
## 5.2 Eisen aan aanvrager
40. Nu er sprake is van een GDS in de zin van artikel 1, eerste lid, onderdeel am, van de Gaswet, beoordeelt ACM, conform artikel 2a, eerste lid, aanhef en onderdeel c, van de Gaswet, of aanvrager beschikt over de eigendom van het GDS, geen netbeheerder is, en ook niet verbonden is met een netbeheerder in een groepsmaatschappij. ACM heeft dit beoordeeld op basis van de bij ACM bekende feiten en omstandigheden. ACM vat haar beoordeling samen aan het eind van deze paragraaf.
41. De aanhef van het eerste lid van artikel 2a van de Gaswet vereist dat aanvrager beschikt over de eigendom van het GDS waarvoor hij een ontheffing aanvraagt. Uit de in hoofdstuk 4 van dit besluit beschreven feiten en omstandigheden, leidt ACM af dat aanvrager beschikt over de eigendom van het GDS. Aanvrager heeft dit genoegzaam aangetoond door middel van de in randnummer 25</t>
  </si>
  <si>
    <t>ACM__ontheffing_12552_besluit-vishay-zwolle-elektriciteit-2014-01-21.txt::Rechtsobject</t>
  </si>
  <si>
    <t>ontheffing [33264:33275]</t>
  </si>
  <si>
    <t>ontheffing [33264:33274]</t>
  </si>
  <si>
    <t>[...] d, onderdeel b, van de Ewet de aanvraag. &lt;!-- image --&gt; ## Besluit ## 6 Dictum 39. De Autoriteit Consument en Markt besluit op grond van artikel 15, eerste lid, onderdeel b, van de Elektriciteitswet 1998 een ontheffing te verlenen van de verplichting een netbeheerder aan te wijzen aan Vishay BCcomponents B.V. voor het gesloten distributiesysteem gelegen op het bedrijfsterrein aan de Ceintuurbaan 15 te Zwolle. 40. De ontheffing wordt v [...]</t>
  </si>
  <si>
    <t>ACM__ontheffing_16533_ontheffingsbesluit-landgoed-zonnestraal-elektriciteitsnet-2016-10-14.txt::Ontvanger</t>
  </si>
  <si>
    <t>Landgoed Zonnestraal BV</t>
  </si>
  <si>
    <t>landgoed zonnestraal bv</t>
  </si>
  <si>
    <t>Landgoed Zonnestraal BV [32299:32322]</t>
  </si>
  <si>
    <t>[...] oeld in artikel 10 van de E-wet. &lt;!-- image --&gt; ## Besluit Openbaar ## 1 Dictum 43. De Autoriteit Consument en Markt besluit geen ontheffing te verlenen van de verplichting een netbeheerder aan te wijzen aan Landgoed Zonnestraal BV voor het elektriciteitsnet gelegen op de percelen die kadastraal bekend staan als H 2888, H 2956, H 3018 en H 3254, te Hilversum, waarop Loosdrechtse Bos 5, 7, 9, 11 en 13, te Hilversum zijn aangesloten. 44. Van dit be [...]</t>
  </si>
  <si>
    <t>ACM__ontheffing_16533_ontheffingsbesluit-landgoed-zonnestraal-elektriciteitsnet-2016-10-14.txt::Besluitvormend Orgaan</t>
  </si>
  <si>
    <t>De Autoriteit Consument en Markt [32175:32207]</t>
  </si>
  <si>
    <t>[...] g niet. Hieruit volgt dat aanvrager het net niet zelf mag beheren en moet overdragen aan een aangewezen netbeheerder als bedoeld in artikel 10 van de E-wet. &lt;!-- image --&gt; ## Besluit Openbaar ## 1 Dictum 43. De Autoriteit Consument en Markt besluit geen ontheffing te verlenen van de verplichting een netbeheerder aan te wijzen aan Landgoed Zonnestraal BV voor het elektriciteitsnet gelegen op de percelen die kadastraal bekend staan als H 2888, H 2956, H 3018 [...]</t>
  </si>
  <si>
    <t>ACM__ontheffing_16533_ontheffingsbesluit-landgoed-zonnestraal-elektriciteitsnet-2016-10-14.txt::Rechtshandeling</t>
  </si>
  <si>
    <t>&lt;!-- image --&gt;
&lt;!-- image --&gt;
## Besluit
Kenmerk:
ACM/UIT/575339
Zaaknummer:
ACM/21/053967
Besluit van de Autoriteit Consument en Markt tot wijziging van het besluit tot een ontheffing voor een gesloten distributiesysteem van Medisch Centrum Leeuwarden B.V. van 11 december 2019 als bedoeld in artikel 15, eerste lid, van de Elektriciteitswet 1998.
&lt;!-- image --&gt;
&lt;!-- image --&gt;
## Inhoud
| 1                           | Inleiding en leeswijzer                         | Inleiding en leeswijzer                         |   3 |
|-----------------------------|-------------------------------------------------|-------------------------------------------------|-----|
| 2                           | Procedure en relevante feiten en omstandigheden | Procedure en relevante feiten en omstandigheden |   3 |
|                             | 2.1                                             | Wijziging afnemers                              |   4 |
|                             | 2.2                                             | Wijziging geografisch afgebakend gebied         |   4 |
| 3                           | Beoordeling                                     | Beoordeling                                     |   4 |
|                             | 3.1                                             | Wijziging afnemers                              |   4 |
|                             | 3.2                                             | Wijziging geografisch afgebakend gebied         |   5 |
| 4                           | Dictum                                          | Dictum                                          |   5 |
| Bijlage 1 - Wettelijk kader | Bijlage 1 - Wettelijk kader                     | Bijlage 1 - Wettelijk kader                     |   7 |
| Bijlage 2 - [VERTROUWELIJK] | Bijlage 2 - [VERTROUWELIJK]                     | Bijlage 2 - [VERTROUWELIJK]                     |   9 |
4
4
4
5
## 1 Inleiding en leeswijzer
1. Met dit besluit tot het wijzigen van de ontheffing van Medisch Centrum Leeuwarden B.V. (hierna: MCL) geeft de Autoriteit Consument &amp;amp; Markt (hierna: de ACM) uitvoering aan artikel 15, eerste lid, van de Elektriciteitswet 1998 (hierna: E-wet).
2. De ACM geeft met dit besluit haar oordeel op het verzoek van MCL, van 27 september 2021, tot wijziging van de ontheffing die is verleend op 11 december 2019. MCL heeft een ontheffing voor het gesloten distributiesysteem (hierna: GDS) voor de locatie met gedeelde diensten gelegen op de Achlumerdijk 2 te Harlingen, op percelen met kadastrale nummers: B4456, B4454, B4455, B4459, B4453, B4457, B4452. Het verzoek tot wijziging van de ontheffing betreft een wijziging van het aantal op het GDS aangesloten afnemers en, als gevolg daarvan, een wijziging van de kadastrale percelen waarop het GDS is gelegen.
3. De indeling van dit besluit is als volgt. Hoofdstuk 2 bevat de gevolgde procedure en de relevante feiten  en  omstandigheden.  In  hoofdstuk  3  beoordeelt  de  ACM  het  verzoek  tot  wijziging  van  de ontheffing. De ACM eindigt haar besluit met het dictum in hoofdstuk 4. In bijlage 1 zijn de wettelijke bepalingen opgenomen. In bijlage 2 is de geografische afbakening van de locatie waarop het GDS is gelegen opgenomen. De bijlagen vormen een integraal onderdeel van dit besluit.
## 2 Procedure en relevante feiten en omstandigheden
4. Op 11 december 2019 heeft de ACM een ontheffing voor een GDS op grond van artikel 15, eerste lid, van de E-wet aan MCL verleend. De ontheffing is verleend voor de locatie met gedeelde diensten gelegen op de Achlumerdijk 2 te Harlingen, op percelen met kadastrale nummers: B4456, B4454, B4455, B4459, B4453, B4457, B4452. Op het GDS zijn drie afnemers aangesloten. De ontheffing is verleend op de tweede ontheffingsgrond van artikel 15, eerste lid, onderdeel a, van de E-wet. 1
5. Op grond van voorschrift nummer 2 'Wijzigingen in de ontheffing', behorende bij de ontheffing dient MCL wijzigingen op het GDS onverwijld aan de ACM te melden. Bij bericht van 27 september 2021 heeft MCL een melding gemaakt van een wijziging op het GDS.
6. Bij berichten van 17 november 2021, 9 december 2021, 16 december 2021 en 17 februari 2022 heeft de ACM verzocht om aanvullende informatie. Op 22 november 2021, 14 december 2021, 8 februari 2022 en 22 februari 2022 heeft MCL de verzochte informatie aangeleverd.
7. Het verzoek tot wijziging van de ontheffing betreft een wijziging van het aantal op het GDS aangesloten afnemers (paragraaf 2.1). Daarnaast is er, als gevolg van de wijziging van het aantal aangesloten afnemers, ook een wijziging van het geografisch afgebakende gebied waarop het GDS is gelegen (paragraaf 2.2).
1  Besluit van 11 december 2019 met kenmerk ACM/UIT/511494.
## 2.1 Wijziging afnemers
8. Uit het ontheffingsbesluit van 11 december 2019 met kenmerk ACM/UIT/511494 voor het GDS van MCL volgt dat drie afnemers zijn aangesloten op het elektriciteitsnet. MCL geeft aan dat een van die drie afnemers, te weten Noorderbreedte B.V., per 1 januari 2022 een eigen elektriciteitsaansluiting heeft op het net van de openbare netbeheerder. Ter onderbouwing daarvan heeft MCL getekende offertes voor een elektriciteitsaansluiting van Noorderbreedte B.V. bij de openbare netbeheerder overgelegd. Daardoor zijn er nog twee afnemers aangesloten op het GDS van MCL, te weten MCL en Apotheek Oosterpark B.V.
9. Aangezien de ontheffing van MCL op grond van de tweede ontheffingsgrond van artikel 15, eerste lid, van de E-wet is verleend, dient het net primair elektriciteit te transporteren voor de eigenaar van het net of de daarmee verwante ondernemingen. MCL geeft aan dat het net [VERTROUWELIJK] van de elektriciteit voor haarzelf als eigenaar van het net, en [VERTROUWELIJK] voor Apotheek Oosterpark B.V., als niet verwante onderneming, transporteert.
## 2.2 Wijziging geografisch afgebakend gebied
10.  Het GDS van MCL loopt door meerdere percelen. De in paragraaf 2.1 omschreven wijziging heeft ook gevolgen voor de afbakening van het geografische gebied waarop het GDS is gelegen.
11.  MCL geeft aan dat percelen met kadastrale nummers B4453, B4454, B4455, B4457 en B4452 niet langer onderdeel zijn van het geografisch afgebakende gebied. Het geografisch afgebakende gebied waarop het GDS is gelegen beslaat per 1 januari 2022 percelen met kadastrale nummers B4456 en B4459. Verder geeft MCL aan dat die twee laatst genoemde percelen zijn samengevoegd in één perceel met kadastraal nummer B4658. Dit betekent het GDS van MCL per 1 januari 2022 is gelegen op de Achlumerdijk 2 te Harlingen, op perceel met kadastraal nummer B4658.
## 3 Beoordeling
12.  In dit hoofdstuk beoordeelt de ACM het verzoek tot wijziging van de ontheffing van MCL. De ACM baseert zich hierbij op de feiten en omstandigheden zoals omgeschreven in de verleende ontheffing, de aanvraag tot wijziging van die ontheffing en de aanvullende informatie die van MCL is ontvangen.
## 3.1 Wijziging afnemers
13.  De ACM beoordeelt of met het wegvallen van één afnemer op het GDS van MCL nog steeds wordt voldaan aan de voorwaarden als bedoeld in artikel 15, eerste lid, onderdelen a, d en e, van de Ewet.
14.  Uit de in hoofdstuk 2 genoemde feiten en omstandigheden volgt dat Noorderbreedte B.V. per 1 januari 2022 niet langer is aangesloten op het GDS van MCL. Als gevolg hiervan zijn nog twee
afnemers aangesloten op het GDS, te weten MCL en Apotheek Oosterpark B.V. Het elektriciteitsnet transporteert [VERTROUWELIJK] van de elektriciteit voor MCL als eigenaar van het net.
15.  Volgens de ACM heeft MCL genoegzaam aangetoond dat Noorderbreedte B.V. niet langer is aangesloten op het GDS van MCL. De ACM constateert dat als gevolg van de wijziging in het aantal afnemers dat is aangesloten op het GDS, het elektriciteitsnet nog steeds primair elektriciteit transporteert voor MCL als eigenaar van dat net. Dit betekent dat nog steeds wordt voldaan aan de ontheffingsgrond uit artikel 15, eerste lid, onderdeel a, van de E-wet. Daarnaast zijn er op het elektriciteitsnet twee niet-huishoudelijke afnemers aangesloten. Daarmee wordt nog steeds voldaan aan de voorwaarden als bedoeld in artikel 15, eerste lid, onderdelen d en e, van de E-wet.
16.  Op grond van voorgaande concludeert de ACM dat met de wijziging in het aantal op het GDS aangesloten afnemers, nog steeds wordt voldaan artikel 15, eerste lid, onderdelen, a, d en e, van de E-wet.
## 3.2 Wijziging geografisch afgebakend gebied
17.  De ACM beoordeelt of met de wijziging van de percelen waarop het elektriciteitsnet is gelegen nog steeds sprake is van een net gelegen op een geografisch afgebakende locatie, zoals bedoeld in artikel 15, eerste lid, onderdeel c, van de E-wet.
18.  Uit de in hoofdstuk 2 omschreven feiten en omstandigheden volgt dat het GDS per 1 januari 2022 is gelegen op het geografisch afgebakende gebied op de Achlumerdijk 2 te Harlingen, op perceel met kadastraal nummer B4658.
19.  Het geografisch afgebakende gebied is kleiner geworden als gevolg van de wijziging in het aantal afnemers dat is aangesloten op het GDS van MCL, zoals omschreven in paragraaf 3.1. Volgens de ACM het logische gevolg van die wijziging dat ook het geografisch afgebakende gebied waarop het GDS van MCL is gelegen, wijzigt. De ACM stelt daarom vast dat het GDS is gelegen op de Achlumerdijk 2 te Harlingen, op perceel met kadastraal nummer B4658.
20.  Op grond van voorgaande concludeert de ACM dat de gewijzigde geografische afbakening van het GDS nog steeds voldoet aan artikel 15, eerste lid, onderdeel c, van de E-wet.
## 4 Dictum
21.  De Autoriteit Consument en Markt besluit op grond van artikel 15, eerste lid, van de E-wet de ontheffing die zij heeft verleend op 11 december 2019 aan Medisch Centrum Leeuwarden B.V. te wijzigen.
22.  Het onderhavige wijzigingsbesluit beperkt zich tot wijziging van het aantal op het GDS aangesloten afnemers en de wijziging van de geografische afbakening van het GDS op de Achlumerdijk 2 te Harlingen, op perceel met kadastraal nummer B4658. De relevante feiten en omstandigheden zoals opgenomen in de ontheffing GDS zijn voor het overige niet gewijzigd. De verleende ontheffing GDS blijft met betrekking tot de ontheffingsgrond, de veiligheid en betrouwbaarheid van
het elektriciteitsnet en de voorschriften in stand. De termijn waarvoor de ontheffing geldt blijft ongewijzigd.
23.  De Autoriteit Consument en Markt publiceert dit besluit op de internetpagina van de Autoriteit Consument en Markt.
Den Haag,
Datum: 10 maart 2022
Autoriteit Consument en Markt, namens deze,
drs. F.E. Koel
Teammanager Directie Energie
Tegen dit besluit kan degene, wiens belang rechtstreeks bij dit besluit is betrokken, binnen zes weken na de dag van bekendmaking van dit besluit een gemotiveerd bezwaarschrift indienen bij het bestuur van de Autoriteit Consument en Markt, Juridische Zaken, Postbus 16326, 2500 BH Den Haag. In dit bezwaarschrift kan een belanghebbende op basis van artikel 7:1a, eerste lid, van de Algemene wet bestuursrecht, het bestuur van de Autoriteit Consument en Markt verzoeken in te stemmen met rechtstreeks beroep bij de bestuursrechter.
## Bijlage 1 - Wettelijk kader
1. In dit hoofdstuk beschrijft de ACM de bepalingen die gezamenlijk het wettelijk kader vormen voor dit besluit.
2. Artikel 1, eerste lid, onderdelen b, c, i, j, r, aq en ar, van de E-wet luiden:
3. 'b. aansluiting: één of meer verbindingen tussen een net en een onroerende zaak als bedoeld in artikel 16, onderdelen a tot en met e, van de Wet waardering onroerende zaken, waaronder begrepen één of meer verbindingen tussen een net dat wordt beheerd door een netbeheerder en een net dat beheerd wordt door een ander dan die netbeheerder en tussen het net op zee en een windpark op zee;
- c.   afnemer: een ieder, met uitzondering van de netbeheerder van het net op zee, die beschikt over een aansluiting op een net;
- i.   net: één of meer verbindingen voor het transport van elektriciteit en de daarmee verbonden transformator-, schakel-, verdeel- en onderstations en andere hulpmiddelen, behoudens voor zover deze verbindingen en hulpmiddelen onderdeel uitmaken van een directe lijn of liggen binnen de installatie van een producent of van een afnemer;
- j. landelijk hoogspanningsnet: het net, bedoeld in artikel 10, eerste lid;
- r.   verwant bedrijf: een verbonden onderneming in de zin van artikel 41 van de zevende richtlijn nr. 83/349/EEG van de Raad van 13 juni 1983 op de grondslag van artikel 44, tweede lid, onderdeel g, van het Verdrag betreffende de geconsolideerde jaarrekening, of een geassocieerde onderneming in de zin van artikel 33, eerste lid, daarvan of een onderneming die aan dezelfde aandeelhouders toebehoort;
- u. duurzame elektriciteit: elektriciteit, opgewekt in productie-installaties die uitsluitend gebruikmaken van hernieuwbare energiebronnen, alsmede elektriciteit die is opgewekt met hernieuwbare energiebronnen in hybride productie-installaties die ook met conventionele energiebronnen werken, met inbegrip van elektriciteit die is opgewekt met hernieuwbare energiebronnen en die wordt gebruikt voor accumulatiesystemen, en met uitzondering van elektriciteit die afkomstig is van accumulatiesystemen;
9. aq. gesloten distributiesysteem: een net waarvoor op grond van artikel 15 ontheffing is verleend;
10. ar. directe lijn: een of meer verbindingen voor het transport van elektriciteit, behoudens voor zover die gelegen is binnen een installatie, die: 1°. niet verbonden is met een net of met een andere verbinding voor het transport van elektriciteit en die een geïsoleerde productie-installatie van een producent rechtstreeks verbindt met een geïsoleerde verbruiker van elektriciteit, niet zijnde de producent of 2°. ten hoogste via de installatie van één aangeslotene op de verbinding is verbonden met een net of met een andere verbinding voor het transport van elektriciteit en die een productieéén of meer verbruikers van elektriciteit, niet zijnde de producent of in hoofdzaak huishoudelijke verbruikers, teneinde te voorzien in de elektriciteitsbehoefte van deze
11. installatie van een producent, met tussenkomst van een leverancier, rechtstreeks verbindt met verbruikers;'.
3. In artikel 15 van de E-wet is, voor zover relevant, het volgende opgenomen:
13. '1. De Autoriteit Consument en Markt kan op diens aanvraag ontheffing verlenen aan een eigenaar van een net, niet zijnde het landelijk hoogspanningsnet, van het gebod van artikel 10, negende lid, indien:
- a.  het bedrijfs- of productieproces van de gebruikers van het net om specifieke technische of veiligheidsredenen geïntegreerd is of het net primair elektriciteit distribueert voor de eigenaar van dat net of de daarmee verwante ondernemingen,
- b.  de aanvrager geen netbeheerder is en niet in een groepsmaatschappij met een netbeheerder verbonden is.
- c.  het net binnen een geografisch afgebakende industriële locatie, commerciële locatie of locatie met gedeelde diensten ligt en dat net technisch, organisatorisch of functioneel verbonden is,
- d.  op het net minder dan 500 afnemers zijn aangesloten,
- e.  het net geen huishoudelijke eindafnemers van elektriciteit voorziet, tenzij er sprake is van incidenteel gebruik door een klein aantal huishoudelijke eindafnemers dat werkzaam is bij of vergelijkbare betrekkingen heeft met de eigenaar van het net en
- f. de veiligheid en betrouwbaarheid van het net voldoende is gewaarborgd.
2.  […]
4. In de voorschriften behorende bij de ontheffing welke is verleend op 11 december 2019 op grond van artikel 15, eerste lid, van de E-wet voor het GDS is, voor zover relevant, het volgende opgenomen:
## […]
## '2) Wijzigingen in de ontheffing
Naam- en adreswijzigingen, alle wijzigingen met betrekking tot het net zoals eigendomswisselingen of wijzigingen in het aantal afnemers en alle andere wijzigingen die van invloed kunnen zijn op deze ontheffing worden uiterlijk vier weken voorafgaand aan de wijziging onverwijld door de beheerder van het particuliere net schriftelijk aan de Autoriteit Consument en Markt gemeld.'
[…]
## Bijlage 2 - [VERTROUWELIJK]</t>
  </si>
  <si>
    <t>verlenen [32235:32244]</t>
  </si>
  <si>
    <t>verlenen [32235:32243]</t>
  </si>
  <si>
    <t>ACM__sanctie_11252_aanvullend-besluit-in-de-zaak-ryanair -2013-05-16.txt</t>
  </si>
  <si>
    <t>[...] heren en moet overdragen aan een aangewezen netbeheerder als bedoeld in artikel 10 van de E-wet. &lt;!-- image --&gt; ## Besluit Openbaar ## 1 Dictum 43. De Autoriteit Consument en Markt besluit geen ontheffing te verlenen van de verplichting een netbeheerder aan te wijzen aan Landgoed Zonnestraal BV voor het elektriciteitsnet gelegen op de percelen die kadastraal bekend staan als H 2888, H 2956, H 3018 en H 3254, te Hilversum, waarop Loos [...]</t>
  </si>
  <si>
    <t>ACM__ontheffing_16533_ontheffingsbesluit-landgoed-zonnestraal-elektriciteitsnet-2016-10-14.txt::Rechtsobject</t>
  </si>
  <si>
    <t>geen ontheffing</t>
  </si>
  <si>
    <t>## Besluit Openbaar
Ons kenmerk:
CA/IB/878/27
Zaaknummer:
878
Datum:
16 mei 2013
Besluit van de Autoriteit Consument en Markt strekkende tot wijziging van het besluit van de Consumentenautoriteit van 26 februari 2013, kenmerk CA/IB/878/12.
1. Bij besluit van 26 februari 2013, kenmerk CA/IB/878/12, (hierna: sanctiebesluit) heeft de Consumentenautoriteit aan Ryanair Ltd. boetes en lasten onder dwangsom opgelegd. Ryanair heeft tegen het sanctiebesluit bij brief van 29 maart 2013 bezwaar aangetekend en tegelijkertijd bij de Rechtbank Rotterdam een verzoek ingediend tot het treffen van een voorlopige voorziening.
2. Op 1 april 2013 is de Instellingswet Autoriteit Consument en Markt in werking getreden. 1 Vanaf die datum is de Autoriteit Consument en Markt (hierna: ACM) de rechtsopvolger van de Consumentenautoriteit. Op grond van artikel 42, tweede lid, Instellingswet Autoriteit Consument en Markt, worden bezwaarschriften en aanvragen die ingediend zijn bij de Consumentenautoriteit aangemerkt als te zijn ingediend bij ACM. Op grond van artikel 42, derde lid, Instellingswet Autoriteit Consument en Markt, treedt met ingang van 1 april 2013 in bestuursrechtelijke rechtsgedingen ACM in de plaats van de Consumentenautoriteit.
3. Ryanair heeft in telefonische contacten met een medewerker van ACM op 17 april 2013, aan ACM laten weten dat haar belang bij een voorlopige voorziening met name ziet op de haars inziens te korte begunstigingstermijn voor de last strekkende tot het staken van de overtreding van artikel 8.2 Whc jo. artikel 6:227c, eerste lid, BW. Het is - aldus Ryanair niet mogelijk om voor het einde van de gestelde begunstigingstermijn op 28 mei 2013 de last na te leven. Zou ACM de begunstigingstermijn zodanig verlengen dat Ryanair de last wel kan nakomen zonder dat zij dwangsommen verbeurt, dan heeft Ryanair geen belang meer bij een voorlopige voorziening en zal zij het daarop gerichte verzoek aan de Rechtbank Rotterdam intrekken. Ryanair heeft aangegeven een periode van zes tot acht maanden nodig te hebben om aan de last uitvoering te kunnen geven.
4. De last strekkende tot het staken van de overtreding van artikel 8.2 Whc jo. artikel 6:227c, eerste lid, BW is opgenomen in (het dictum van) het sanctiebesluit onder e en luidt: [De Consumentenautoriteit] gelast Ryanair op straffe van de verbeurte van een dwangsom om haar website www.ryanair.com/nl in overeenstemming te brengen met artikel 6:227c, eerste lid, van het BW. Daartoe dient Ryanair uiterlijk dertien weken na de bekendmaking van dit besluit het boekingsproces op haar website www.ryanair.com/nl zo in te richten dat de consument alvorens tot aankoop van vliegtickets over te gaan (1) de door hem ingevoerde gegevens kan controleren teneinde van door hem niet gewilde handelingen op de hoogte te geraken en (2) eventuele niet door hem gewilde handelingen kan aanpassen.
1 Instellingswet Autoriteit Consument en Markt (Stb. 2013, 102)
&lt;!-- image --&gt;
1/3
## Besluit Openbaar
Ryanair dient uiterlijk dertien weken na de bekendmaking van dit besluit aan de last te voldoen op straffe van verbeurte van een dwangsom van EUR 20.000,- per kalendermaand (waaronder begrepen een gedeelte van iedere kalendermaand) die zij niet aan de last heeft voldaan. De maximaal te verbeuren dwangsom bedraagt EUR 240.000,-.
5. Op 25 april 2013 heeft Ryanair desgevraagd haar stelling dat de begunstigingstermijn te kort is, schriftelijk onderbouwd. Ryanair voert - kort weergegeven - aan dat de door te voeren technische aanpassingen aan de website van Ryanair niet alleen tot de Nederlandstalige versie van de website beperkt kunnen blijven, maar ook moeten worden doorgevoerd in de versies in alle andere talen waarin de website wordt gepubliceerd. Dat maakt de gevraagde technisch ingewikkelde aanpassingen omvangrijk.
6. Daarnaast heeft Ryanair naar voren gebracht dat momenteel al een project loopt aangaande een ingrijpende aanpassing van haar websites. Voorts volgt in het najaar van 2013 een upgrade van het reserveringssysteem om te voldoen aan veranderde regelgeving op het gebied van luchthavenveiligheid. Deze aanpassingen vergen nu en in de komende periode - mede vanwege het noodzakelijke testen van de nieuwe websites - veel van de capaciteit van de IT-afdeling van Ryanair.
7. ACM heeft het verzoek van Ryanair beoordeeld in het licht van de door Ryanair gegeven onderbouwing. Bij de beoordeling heeft ACM tevens acht geslagen op de toezegging van Ryanair om binnen de begunstigingstermijn van dertien weken de twee andere bij het sanctiebesluit opgelegde lasten onder dwangsom uit te voeren. Op grond hiervan concludeert ACM dat een verlenging van de begunstigingstermijn voor de hiervoor in randnummer 4 weergegeven last onder dwangsom met 23 weken gerechtvaardigd is. De begunstigingstermijn komt daarmee op in totaal 36 weken, te rekenen vanaf de bekendmaking van het sanctiebesluit.
&lt;!-- image --&gt;
## Besluit Openbaar
## BESLUIT
De Autoriteit Consument en Markt:
wijzigt onderdeel e van het besluit van de Consumentenautoriteit van 26 februari 2013, kenmerk CA/IB/878/12, in dier voege dat de begunstigingstermijn voor de in dat onderdeel e opgenomen last onder dwangsom ter zake van de niet-naleving van artikel 6:227c, eerste lid, BW, wordt verlengd met 23 weken.
Dit besluit is gericht tot Ryanair Ltd., gevestigd te Dublin, Ierland
Autoriteit Consument en Markt namens deze,
w.g. dr. F.J.H. Don bestuurslid
## Bezwaar
Belanghebbenden die zich met dit besluit niet kunnen verenigen, kunnen binnen zes weken na de dag waarop dit besluit is bekendgemaakt bezwaar maken bij de Autoriteit Consument en Markt. Het postadres is: Autoriteit Consument en Markt, directie Juridische Zaken, Postbus 16326, 2500 BH Den Haag.
Het bezwaarschrift moet zijn ondertekend en moet ten minste de naam en het adres van de indiener, de dagtekening en een omschrijving van het besluit waartegen het bezwaar is gericht bevatten. Voorts moet het bezwaarschrift de gronden van het bezwaar bevatten.
De Autoriteit Consument en Markt wijst u op de mogelijkheid die de Algemene wet bestuursrecht de indiener van een bezwaarschrift biedt, om in dat geschrift de Autoriteit Consument en Markt te verzoeken de bezwaarschriftenfase over te slaan. Indien de Autoriteit Consument en Markt uw verzoek inwilligt, zal uw bezwaarschrift worden doorgezonden naar de rechtbank en daar als beroepschrift worden behandeld. De procedure kan daardoor worden verkort. Indien de Autoriteit Consument en Markt uw verzoek niet inwilligt, staat tegen deze beslissing geen beroep open en zal uw bezwaarschrift door de Autoriteit Consument en Markt worden behandeld.
&lt;!-- image --&gt;
3/3</t>
  </si>
  <si>
    <t>geen ontheffing [32216:32231]</t>
  </si>
  <si>
    <t>ACM__sanctie_14519_boete-kpn-voor-sdf-backhaul.txt</t>
  </si>
  <si>
    <t>[...] et niet zelf mag beheren en moet overdragen aan een aangewezen netbeheerder als bedoeld in artikel 10 van de E-wet. &lt;!-- image --&gt; ## Besluit Openbaar ## 1 Dictum 43. De Autoriteit Consument en Markt besluit geen ontheffing te verlenen van de verplichting een netbeheerder aan te wijzen aan Landgoed Zonnestraal BV voor het elektriciteitsnet gelegen op de percelen die kadastraal bekend staan als H 2888, H 2956, H 3018 en H 3254, te Hilversum [...]</t>
  </si>
  <si>
    <t>ACM__ontheffing_besluit-ontheffingsaanvraag-liander-gelijkstroomnet-lelystad.txt::Ontvanger</t>
  </si>
  <si>
    <t>Liander N.V.</t>
  </si>
  <si>
    <t>liander n.v</t>
  </si>
  <si>
    <t>Liander N.V. [25883:25895]</t>
  </si>
  <si>
    <t>[...] scriteria zoals veiligheid en spanningskwaliteit opgenomen in de voorwaarden nader concretiseren. ## 6 Dictum 41. De Autoriteit Consument en Markt besluit op grond van artikel 37a van de Elektriciteitswet 1998 aan Liander N.V. een ontheffing te verlenen van een aantal artikelen uit de Netcode elektriciteit en een aantal artikelen uit de Meetcode elektriciteit. 42. Daarnaast staat de Autoriteit Consument en Markt toe dat Liander een aantal aa [...]</t>
  </si>
  <si>
    <t>ACM__ontheffing_besluit-ontheffingsaanvraag-liander-gelijkstroomnet-lelystad.txt::Besluitvormend Orgaan</t>
  </si>
  <si>
    <t>De Autoriteit Consument en Markt [25783:25815]</t>
  </si>
  <si>
    <t>[...] ontwikkeling of door de evaluatie meer duidelijkheid ontstaat, zal de ACM indien nodig de kwaliteitscriteria zoals veiligheid en spanningskwaliteit opgenomen in de voorwaarden nader concretiseren. ## 6 Dictum 41. De Autoriteit Consument en Markt besluit op grond van artikel 37a van de Elektriciteitswet 1998 aan Liander N.V. een ontheffing te verlenen van een aantal artikelen uit de Netcode elektriciteit en een aantal artikelen uit de Meetcode elektriciteit. 42 [...]</t>
  </si>
  <si>
    <t>ACM__ontheffing_besluit-ontheffingsaanvraag-liander-gelijkstroomnet-lelystad.txt::Rechtshandeling</t>
  </si>
  <si>
    <t>verlenen [25914:25923]</t>
  </si>
  <si>
    <t>verlenen [25914:25922]</t>
  </si>
  <si>
    <t>[...] panningskwaliteit opgenomen in de voorwaarden nader concretiseren. ## 6 Dictum 41. De Autoriteit Consument en Markt besluit op grond van artikel 37a van de Elektriciteitswet 1998 aan Liander N.V. een ontheffing te verlenen van een aantal artikelen uit de Netcode elektriciteit en een aantal artikelen uit de Meetcode elektriciteit. 42. Daarnaast staat de Autoriteit Consument en Markt toe dat Liander een aantal aanvullende definities hanteer [...]</t>
  </si>
  <si>
    <t>ACM__ontheffing_besluit-ontheffingsaanvraag-liander-gelijkstroomnet-lelystad.txt::Rechtsobject</t>
  </si>
  <si>
    <t>ontheffing [25900:25911]</t>
  </si>
  <si>
    <t>ontheffing [25900:25910]</t>
  </si>
  <si>
    <t>[...] eiligheid en spanningskwaliteit opgenomen in de voorwaarden nader concretiseren. ## 6 Dictum 41. De Autoriteit Consument en Markt besluit op grond van artikel 37a van de Elektriciteitswet 1998 aan Liander N.V. een ontheffing te verlenen van een aantal artikelen uit de Netcode elektriciteit en een aantal artikelen uit de Meetcode elektriciteit. 42. Daarnaast staat de Autoriteit Consument en Markt toe dat Liander een aantal aanvullende defini [...]</t>
  </si>
  <si>
    <t>ACM__ontheffing_besluit-ter-goedkeuring-van-de-methode-van-huntsman.txt::Ontvanger</t>
  </si>
  <si>
    <t>Huntsman Holland B.V.</t>
  </si>
  <si>
    <t>huntsman holland b.v</t>
  </si>
  <si>
    <t>Huntsman Holland B.V. [39028:39049]</t>
  </si>
  <si>
    <t>[...] C-239/07 (Sabatauskas e.a.) en de de Conclusie van de Adv. Gen. Kokott van 12 juni 2008, zaak C-239/07 (Sabatauskas e.a.). ## 5. Dictum 46. De Autoriteit Consument en Markt keurt de van kracht zijnde methode van Huntsman Holland B.V. voor de berekening van de tarieven goed. Den Haag, Datum: 29-1-2018 w.g. Autoriteit Consument en Markt namens deze, dr. F.J.H. Don bestuurslid Tegen dit besluit kan degene wiens belang daarbij rechtstreek [...]</t>
  </si>
  <si>
    <t>ACM__ontheffing_besluit-ter-goedkeuring-van-de-methode-van-huntsman.txt::Besluitvormend Orgaan</t>
  </si>
  <si>
    <t>De Autoriteit Consument en Markt [38955:38988]</t>
  </si>
  <si>
    <t>De Autoriteit Consument en Markt [38956:38988]</t>
  </si>
  <si>
    <t>## Besluit Openbaar
Ons kenmerk:
ACM/DJZ/2015/201745\_OV
Zaaknummer:
14.1207.32
Datum:
23 juni 2015
Besluit van de Autoriteit Consument en Markt tot het opleggen van een boete aan Koninklijke KPN N.V. en KPN B.V. voor de overtredingen van de aan haar opgelegde transparantieverplichting, non-discriminatieverplichting en ND-5 verplichting krachtens artikel 6a.2, eerste lid, van de Telecommunicatiewet jo. artikel 6a.9 en artikel 6a.8 van de Telecommunicatiewet
## 1. Samenvatting
1. In dit besluit stelt de Autoriteit Consument en Markt (hierna: ACM) vast dat Koninklijke KPN N.V. en KPN B.V. (hierna: KPN) de transparantieverplichting niet is nagekomen, omdat zij geen toereikend referentieaanbod bekend heeft gemaakt voor de bijbehorende faciliteit SDF-backhaul. KPN heeft hiermee de krachtens artikel 6a.2 jo. artikel 6a.9 van de Telecommunicatiewet (hierna: Tw) aan haar opgelegde transparantieverplichting overtreden.
2. ACM stelt in dit besluit ook vast dat KPN de non-discriminatieverplichting en de ND-5 verplichting niet is nagekomen, omdat zij een variant van SDF-backhaul alleen aan haar downstream gelegen bedrijven heeft aangeboden en geleverd. KPN heeft hiermee de krachtens artikel 6a.2 jo. artikel 6a.8 Tw opgelegde non-discriminatieverplichting overtreden. Verder heeft KPN haar eigen downstreambedrijf een wholesaletarief in rekening gebracht waardoor andere afnemers als gevolg van margeuitholling op de downstreammarkten niet onder concurrerende voorwaarden hun diensten hebben kunnen aanbieden. KPN heeft hiermee de krachtens artikel 6a.2 jo. artikel 6a.8 Tw opgelegde ND-5 verplichting overtreden.
3. Voor de overtredingen van de transparantieverplichting, non-discriminatieverplichting en de ND-5 verplichting legt een ACM in totaal een boete op van EUR 2.000.000.
4. In dit besluit wordt eerst ingegaan op de achtergrond en het verloop van de procedure (paragraaf 2), de inhoud van het onderzoeksrapport (paragraaf 3) en de relevante feiten (paragraaf 4). Vervolgens wordt het juridisch kader (paragraaf 5), de zienswijze van KPN (paragraaf 6) weergegeven. Daarna zet ACM haar overwegingen uiteen (paragraaf 7). In de daarop volgende paragraaf wordt ingegaan op de overtreder (paragraaf 8) en de vaststelling van de hoogte van de boetes (paragraaf 9). Tot slot volgt het dictum (paragraaf 10).
T 070 722 20 00 | F 070 722 23 55 info@acm.nl | www.acm.nl | www.consuwijzer.nl
## Muzenstraat 41 | 2511 WB Den Haag Postbus 16326 | 2500 BH Den Haag
## Besluit Openbaar
## 2. Achtergrond en verloop van de procedure
5. Op 13 april 2012 heeft Tele2 Nederland B.V. (hierna: Tele 2) aan ACM het signaal afgegeven dat KPN tot en met 31 maart 2012 mogelijk de ND-5 verplichting voor het aanbieden van de SDF-diensten heeft overtreden.
6. Het onderzoek heeft geresulteerd in een rapport 1 (hierna: het onderzoeksrapport) dat door toezichthoudend ambtenaren verbonden aan ACM op 15 augustus 2014 is uitgebracht. Bij brief van dezelfde datum is dit onderzoeksrapport aan KPN toegezonden. 2
7. Bij brief van 3 september 2014 heeft ACM het aan het onderzoeksrapport ten grondslag liggende dossier aan KPN toegestuurd. 3
8. Op 16 oktober 2014 heeft op het kantoor van ACM een hoorzitting plaatsgevonden. Ten behoeve van deze hoorzitting heeft KPN op 25 september 2014 een schriftelijke zienswijze op het onderzoeksrapport ingediend bij ACM (hierna: zienswijze KPN).
9. Bij brief van 31 oktober heeft ACM aan KPN gevraagd om de relevante omzetgegevens van de SDF downstreamdiensten per maand weer te geven. 4
10.  Van voornoemde hoorzitting is een verslag opgemaakt (hierna: verslag hoorzitting) dat op 14 november 2014 aan KPN is toegestuurd. 5 KPN heeft bij brief van 25 november 2014 op het verslag gereageerd.
## 3. Het onderzoeksrapport
11.  Aanleiding voor het onderhavige besluit vormen de overtredingen zoals uiteengezet in het onderzoeksrapport. In dit onderzoeksrapport wordt geconstateerd dat KPN de transparantieverplichting en de non-discriminatieverplichting en de ND-5 verplichting heeft overtreden zoals die op grond van artikel 6a.2 jo. artikel 6a.9 en artikel 6a.8 van de Tw zijn opgelegd aan KPN in het marktanalysebesluit Ontbundelde toegang 2010 6 (hierna: ULL 2010)
1 ACM/DTVP/2013/206111.
3 ACM/DJZ/2014/204902.
2 ACM/DTVP/2014/204429.
4 ACM/DJZ/2014/206244.
6 OPTA/AM/2010/201285 van 27 april 2010. Het marktanalysebesluit Ontbundelde toegang 2010 is op 1 januari 2009 in werking getreden. Bij uitspraak van 3 mei 2011 heeft het College van Beroep voor het bedrijfsleven (hierna: CBb) het marktanalysebesluit Ontbundelde toegang 2010 vernietigd. In deze uitspraak heeft het CBb bepaald dat de
5 ACM/DJZ/2014/206445.
&lt;!-- image --&gt;
2/22
## Besluit Openbaar
en het marktanalysebesluit Ontbundelde toegang 2011 (hierna: ULL 2011). 7 KPN heeft de transparantieverplichting overtreden doordat zij in de onderzochte periode geen toereikend referentieaanbod bekend heeft gemaakt voor SDF-backhaul. Daarnaast heeft KPN de nondiscriminatieverplichting en ND-5 verplichting overtreden. KPN heeft namelijk een variant van SDF-backhaul alleen aan haar downstream gelegen bedrijven aangeboden en geleverd. Verder heeft KPN haar eigen downstreambedrijf een wholesaletarief in rekening gebracht waardoor andere afnemers als gevolg van margeuitholling op de downstreammarkten niet onder concurrerende voorwaarden hun diensten hebben kunnen aanbieden.
## 4. Overige omstandigheden van feitelijke aard
12.  Het koperen aansluitnetwerk van KPN betreft de laatste (paar) honderd meter van de aansluitlijnen. Dit is het gedeelte tussen de eindgebruiker en de wijkcentrale (hierna: MB-locatie). Tussen de eindgebruiker en de MB-locatie bevinden zich vaak kleinere SDF-locaties (hierna: straatkasten). KPN's netwerk bevat circa 1.300 MB-locaties en circa 28.000 straatkasten.
13.  Met ontbundelde toegang tot het aansluitnetwerk verkrijgt een andere telecomaanbieder dan KPN (hierna: alternatieve aanbieder of wholesaleafnemer) toestemming voor het gebruik van (een deel van) het frequentiespectrum van één of meerdere aansluitlijnen van KPN. De alternatieve aanbieder dient daarvoor doorgaans zijn netwerk uit te rollen naar de betreffende netwerklocatie van KPN en daar zijn eigen actieve apparatuur te plaatsen. Er bestaan twee verschillende soorten ontbundelde toegang tot het kopernetwerk. Enerzijds kunnen alternatieve aanbieders op de MB-locaties MDF-toegang afnemen van KPN. Anderzijds kunnen zij op de straatkasten SDF-toegang afnemen. In Figuur 1 is met cursieve tekst aangegeven op welke locaties in het netwerk MDF- en SDF-toegang bestaan.
14.  De alternatieve aanbieder kan vervolgens op basis van ontbundelde toegang zowel eindgebruikers als wholesaleafnemers (eveneens telecomaanbieders) telecomdiensten leveren.
verplichtingen van het bestreden besluit in stand kunnen blijven voorzover deze geen betrekking hebben op zakelijk glasvezel.
7 OPTA/AM/2011/202886 van 29 december 2011.
&lt;!-- image --&gt;
3/22
## Besluit Openbaar
Figuur 1: Weergave netwerk KPN
&lt;!-- image --&gt;
15.  MDF-toegang wordt sinds 2000 op grote schaal afgenomen door alternatieve aanbieders, terwijl SDF-toegang vanaf 2009 in toenemende mate door KPN in Nederland wordt uitgerold en tot op heden alleen door haarzelf wordt afgenomen. Tot en met het eerste kwartaal van 2012 heeft KPN naar circa 1,3 miljoen eindgebruikerslocaties SDF-toegang uitgerold. Met SDF-toegang kunnen onder meer hogere downloadsnelheden worden behaald, omdat de koperlijn tussen de MB-locatie en de straatkast wordt vervangen door glasvezel en de daarmee resterende koperlijn (tussen de straatkast met de actieve apparatuur en de eindgebruiker) korter is. Dit leidt er bijvoorbeeld toe dat aanbieders snellere internettoegangsdiensten en hogere kwaliteit TVdiensten over het kopernetwerk kunnen leveren. Om SDF-toegang af te nemen, moeten alternatieve aanbieders echter gebruik kunnen maken van de glasvezelverbinding tussen de wijkcentrale en de straatkast. Deze verbindingen worden SDF-backhaul genoemd en zijn in Figuur 1 weergegeven met een groene of rode kleur.
## Besluit Openbaar
16.  Zonder SDF-backhaul zijn alternatieve aanbieders technisch niet in staat om zelf SDF-toegang af te nemen en daarmee hogere snelheden te realiseren. In het ULL 2010 en het ULL 2011 is op basis van (extern) onderzoek geconcludeerd dat KPN de enige aanbieder in Nederland is die SDF-backhaul aanbiedt tussen straatkasten en MB-locaties en dat hiervoor geen alternatieven beschikbaar zullen komen.  Alternatieve aanbieders hebben namelijk niet de schaalgrootte om de relatief hoge aanlegkosten van SDF-backhaul terug te verdienen. Om die reden zijn alternatieve aanbieders afhankelijk van KPN voor het afnemen van SDF-backhaul. Op grond van de marktanalysebesluiten Ontbundelde toegang is KPN daarom verplicht gesteld om SDFbackhaul als gereguleerde bijbehorende faciliteit aan te bieden aan alternatieve aanbieders.
17.  Deze alternatieve aanbieders hebben aangegeven dat zij veelal behoefte zullen hebben aan SDF-backhaul waarmee de straatkast wordt verbonden met een punt op of nabij een MB-locatie (SDF-backhaul MB), omdat zij al zijn uitgerold naar MB-locaties voor de afname van MDFtoegang. In die gevallen is het voor alternatieve aanbieders niet noodzakelijk om het uitgebreidere en duurdere SDF-backhaul MC af te nemen. Dit is weergegeven in Figuur 1.
## 5. Juridisch kader
## 5.1 Transparantieverplichting
18.  In de Tw is bepaald, voor zover hier van belang:
## ʺ Artikel 6a.2
1. Indien uit een onderzoek als bedoeld in artikel 6a.1, derde of vierde lid, blijkt dat een relevante markt onderscheidenlijk een transnationale markt niet daadwerkelijk concurrerend is, stelt de Autoriteit Consument en Markt vast welke ondernemingen die openbare elektronische communicatienetwerken, bijbehorende faciliteiten of openbare elektronische communicatiediensten aanbieden, beschikken over een aanmerkelijke marktmacht, en: a. legt zij ieder van hen, voor zover passend, verplichtingen als bedoeld in de artikelen 6a.6 tot en met 6a.10 of 6a.12 tot en met 6a.15 op;
(…)
Artikel 6a.9 (…) 2. De Autoriteit Consument en Markt kan op grond van artikel 6a.2, eerste lid, de verplichting opleggen om een referentieaanbod bekend te maken waarin een omschrijving is opgenomen van door de Autoriteit Consument en Markt te bepalen vormen van toegang. Het referentieaanbod is opgesplitst naar de onderscheiden vormen van toegang en de daarbij gehanteerde tarieven en andere voorwaarden.
- (…)'
&lt;!-- image --&gt;
5/22
## Besluit Openbaar
19.  In het dictum van het ULL 2010 is bepaald, voor zover hier van belang:
ʺ Transparantieverplichting en het referentieaanbod
x. KPN dient op grond van artikel 6a.2 van de Tw juncto artikel 6a.9, tweede lid, van de Tw binnen 30 dagen na inwerkingtreding van dit besluit een referentieaanbod voor de ontbundelde toegang tot het aansluitnetwerk van KPN en bijbehorende faciliteiten bekend te maken en regelmatig bij te werken. Het referentieaanbod bevat ten minste de hieronder opgesomde punten en een beschrijving van de verschillende onderdelen en respectieve voorwaarden en tarieven.
(…)ʺ
20.  In het dictum van het ULL 2011 is bepaald, voor zover hier van belang:
2. ʺ Transparantieverplichting en het referentieaanbod
XVI. Op grond van artikel 6a.2 juncto artikel 6a.9, tweede lid, van de Tw legt het college aan KPN een algemene transparantieverplichting op en de verplichting om een referentieaanbod bekend te maken.
XVII. Op grond van artikel 6a.9, vijfde lid, van de Tw verbindt het college aan de verplichting om een referentieaanbod te publiceren de hierna genoemde voorschriften:
a. KPN dient het referentieaanbod binnen één maand na de inwerkingtreding van dit besluit bekend te maken;
(…)ʺ
## 5.2 Non-discriminatieverplichting en ND-5 verplichting
21.  In de Tw is bepaald, voor zover hier van belang:
ʺ  Artikel 6a.8
De Autoriteit Consument en Markt kan op grond van artikel 6a.2, eerste lid, voor door de Autoriteit Consument en Markt te bepalen vormen van toegang de verplichting opleggen om deze toegang onder gelijke omstandigheden onder gelijke voorwaarden te verlenen. Deze verplichting houdt tevens in dat de onderneming gelijke voorwaarden toepast als die welke onder gelijke omstandigheden gelden voor haarzelf, haar dochterondernemingen of haar partnerondernemingen.'
22.  In het dictum van het ULL 2010 is bepaald, voor zover hier van belang:
ʺ Non-discriminatieverplichting
iv. KPN dient op grond van artikel 6a.2 van de Tw juncto artikel 6a.8 van de Tw ontbundelde toegang tot het aansluitnetwerk van KPN en bijbehorende diensten en faciliteiten onder gelijke omstandigheden onder gelijke voorwaarden te verlenen. Deze verplichting houdt tevens in dat KPN gelijke voorwaarden toepast bij levering aan externen als die welke onder gelijke omstandigheden gelden voor haarzelf, haar dochtermaatschappijen of haar partnerondernemingen. De verplichting heeft betrekking op alle voorwaarden, derhalve ook
&lt;!-- image --&gt;
6/22
## Besluit Openbaar
op tariefvoorwaarden.
(…)
ix. KPN dient ten aanzien van de tariefdifferentiatie de volgende gedragsregels na te leven:
(…)
5. tariefdifferentiatie is niet toegestaan voor zover dit in feite betekent dat KPN haar eigen downstream-bedrijf (waaronder het retailbedrijf van KPN) een wholesaletarief in rekening brengt waardoor andere afnemers als gevolg van marge-uitholling op de downstream-markten niet onder concurrerende voorwaarden hun diensten kunnen aanbieden.ʺ
23. In de overwegingen van het ULL 2010 is vermeld, voor zover hier van belang:
935. Een level playing field is mogelijk als KPN's downstreamdiensten (dit kan een retaildienst zijn, maar ook een wholesaledienst zoals WBT of een laag- of hoogcapacitaire huurlijn)) prijstechnisch repliceerbaar zijn. (…)
936. Om te beoordelen of  een downstreamdienst repliceerbaar is op basis van KPN's voortbrengingswijze stelt het college als voorwaarde dat de downstreamtariefstelling van KPN in ieder geval de volgende kosten dient te dekken om te kunnen spreken van een prijstechnisch repliceerbare downstreamdienst:
- de inkoopkosten van gereguleerde wholesale diensten gebaseerd op de (non-
3. discriminatoire) tarieven uit het referentie-aanbod; (…)
937. Pas als bovenstaande kosten worden terugverdiend wordt het voordeel dat KPN heeft van haar verticale integratie voldoende geremedieerd. In geval het tarief van een downstreamdienst niet repliceerbaar is c.q. niet de bovenstaande kosten dekt, zal het college concluderen dat KPN zichzelf heeft bevoordeeld door de gereguleerde wholesale bouwstenen (impliciet) tegen lagere tarieven aan zichzelf te leveren dan opgenomen in het referentie-aanbod. Door zichzelf lagere tarieven te rekenen dan andere partijen heeft KPN de non-discriminatieverplichting overtreden. (…)ʺ
24.  In het dictum van het ULL 2011 is bepaald, voor zover hier van belang:
ʺ Non-discriminatieverplichting
IX. Op grond van artikel 6a.2 juncto artikel 6a.8 van de Tw legt het college aan KPN de verplichting op om toegang onder gelijke omstandigheden onder gelijke voorwaarden te verlenen (non-discriminatieverplichting). De verplichting heeft betrekking op alle voorwaarden, waaronder ook de tariefvoorwaarden. (…)
- XIV. Als onderdeel van de non-discriminatieverplichting legt het college aan KPN de verplichting op om een minimale marge te hanteren tussen diensten in de markt voor ontbundelde toegang tot het aansluitnetwerk en diensten op de downstream gelegen wholesalemarkten (ND-5 toets). De inhoud van deze verplichting is uitgewerkt in paragraaf 8.3.2.
&lt;!-- image --&gt;
7/22
## Besluit Openbaar
XV. Als onderdeel van de ND-5 toets legt het college aan KPN de volgende voorschriften op: (…)
- c. Implementatietermijnen ND-5 verplichting
Vanaf het moment van inwerkingtreding van onderhavig besluit zal KPN enige tijd nodig hebben om de impact van ND-5 op zowel haar actief afneembaar portfolio (list prices, uitstaande offertes) als haar installed base (lopende contracten) te onderzoeken. Het college acht een termijn van drie maanden redelijk voor het doorvoeren van eventuele prijsaanpassingen ten behoeve van het actief afneembaar portfolio. Voor de eventuele correcties van de installed base acht het college een termijn van negen maanden redelijk.ʺ
25.  In de overwegingen van het ULL 2011 is vermeld, voor zover hier van belang: ʺ 559. Indien KPN's downstreamdiensten (dat kan een retaildienst of een wholesaledienst zijn) te allen tijde en overal (dus onafhankelijk van de locatie van de betreffende aanbieding of levering) prijstechnisch repliceerbaar zijn, wordt een level playing field gecreëerd. (…)
565. In aansluiting op het voorgaande geldt dat om te beoordelen of een downstreamdienst repliceerbaar is op basis van KPN's voortbrengingswijze, de volgende kostenelementen relevant zijn:
A. de inkoopkosten van de gereguleerde wholesalebouwstenen gebaseerd op de
(gepubliceerde) tarieven uit - indien beschikbaar - het referentieaanbod; (…)
569. Pas indien bovenstaande kosten door KPN worden terugverdiend, wordt het voordeel dat KPN heeft van haar verticale integratie voldoende geremedieerd. In het geval de tariefstelling van een downstreamdienst niet repliceerbaar is (dus niet bovenstaande kosten dekt), zal het college concluderen dat KPN zichzelf heeft bevoordeeld door de gereguleerde wholesalebouwstenen tegen lagere tarieven aan zichzelf te leveren of aan te bieden dan opgenomen in het referentieaanbod. Door zichzelf lagere tarieven te rekenen dan andere partijen overtreedt KPN de non-discriminatieverplichting.'
## 6. Zienswijze KPN
- I. Transparantieverplichting
26.  KPN is primair van mening dat zij de transparantieverplichting niet heeft overtreden. KPN heeft in haar zienswijze naar voren gebracht dat zij - vóór de inwerkingtreding van het ULL 2010 - samen met andere marktpartijen deel nam aan de zogenoemde Industry Group Sub Loop Unbundling. KPN verwijst naar de klantpresentatie van 13 juli 2006 en de
&lt;!-- image --&gt;
8/22
## Besluit Openbaar
pilotovereenkomst (bijlage 1 van de zienswijze). KPN heeft de deelnemers van deze werkgroep bij brief van 10 november 2006 (bijlage 2 van de zienswijze) uitgenodigd voor deelname aan een pilot SDF backhaul. Blijkens deze brief heeft KPN destijds tevens nadere informatie over de pilot SDF backhaul opgenomen op haar website. Volgens de brief gaat het daarbij onder meer om een dienstbeschrijving en een indicatief tariefoverzicht. KPN stelt dat één van de toen aangeboden varianten SDF backhaul op basis van dark fiber betrof waarbij werd uitgekoppeld naar MB-niveau. Er is volgens KPN dus wel degelijk een aanbod SDF backhaul MB gepubliceerd. Maar dit aanbod is mogelijk ter gelegenheid van de herinrichting van de website van KPN in september 2010 niet meer hierop teruggeplaatst.
27.  Van belang voor de feiten en de achtergrond acht KPN voorts dat [VERTROUWELIJK] de enige marktpartij was die serieuze interesse heeft getoond in de afname van SDF diensten maar uiteindelijk heeft besloten geen SDF diensten af te nemen. De aanvraag van [VERTROUWELIJK] van eind 2013 waar het rapport naar verwijst, verandert aan die situatie niets. De aanvraag viel samen met het begin van het onderzoek naar de nieuwe marktanalyse voor ULL en kan daar niet los van worden gezien. KPN heeft twijfels of [VERTROUWELIJK] serieus geïnteresseerd was in de afname van SDF diensten.
- II. Non-discriminatieverplichting
28.  KPN is primair van mening dat zij de non-discriminatieverplichting niet heeft overtreden. Zij heeft naar eigen zeggen in 2006 wel een aanbod SDF backhaul MB op de website gepubliceerd en dat aanbod is nooit ingetrokken. Maar dit aanbod is mogelijk ter gelegenheid van de herinrichting van de website in september 2010 niet meer teruggeplaatst omdat [VERTROUWELIJK] alleen belangstelling had voor de variant SDF backhaul GT op MC niveau en andere marktpartijen hadden überhaupt geen interesse.
## III. ND-5 verplichting
29.  De constatering in het rapport dat KPN de ND-5 verplichting heeft overtreden, is volgens KPN gebaseerd op onjuiste uitgangspunten. Volgens KPN was er (a) geen gereguleerd inkooptarief voor SDF backhaul beschikbaar. ACM heeft volgens KPN verzuimd een kostprijsrapportage in het kader van de tariefregulering te beoordelen die reeds op 31 maart 2009 was ingediend. ACM was er al die tijd van op de hoogte dat in het op de website gepubliceerde referentieaanbod voor SDF backhaul MC geen tarieven waren opgenomen. KPN was in afwachting van de beoordeling en ACM heeft KPN er niet op gewezen dat het ontbreken van een tarief overtredingen zou opleveren. Volgens KPN heeft ACM (b) verder aangegeven dat wanneer KPN niet dezelfde voortbrengingswijze heeft als andere partijen, KPN de kosten dient op te nemen die voor haar voortbrengingswijze gelden. KPN verwijst in dit verband naar een e-mail van OPTA 13 juni 2012 (bron 15 van het onderzoeksrapport). Volgens KPN heeft ACM (c) geen voorschriften /
&lt;!-- image --&gt;
## Besluit Openbaar
'guidance' gegeven over de wijze waarop de inkoopkosten van gereguleerde wholesalediensten in de ND-5 toetsen moeten worden versneden. Het ULL 2010 besluit bevatte voorts geen enkel voorschrift dan wel algemeen uitgangspunt voor de wijze waarop dergelijke componenten moeten worden behandeld. KPN is over de inrichting van de ND-5 toetsen altijd heel transparant geweest zoals ook blijkt uit bijlage 9 van de zienswijze die een presentatie behelst over het LRIC model. Ook heeft KPN ieder kwartaal ND-5 toetsen aan ACM verstrekt maar ACM heeft daarin nooit aanleiding gezien om KPN vragen te stellen.
## 7.  Overwegingen
30.  In deze paragraaf beoordeelt ACM of de in het rapport beschreven overtredingen bewezen zijn. In paragrafen 7.1 en verder wordt ingegaan op de overtreding van de transparantieverplichting. Paragrafen 7.2 en verder bevatten de overwegingen van ACM over de overtreding van de nondiscriminatieverplichting en de ND-5 verplichting.
## 7.1 Transparantieverplichting
31.  Op grond van de in het ULL 2010 en 2011 opgenomen transparantieverplichting moet KPN een referentieaanbod voor de toegang tot het aansluitnetwerk en bijbehorende faciliteiten zoals SDFbackhaul bekendmaken. Aan deze verplichting zijn in het ULL 2010 en 2011 (nadere) voorschriften verbonden met betrekking tot de mate van detaillering en de wijze van bekendmaking.
## 7.1.1 Overtreding
32.  ACM stelt vast dat KPN pas op 10 februari 2012 een referentieaanbod SDF backhaul MB bekend heeft gemaakt. In de eerste plaats wijst ACM in dit verband op het nieuwsbericht van KPN van deze datum (bron 4 van het onderzoeksrapport). Uit dit nieuwsbericht volgt dat KPN pas vanaf 10 februari 2012 de variant SDF backhaul MB aanbiedt aan andere marktpartijen. Volgens het nieuwsbericht heeft KPN in verband met de introductie van de nieuwe variant SDF backhaul een nieuwe tarievenlijst op internet gepubliceerd. ACM wijst verder op de brief van KPN van 7 mei 2012 (bron 10 van het onderzoeksrapport) en de e-mail van KPN van 25 mei 2012 (bron 12 van het onderzoeksrapport). In deze documenten, voor zover hier van belang, heeft KPN expliciet vermeld dat tot 10 februari 2012 het referentieaanbod enkel bestond uit SDF backhaul MC.
## Besluit Openbaar
33.  Voor zover KPN in haar zienswijze naar voren heeft gebracht dat zij in 2006 een aanbod SDF backhaul MB bekend heeft gemaakt, overweegt ACM het volgende. Het aanbod betrof blijkens de brief van KPN van 10 november 2006 (bijlage 2 van de zienswijze) een pilot met een projectmatig en tijdelijk karakter. Dit karakter blijkt ook uit de bij de zienswijze gevoegde pilotovereenkomst (bijlage 1b van de zienswijze). Hierin is vermeld dat de pilot vooruitloopt op een eventuele reguliere landelijke introductie van SDF backhaul. Tijdens de pilot worden diverse technische aspecten van de dienstverlening uitgetest. Er wordt volgens de pilotovereenkomst verder een eenmalig bedrag voor maximaal 10 straatkasten in rekening gebracht. Mede gelet op deze bijzonderheden kan publicatie van deze pilot naar het oordeel van ACM niet worden beschouwd als de bekendmaking van een toereikend referentieaanbod SDF backhaul MB.
34.  Gezien het voorgaande concludeert ACM dat KPN de transparantieverplichting heeft overtreden.
## 7.1.2 Duur overtreding
35.  Met betrekking tot de duur van de overtreding van de transparantieverplichting overweegt ACM het volgende. Het ULL 2010 is op 1 januari 2009 in werking getreden. Uit onderdeel x. van het dictum van dit marktanalysebesluit volgt dat KPN binnen 30 dagen na inwerkingtreding van dit besluit het referentieaanbod bekend dient te maken. KPN diende op grond van het ULL 2010 dan ook uiterlijk 30 januari 2009 het referentieaanbod bekend te maken.
36.  Het ULL 2011 is op 1 januari 2012 in werking getreden onder gelijktijdige intrekking van de wholesaleverplichtingen van het ULL 2010. Uit onderdeel XVII, sub a, van het dictum van dit markanalysebesluit volgt dat KPN binnen één maand na de inwerkingtreding van dit besluit het referentieaanbod bekend dient te maken. KPN diende op grond van het ULL 2011 dan ook uiterlijk 31 januari 2012 het referentieaanbod bekend te maken.
37.  In het rapport is vermeld dat de overtreding van de transparantieverplichting heeft geduurd van 30 januari 2009 tot en met 10 februari 2012. Vanwege de hiervoor genoemde implementatietermijn gold de eerste maand na inwerkingtreding van het ULL 2011 - dat wil zeggen van 1 januari 2012 tot 31 januari 2012 - geen verplichting voor KPN om een referentieaanbod bekend te maken. Op 10 februari 2012 werd de overtreding van de transparantieverplichting verder beëindigd door KPN. Gezien het voorgaande moet worden geconcludeerd dat de overtreding van de transparantieverplichting korter heeft geduurd dan is vermeld in het rapport, namelijk van (i) 30 januari 2009 tot en met 31 december 2011 en van (ii) 31 januari 2012 tot en met 9 februari 2012.
## Besluit Openbaar
## 7.2 Non-discriminatieverplichting en ND-5 verplichting
38.  Op grond van de in het ULL 2010 en 2011 opgenomen non-discriminatieverplichting dient KPN de toegang tot het aansluitnetwerk en bijbehorende faciliteiten zoals SDF-backhaul onder gelijke omstandigheden en onder gelijke voorwaarden te verlenen. Deze verplichting houdt tevens in dat tariefdifferentiatie niet is toegestaan voor zover dit in feite betekent dat KPN haar eigen downstream gelegen bedrijven een wholesaletarief in rekening brengt waardoor andere afnemers als gevolg van margeuitholling op de downstreammarkten niet onder concurrerende voorwaarden hun diensten kunnen aanbieden. Die laatste specifieke verplichting betreft de ND-5 verplichting oftewel het verbod van margeuitholling.
39.  Het verbod van margeuitholling is nader geoperationaliseerd in het ULL 2010 en 2011. Deze operationalisering brengt mee dat KPN's downstreamdiensten prijstechnisch repliceerbaar moeten zijn. Om te beoordelen of een downstreamdienst repliceerbaar is op basis van KPN's voortbrengingswijze dient de downstreamtariefstelling van KPN, voor zover hier van belang, in ieder geval de inkoopkosten van de gereguleerde wholesalebouwstenen gebaseerd op de tarieven uit het referentieaanbod te dekken. Pas als deze kosten worden terugverdiend wordt het voordeel dat KPN heeft van verticale integratie voldoende geremedieerd. In het geval het tarief van een downstreamdienst voormelde kosten niet dekt, wordt geconcludeerd dat KPN zichzelf heeft bevoordeeld door een gereguleerde wholesalebouwsteen (impliciet) tegen een lager tarief aan zichzelf te leveren dan opgenomen in het referentieaanbod.
40.  ACM overweegt dat de non-discriminatieverplichting is gebaseerd op artikel 6a.8 van de Telecommunicatiewet. Deze verplichting houdt tevens de ND-5 verplichting oftewel het verbod van margeuitholling in. Hoewel de non-discriminatieverplichting en de ND-5 verplichting inhoudelijk niet op één lijn kunnen worden gesteld, strekken beide ertoe te voorkomen dat KPN haar aanmerkelijke marktmacht misbruikt door discriminatoir te handelen. Dit verband komt ook tot uitdrukking door de woorden ʺals onderdeel van de non-discriminatieverplichting legt het college de verplichting op om een minimale marge te hanteren …ʺ in onderdeel XIV van het dictum van het ULL 2011. Vanwege dit verband beoordeelt ACM de overtreding van de nondiscriminatieverplichting en ND-5 verplichting in onderlinge samenhang.
## 7.2.1 Overtreding
41.  ACM stelt vast dat KPN zelf gebruik heeft gemaakt van SDF backhaul MB, maar dat zij deze backhaulvariant pas vanaf 10 februari 2012 aan andere marktpartijen heeft aangeboden en voor hen afneembaar was. In dit verband wijst ACM op de brief van KPN van 7 mei 2012 (bron 10 van het onderzoeksrapport) waarin is vermeld dat KPN voor de eigen voortbrengingswijze gedurende de periode 1 januari 2009 tot en met 31 maart 2012 gebruik heeft gemaakt van een dark fiber component die uitgekoppeld wordt op MB-niveau. Verder wijst ACM op hetgeen
## Besluit Openbaar
hiervoor in paragraaf 7.1.1 is vermeld over het tijdstip waarop KPN een toereikend referentieaanbod bekend heeft gemaakt.
42.  Specifiek met betrekking tot de ND-5 verplichting stelt ACM vast dat KPN tot april 2012 de kosten van SDF backhaul in haar ND-5 toetsen als lange termijn incrementele kosten (hierna: LRIC) heeft opgenomen. ACM wijst in dit verband op de brief van KPN van 7 mei 2012 (bron 10 van het onderzoeksrapport) waarin zij dit heeft bevestigd. SDF backhaul is echter een gereguleerde wholesalebouwsteen. Overeenkomstig het ULL 2010 en 2011 had deze wholsalebouwsteen in de ND-5 toetsen van KPN moeten worden gebaseerd op de tarieven uit het referentieaanbod.
43.  Hieraan doet niet af dat, zoals KPN in haar zienswijze heeft aangevoerd, ACM geen tariefplafond of kostentoerekeningssysteem voor SDF-backhaul heeft vastgesteld. De uit het ULL 2010 en 2011 voortvloeiende verplichting tot tariefregulering staat los van de verplichting voor KPN om tijdig een referentieaanbod bekend te maken voor SDF backhaul. In een toereikend referentieaanbod zouden tarieven voor alle backhaulvarianten zijn opgenomen door KPN. Dus niet alleen voor SDF backhaul MC, maar ook voor SDF backhaul MB. Overigens valt op dat KPN in haar ND-5 toetsen tot april 2012 evenmin met het wel beschikbare tarief voor SDF-backhaul MC heeft gerekend.
44.  Gezien het voorgaande concludeert ACM dat KPN de non-discriminatieverplichting en de ND-5 verplichting heeft overtreden.
## 7.2.2 Duur overtreding
45.  Met betrekking tot de duur van de overtreding van de non-discriminatieverplichting en de ND-5 verplichting overweegt ACM het volgende. Het ULL 2010 is op 1 januari 2009 in werking getreden. In dit marktanalysebesluit is niet voorzien in implementatietermijnen voor de nondiscriminatieverplichting en de ND-5 verplichting. KPN moest deze verplichtingen op grond van het ULL 2010 dan ook per 1 januari 2009 in acht nemen.
46.  Het ULL 2011 is op 1 januari 2012 in werking getreden onder gelijktijdige intrekking van de wholesaleverplichtingen van het ULL 2010. In het ULL 2011 is niet voorzien in een implementatietermijn voor de non-discriminatieverplichting. Voor de ND-5 verplichting is wel voorzien in een implementatietermijn. Uit onderdeel XV, sub c, van het dictum van dit markanalysebesluit volgt dat KPN een termijn van drie maanden, dat wil zeggen van 1 januari 2009 tot en met 31 maart 2009, heeft voor het doorvoeren van eventuele prijsaanpassingen ten behoeve van het actief afneembare portfolio (list prices, uitstaande offertes). Voor eventuele correcties van de installed base (lopende contracten) heeft KPN een termijn van negen
## Besluit Openbaar
maanden, dat wil zeggen van 1 januari 2009 tot en met 30 september 2009.
47.  In het rapport is vermeld dat de overtreding van de non-discriminatieverplichting heeft geduurd van 30 januari 2009 tot en met 10 februari 2012. Zoals hiervoor is uiteengezet, moest KPN de non-discriminatieverplichting op grond van het ULL 2010 en 2011 gedurende deze hele termijn in acht te nemen. Op 10 februari 2012 werd de overtreding van de betreffende verplichting echter beëindigd door de bekendmaking van een toereikend en derhalve afneembaar referentieaanbod door KPN.
48.  Verder is in het rapport vermeld dat de overtreding van de ND-5 verplichting heeft geduurd van 9 oktober 2010 tot en met 31 maart 2012. Vanwege de hiervoor genoemde implementatietermijnen in het ULL 2011 gold de ND-5 verplichting gedurende de periode 1 januari 2012 tot en met 31 maart 2012 echter niet, althans niet ten volle.
49.  Gezien</t>
  </si>
  <si>
    <t>[...] iminatieverbod. 15 Zie uitspraak van het HvJ van 9 oktober 2008, zaak C-239/07 (Sabatauskas e.a.) en de de Conclusie van de Adv. Gen. Kokott van 12 juni 2008, zaak C-239/07 (Sabatauskas e.a.). ## 5. Dictum 46. De Autoriteit Consument en Markt keurt de van kracht zijnde methode van Huntsman Holland B.V. voor de berekening van de tarieven goed. Den Haag, Datum: 29-1-2018 w.g. Autoriteit Consument en Markt namens deze, dr. F.J.H. Don bestuurslid [...]</t>
  </si>
  <si>
    <t>ACM__sanctie_14603_boete-leidinggevende-burg-heer-d-voor-kartelafspraken-2015-06-25.txt</t>
  </si>
  <si>
    <t>ACM__ontheffing_besluit-ter-goedkeuring-van-de-methode-van-huntsman.txt::Rechtsobject</t>
  </si>
  <si>
    <t>methode</t>
  </si>
  <si>
    <t>methode [39016:39024]</t>
  </si>
  <si>
    <t>methode [39016:39023]</t>
  </si>
  <si>
    <t>[...] 2008, zaak C-239/07 (Sabatauskas e.a.) en de de Conclusie van de Adv. Gen. Kokott van 12 juni 2008, zaak C-239/07 (Sabatauskas e.a.). ## 5. Dictum 46. De Autoriteit Consument en Markt keurt de van kracht zijnde methode van Huntsman Holland B.V. voor de berekening van de tarieven goed. Den Haag, Datum: 29-1-2018 w.g. Autoriteit Consument en Markt namens deze, dr. F.J.H. Don bestuurslid Tegen dit besluit kan degene wiens b [...]</t>
  </si>
  <si>
    <t>ACM__ontheffing_openbare-versie-besluit-universiteit-twente-gas.txt::Ontvanger</t>
  </si>
  <si>
    <t>Universiteit Twente</t>
  </si>
  <si>
    <t>universiteit twente</t>
  </si>
  <si>
    <t>Universiteit Twente [36187:36206]</t>
  </si>
  <si>
    <t>## Besluit Openbaar
Ons kenmerk:
ACM/DJZ/2015/203329\_OV
Zaaknummer:
14.0705.27
Datum:
Besluit van de Autoriteit Consument en Markt als bedoeld in artikel 56, aanhef en onder a, en artikel 89 van de Mededingingswet.
## Inhoudsopgave
|   1 | Inleiding ................................................................................................................................. 2   |
|-----|-------------------------------------------------------------------------------------------------------------------------------------------------|
|   2 | Procedure .............................................................................................................................. 2      |
|   3 | Erkenning .............................................................................................................................. 3      |
|   4 | Feiten en omstandigheden .................................................................................................. 3                   |
|   5 | Juridisch kader ..................................................................................................................... 4         |
|   6 | Beoordeling ........................................................................................................................... 5       |
|   7 | Sanctie ................................................................................................................................... 6   |
|   8 | Besluit .................................................................................................................................... 9  |
&lt;!-- image --&gt;
1/9
T 070 722 20 00 | F 070 722 23 55 info@acm.nl | www.acm.nl | www.consuwijzer.nl Muzenstraat 41 | 2511 WB Den Haag Postbus 16326 | 2500 BH Den Haag
## Besluit Openbaar
## 1 Inleiding
1. Op 31 januari 2014 heeft de Directie Mededinging van de Autoriteit Consument en Markt (hierna: ACM) aan De Burg B.V. en daaraan gelieerde rechtspersonen (hierna tezamen: Burg), alsmede aan Carl Kühne KG (GmbH&amp;amp;Co) en daaraan gelieerde (rechts-)personen (hierna tezamen: Kühne) een rapport toegezonden wegens een vermoedelijke overtreding van artikel 6 van de Mededingingswet (hierna: Mw) en artikel 101 Verdrag betreffende de werking van de Europese Unie (hierna: VwEU) door deze ondernemingen. 1 De vermoedelijke overtreding bestond uit een overeenkomst en/of onderling afgestemde feitelijke gedraging tussen betrokken partijen die ertoe strekte de mededinging te beperken door de onderlinge status quo in afzetvolumes te handhaven van de verkoop van natuurazijn aan industriële afnemers in Nederland door middel van afstemming van offertes.
2. Dit rapport is ook toegezonden aan de natuurlijke personen van wie werd vermoed dat zij feitelijk leiding hebben gegeven aan die overtredingen, onder wie de heer [D].
3. Het onderhavige besluit betreft de heer [D].
4. Bijlage 1 bevat het besluit van ACM, kenmerk ACM/DJZ/2015/203320, waarin ACM heeft vastgesteld dat Burg en Kühne in de periode van 18 oktober 2001 tot en met juli 2012 artikel 6, eerste lid, Mw en artikel 101, eerste lid, VwEU hebben overtreden. Deze bijlage, inclusief de daarin gedefinieerde termen, maakt integraal onderdeel uit van dit besluit.
## 2 Procedure
5. Het in randnummer 1 van dit besluit vermelde rapport is op 31 januari 2014 overgedragen aan de Directie Juridische Zaken van ACM. De heer [D] heeft inzage gekregen in de bij het rapport behorende onderliggende stukken.
6. In juni 2014 is de heer [D] in gesprek getreden met ACM teneinde de mogelijkheden te verkennen om via een zogenaamd traject van vereenvoudigde afdoening tot een besluit naar aanleiding van voormeld rapport te komen.
1 Kenmerk ACM/DM/2014/200039.
&lt;!-- image --&gt;
## Besluit Openbaar
7. De heer [D] heeft vervolgens een verzoek ingediend tot vereenvoudigde afdoening van het rapport van 31 januari 2014.
## 3 Erkenning
8. De heer [D] heeft een schriftelijke verklaring ingediend met het oog op vereenvoudigde afdoening. Deze verklaring bevat:
2. -een duidelijke en ondubbelzinnige erkenning van de overtreding door Burg zoals omschreven in het besluit van ACM van 25 juni 2015 (bijlage I);
3. -een duidelijke en ondubbelzinnige erkenning van de feiten en omstandigheden en de juridische kwalificatie van het feitelijk leidinggeven aan de overtreding door Burg, zoals omschreven in het onderhavige besluit;
4. -een duidelijke en ondubbelzinnige erkenning dat hij hiervoor kwalificeert als overtreder in de zin van artikel 5:1 Awb; en,
5. -de bevestiging dat hij voldoende gelegenheid heeft gekregen om zijn standpunt in deze zaak aan ACM kenbaar te maken en voldoende gelegenheid heeft gekregen om het dossier in te zien.
9. De heer [D] heeft de verklaring ingediend onder voorbehoud dat de uiteindelijke boete die door ACM opgelegd wordt niet hoger is dan in de verklaring vermeld.
## 4 Feiten en omstandigheden
10.  De heer [D] heeft in de voor ACM relevante periode van 18 oktober 2001 tot en met juli 2012 verschillende ([VERTROUWELIJK])functie gehad binnen Burg. De heer [D] was gedurende deze periode [VERTROUWELIJK]. Daarnaast vervulde hij de functie van [VERTROUWELIJK] van [VERTROUWELIJK}, respectievelijk van [VERTROUWELIJK]. In deze respectievelijke functies had hij onder meer de [VERTROUWELIJK] voor natuurazijnverkopen binnen Burg.
11.  De heer [D] heeft in de hoedanigheid van zijn functie kennis verkregen van de verboden gedragingen waarbij Burg betrokken was met betrekking tot verkoop van natuurazijn aan industriële afnemers in Nederland.
&lt;!-- image --&gt;
3/9
## Besluit Openbaar
## 5 Juridisch kader
12.  Artikel 56 Mw luidt, voor zover van belang, als volgt: 1. Ingeval van overtreding van artikel 6, eerste lid (…), kan ACM de overtreder: a. een bestuurlijke boete opleggen; (…).
13.  Ingevolge artikel 5:1, derde lid, Algemene wet bestuursrecht (hierna: Awb) kunnen overtredingen in bestuursrechtelijke context worden begaan door natuurlijke personen en rechtspersonen. Voorts is artikel 51, tweede lid, van het Wetboek van Strafrecht (hierna: WvSr) van overeenkomstige toepassing, hetgeen inhoudt dat ook de feitelijk leidinggevende verantwoordelijk gehouden kan worden voor de overtredingen die door een rechtspersoon zijn begaan.
14.  Een natuurlijke persoon kan beboetbaar leiding geven aan een overtreding van een onderneming of ondernemersvereniging door actieve gedragingen, waarbij de overtreding door hem wordt bevorderd door middel van handelen, alsook door passieve gedragingen, waarbij de natuurlijke persoon de overtredingen doet bevorderen door nalaten. 2
15.  Uit de jurisprudentie volgen minimumcriteria wanneer in ieder geval sprake is van leiding geven in de zin van 51 WvSr:
'Van feitelijk leiding geven aan verboden gedragingen kan onder omstandigheden sprake zijn indien de desbetreffende functionaris - hoewel daartoe bevoegd en redelijkerwijs gehouden maatregelen ter voorkoming van deze gedragingen achterwege laat en bewust de aanmerkelijke kans aanvaardt dat de verboden gedragingen zich zullen voordoen. In deze situatie wordt de zojuist bedoelde functionaris geacht opzettelijk de verboden gedragingen te bevorderen'. 3
16.  De verplichting om maatregelen te nemen ter voorkoming van de verboden gedraging kan op meerdere natuurlijke personen tegelijkertijd rusten. 4 Het begrip leidinggever heeft niet alleen betrekking op de top van een onderneming. Het enkele feit dat er (hiërarchisch) hogere of meer verantwoordelijke leidinggevers zijn, staat er niet aan in de weg om als leidinggever te kunnen
2 Vergelijk Hoge Raad 20 november 1984, NJ 1985, 355. Zie ook recentelijk Rechtbank Rotterdam 16 mei 2012, LJN: BW 6221.
3 Hoge Raad 16 december 1986, NJ 1987, 321 ( Slavenburg II ), r.o. 5.1.1 .
4 Hoge Raad 16 juni 1981, NJ 1981, 586 ( Papa Blanca ), r.o. 8.
&lt;!-- image --&gt;
4/9
## Besluit Openbaar
worden aangemerkt. 5
17.  Het leidinggeven vereist volgens vaste jurisprudentie dat sprake is van (voorwaardelijk) opzet. Daartoe is in het geval van een overtreding van artikel 6, eerste lid, Mw voldoende dat sprake is van opzet op de gedragingen van de onderneming. 6 Niet van belang is of degene die kennis heeft van de gedragingen beoogt een norm te overtreden. Een dergelijke verzwaarde vorm van opzet is niet vereist. 7
## 6 Beoordeling
18.  ACM wijst erop dat zij in haar besluit met kenmerk ACM/DJZ/2015/203320, heeft vastgesteld dat Burg artikel 6, eerste lid, Mw en artikel 101, eerste lid, VwEU heeft overtreden. Met betrekking tot het feitelijk leidinggeven door de heer [D] oordeelt ACM als volgt.
19.  Gedurende de periode van de overtreding van Burg was de heer [D] in zijn verschillende functies [VERTROUWELIJK] voor de verkoop van natuurazijn van Burg. Hij was bovendien feitelijk de leidinggevende van de heer [E] die de contacten met Burg onderhield in het kader van de verboden gedragingen. In deze hoedanigheid had de heer [D] bij uitstek de hiërarchische en feitelijke positie en de daarbij behorende bevoegdheid om gedragingen die leidden tot de overtreding door Burg te voorkomen, dan wel vervolgens na aanvang van de overtreding deze te beëindigen of ongedaan te maken. Dit heeft de heer [D] echter nagelaten.
20.  Daarnaast heeft ACM op basis van de erkende feiten vastgesteld dat de heer [D] uit hoofde van zijn functie wetenschap had van de afspraken die de overtreding van Burg en Kühne vormden.
21.  ACM stelt daarmee tevens vast dat de heer [D] de gedragingen van de Burg bewust heeft aanvaard.
22.  Op 1 oktober 2007 is artikel 56 vierde lid Mw (oud) in werking getreden. Op grond van artikel
5 Hoge Raad 21 januari 1992, NJ 1992, 414 ( Roda JC ), r.o. 5.1; Hof Den Haag, 27 november 2007, LJN BB8756.
6 Hoge Raad 1 februari 2005, NJ 2006, 421 (SE Fireworks ), r.o. 7.5 en 7.6; Hoge Raad 12 januari 2010, RvdW 2010, 168, r.o. 2.5.
7 Hoge Raad 18 maart 1952, NJ 1952, 314, bevestigd in Hoge Raad 27 april 2007, NJ 2007, 544, r.o. 3.3.
&lt;!-- image --&gt;
5/9
## Besluit Openbaar
56, vierde lid, Mw (oud) is artikel 51, tweede en derde lid, Sr van overeenkomstige toepassing. Vanaf 1 juli 2009 berust dit op artikel 5:1, derde lid, Awb. Dit betekent dat een eventueel door ACM aan de heer [D] op te leggen bestuurlijke sanctie wegens de overtreding van Burg alleen betrekking kan hebben op de periode van 1 oktober 2007 tot en met juli 2012, hoewel de overtreding van Burg eerder aanving, namelijk op 18 oktober 2001.
## Conclusie
23.  Naar het oordeel van ACM staat op basis van het voorgaande vast dat de heer [D] wetenschap had van de verboden gedragingen van Burg en zelf bevoegd en daarmee gehouden was om een eind te maken aan die gedragingen. Vaststaat dat de heer [D] de gedragingen van Burg die in strijd zijn met de Mededingingswet niet heeft voorkomen, beëindigd of doen eindigen.
24.  Gelet op voorgaande stelt ACM vast dat de heer [D] in de periode van 1 oktober 2007 tot aan het einde van de overtreding van Burg, te weten eind juli 2012, feitelijk leiding heeft gegeven in de zin van artikel 56 Mw artikel 51 tweede lid, onder 2° Sr aan de overtreding van Burg.
25.  In het licht van het voorgaande is de heer [D] overtreder in de zin van artikel 5:1 lid, Awb. ACM stelt vast dat de heer [D] ook dienovereenkomstig heeft erkend.
## 7 Sanctie
## Bevoegdheid ACM
26.  Ingevolge artikel 57, eerste lid, Mw kan ACM, wanneer zij toepassing geeft aan artikel 51, tweede lid, onder 2, Sr, een boete opleggen van ten hoogste EUR 450.000. De nadere invulling van de factoren waarmee bij de vaststelling van de hoogte van de boete rekening wordt gehouden, is aan ACM overgelaten, waarbij zij rekening dient te houden met de algemene beginselen van behoorlijk bestuur.
## Juridisch kader
27.  Het rapport met betrekking tot de overtreding is opgemaakt op 31 januari 2014. Om deze reden
&lt;!-- image --&gt;
6/9
## Besluit Openbaar
zijn de Boetebeleidsregels 2013 8 op de onderhavige zaak van toepassing.
28.  ACM stelt op grond van artikel 2.11, tweede lid, van de Boetebeleidsregels 2013 een boetegrondslag vast die gerelateerd is aan de ernst van de overtreding en het inkomen en vermogen van de overtreder, teneinde tot een bestuurlijke boete te komen die uit oogpunt van zowel algemene als specifieke preventie voldoende afschrikwekkend is. De boetegrondslag is in deze gevallen de basisboete.
29.  Ingevolge artikel 2.11, vierde lid, onder b, van de Boetebeleidsregels 2013 wordt de boetegrondslag voor natuurlijke personen voor het feitelijk leidinggeven aan een overtreding van artikel 6 Mw en artikel 101 VwEU vastgesteld binnen de bandbreedte van EUR 50.000 tot 400.000. De boetegrondslag wordt binnen deze bandbreedte gerelateerd aan de ernst van de overtreding van zowel de rechtspersoon als de feitelijk leidinggever en de inkomens- en vermogenspositie van die feitelijk leidinggever.
30.  Bij het bepalen van de ernst van de overtreding neemt ACM niet alleen de ernst van de overtreding van de onderneming waarvoor de feitelijk leidinggever werkzaam is (geweest) in aanmerking maar ook de mate van betrokkenheid en de functie (verantwoordelijkheid) van de feitelijk leidinggever binnen deze onderneming.
31.  Voorts neemt ACM ingevolge artikel 2.12 van de Boetebeleidsregels 2013 bij de vaststelling van de bestuurlijke boete boeteverhogende en -verlagende omstandigheden in aanmerking.
Toepassing
- -Boetegrondslag/basisboete
32.  Met inachtneming van de ernst van de overtreding en in aanmerking nemende het inkomen en vermogen van de heer [D], stelt ACM in dit specifieke geval de boetegrondslag en de basisboete vast op EUR 60.000. ACM betrekt hierbij de volgende omstandigheden.
33.  ACM neemt in aanmerking dat de overtreding van onderneming Burg een ernstige overtreding
8 Beleidsregels van de Minister van Economische Zaken van 19 april 2013, nr. WJZ / 12366159, houdende richtsnoeren voor het opleggen van bestuurlijke boetes op grond van wetgeving, waarvan de Autoriteit Consument en Markt is belast met het toezicht op de naleving, Staatscourant 2013 nr. 11214, 24 april 2013.
&lt;!-- image --&gt;
7/9
## Besluit Openbaar
betreft met rechtstreekse invloed op het concurrentieproces van industrieel natuurazijn. ACM heeft in dit verband vastgesteld dat ondernemingen Burg en Kühne, veruit de grootste spelers op het gebied van industrieel natuurazijn in Nederland, verschillende keren de te offreren prijzen voor concrete afnemers hebben besproken. ACM verwijst voor een overzicht van de omstandigheden die zijn meegewogen bij de ernst van de overtreding van de onderneming naar randnummers 70 t/m 75 van het besluit gericht tot ondernemingen Kühne en Burg (Bijlage I bij dit besluit).
34.  Bij het bepalen van de ernst van de overtreding door de heer [D] heeft ACM tevens in aanmerking genomen dat heer [D] [VERTROUWELIJK] was voor de verkoop van natuurazijn binnen Burg en leidinggevende was van de heer [E] die de contacten met Kühne onderhield in het kader van de verboden gedragingen. In die hoedanigheid had [D] bij uitstek de hiërarchische en feitelijke positie en de daarbij horende bevoegdheid om gedragingen die leidden tot de overtreding door Burg te voorkomen dan wel deze ongedaan te maken.
## Vereenvoudigde Afdoening
35.  ACM ziet voorts aanleiding om een boetevermindering toe te kennen vanwege de medewerking die de heer [D] heeft verleend aan vereenvoudigde afdoening van het rapport. ACM beschouwt dit als een bijzondere vorm van medewerking aan de procedure bij ACM waarvoor een boetevermindering van 10% gepast is. Mede gelet op artikel 1.3 van de Boetebeleidsregels 2013 resulteert het voorgaande in een boetebedrag van EUR 54.000.
&lt;!-- image --&gt;
## Besluit Openbaar
## 8 Besluit
De Autoriteit Consument en Markt:
legt aan de heer [VERTROUWELIJK], geboren op [VERTROUWELIJK] te [VERTROUWELIJK], een boete op van EUR 54.000.
Den Haag, 25 juni 2015
De Autoriteit Consument en Markt, namens deze,
w.g. mr. J.G. Vegter
bestuurslid
## Bezwaar
Belanghebbenden die zich met dit besluit niet kunnen verenigen, kunnen binnen zes weken na de dag waarop dit besluit is bekendgemaakt bezwaar maken bij de Autoriteit Consument en Markt. Het postadres is: Autoriteit Consument en Markt, t.a.v. afdeling Juridische Zaken, Postbus 16326, 2500 BH Den Haag.
Het bezwaarschrift moet zijn ondertekend en moet ten minste de naam en het adres van de indiener, de dagtekening en een omschrijving van het besluit waartegen het bezwaar is gericht bevatten. Voorts moet het bezwaarschrift de gronden van het bezwaar bevatten.
ACM wijst u op de mogelijkheid die de Algemene wet bestuursrecht de indiener van een bezwaarschrift biedt, om in dat geschrift ACM te verzoeken de bezwaarschriftenfase over te slaan. Indien ACM uw verzoek inwilligt, zal uw bezwaarschrift worden doorgezonden naar de rechtbank en daar als beroepschrift worden behandeld. De procedure kan daardoor worden verkort. Indien ACM uw verzoek niet inwilligt, staat tegen deze beslissing geen beroep open en zal uw bezwaarschrift door ACM worden behandeld.
&lt;!-- image --&gt;
9/9</t>
  </si>
  <si>
    <t>[...] . ## Besluit ## 6 Dictum 47. De Autoriteit Consument en Markt besluit op grond van artikel 2a, eerste lid, onderdeel b van de Gaswet ontheffing te verlenen van de verplichting een netbeheerder aan te wijzen aan Universiteit Twente voor het gastransportnet gelegen op het campusterrein aan de Drienerlolaan 5, te Enschede. 48. De ontheffing wordt verleend onder de volgende voorschriften: - 1) Definities Tenzij in deze voorschriften anders gedef [...]</t>
  </si>
  <si>
    <t>Autoriteit_Persoonsgegevens__https___www.autoriteitpersoonsgegevens.nl_system_files_file=2024-05_Besluit%20vergunning%20collectief%20horecaverbod%20Brede%20Bossche%20Binnenstad.txt</t>
  </si>
  <si>
    <t>ACM__ontheffing_openbare-versie-besluit-universiteit-twente-gas.txt::Besluitvormend Orgaan</t>
  </si>
  <si>
    <t>De Autoriteit Consument en Markt [36005:36037]</t>
  </si>
  <si>
    <t>[...] dt voldaan aan de voorwaarden, aan de verlening van een ontheffing in de weg staan. ACM honoreert de aanvraag derhalve op grond van artikel 2a, eerste lid, onderdeel b, van de Gaswet. ## Besluit ## 6 Dictum 47. De Autoriteit Consument en Markt besluit op grond van artikel 2a, eerste lid, onderdeel b van de Gaswet ontheffing te verlenen van de verplichting een netbeheerder aan te wijzen aan Universiteit Twente voor het gastransportnet gelegen op het campusterr [...]</t>
  </si>
  <si>
    <t>ACM__ontheffing_openbare-versie-besluit-universiteit-twente-gas.txt::Rechtshandeling</t>
  </si>
  <si>
    <t>verlenen [36123:36132]</t>
  </si>
  <si>
    <t>verlenen [36123:36131]</t>
  </si>
  <si>
    <t>[...] op grond van artikel 2a, eerste lid, onderdeel b, van de Gaswet. ## Besluit ## 6 Dictum 47. De Autoriteit Consument en Markt besluit op grond van artikel 2a, eerste lid, onderdeel b van de Gaswet ontheffing te verlenen van de verplichting een netbeheerder aan te wijzen aan Universiteit Twente voor het gastransportnet gelegen op het campusterrein aan de Drienerlolaan 5, te Enschede. 48. De ontheffing wordt verleend onder de volgende vo [...]</t>
  </si>
  <si>
    <t>ACM__ontheffing_openbare-versie-besluit-universiteit-twente-gas.txt::Rechtsobject</t>
  </si>
  <si>
    <t>ontheffing [36109:36120]</t>
  </si>
  <si>
    <t>ontheffing [36109:36119]</t>
  </si>
  <si>
    <t>[...] vraag derhalve op grond van artikel 2a, eerste lid, onderdeel b, van de Gaswet. ## Besluit ## 6 Dictum 47. De Autoriteit Consument en Markt besluit op grond van artikel 2a, eerste lid, onderdeel b van de Gaswet ontheffing te verlenen van de verplichting een netbeheerder aan te wijzen aan Universiteit Twente voor het gastransportnet gelegen op het campusterrein aan de Drienerlolaan 5, te Enschede. 48. De ontheffing wordt verleend onder de [...]</t>
  </si>
  <si>
    <t>&lt;!-- image --&gt;
Datum 8 april 2024
## Ons kenmerk
2024-001529
Bulkbesluit inzake de vergunningaanvragen voor de verwerking van gegevens van strafrechtelijke aard ten behoeve van derden van de verwerking 'Collectieve Horecaontzegging' door de in de bijlage genoemde horecaondernemers van het horecagebied Brede Bossche Binnenstad - 2024-001529
## 1 Inleiding: aanleiding vergunningaanvraag
1. Op 17 januari 2024 heeft Koninklijke Horeca Nederland (hierna: KHN) - ingevolge artikel 33, vierde lid, aanhef en onder c, van de Uitvoeringswet Algemene verordening gegevensbescherming (UAVG) - bij de Autoriteit Persoonsgegevens (AP) een bulkvergunningaanvraag ingediend namens de in de bijlage van het besluit genoemde horecaondernemers in het horecagebied Brede Bossche Binnenstad. Ter onderbouwing van de aanvraag, heeft KHN een protocol en een gegevensbeschermingseffectbeoordeling (ook wel data protection impact assessment/DPIA genoemd) bijgevoegd.
2. Bij deze aanvraag zijn ook de bijlagen van het protocol meegestuurd. De bijlagen zijn bij de eindbeoordeling op 24 augustus 2020 van het modelprotocol niet beoordeeld/goedgekeurd. Om die reden heeft de AP de bijlagen nu ook niet meegenomen in de beoordeling. Goedkeuring van het thans voorliggende besluit betekent dus niet dat de bijlagen daarmee zijn goedgekeurd. Het is de verantwoordelijkheid van de verwerkingsverantwoordelijke - in nauwe samenspraak met KHN-landelijk - om ervoor zorg te dragen dat de bijlagen niet strijdig zijn met het protocol, maar nadere uitwerkingen van het protocol vormen. En dat deze bijlagen vanzelfsprekend AVGconform zijn. Deze aanvraag is bij de AP bekend onder het zaaknummer 2024-001529 en onder de zaaknaam 'Bulkvergunningaanvraag horecagebied Brede Bossche Binnenstad'.
## Procesverloop
- -Op 17 januari 2024 heeft de AP de bulkvergunningaanvraag voor 43 horecaondernemers inzake een Collectieve Horecaontzegging in horecagebied Brede Bossche Binnenstad van KHN ontvangen.
- -Op 23 februari 2024 heeft de AP geconstateerd dat de bulkvergunningaanvraag incompleet was en de AP heeft KHN op 23 februari 2024 verzocht om de bulkvergunningaanvraag aan te vullen.
- -Op 20 maart 2024 heeft KHN de ontbrekende informatie en documenten aangeleverd.
- -Op 20 maart 2024 is het aantal horecaondernemers dat deelneemt aan de bulkvergunningaanvraag voor Collectieve Horecaontzegging in horecagebied Brede Bossche Binnenstad gewijzigd van 43 naar 45 horecaondernemers.
- -Op 28 maart 2024 heeft de AP opnieuw geconstateerd dat de bulkvergunningaanvraag incompleet was en de AP heeft KHN op 28 maart 2024 verzocht om de bulkvergunningaanvraag aan te vullen.
- -Op 4 april 2024 heeft KHN de ontbrekende informatie en documenten aangeleverd.
2. Op grond van artikel 33, vierde lid, aanhef en onder c, UAVG mogen persoonsgegevens van strafrechtelijke aard ten behoeve van derden worden verwerkt indien de AP een vergunning voor de
&lt;!-- image --&gt;
## Datum
8 april 2024
## Ons kenmerk
2024-001529
verwerking heeft verleend. Ingevolge artikel 33, vijfde lid, UAVG kan een vergunning slechts worden verleend, indien de verwerking noodzakelijk is met het oog op een zwaarwegend belang van derden en bij de uitvoering is voorzien in zodanige waarborgen dat de persoonlijke levenssfeer van de betrokkene niet onevenredig wordt geschaad. Aan de vergunning kunnen door de AP voorschriften worden verbonden.
3. In het navolgende concludeert de AP dat er een bulkvergunning voor de verwerking van gegevens van strafrechtelijke aard ten behoeve van derden kan worden verleend aan de individuele horecaondernemers, genoemd in de bijlage, omdat voldoende is aangetoond dat de verwerking noodzakelijk is met het oog op een zwaarwegend belang van derden en bij de uitvoering is voorzien in zodanige waarborgen dat de persoonlijke levenssfeer van de betrokkene niet onevenredig wordt geschaad. Het vorenstaande is uitgewerkt in het aangeleverde protocol en de DPIA.
## 2 Procedureverloop
4. De AP heeft het Protocol (collectieve) horecaontzegging, versie augustus 2020 (hierna: modelprotocol collectieve horecaontzegging) en d e Data Protection Impact Assessment - Registratie en gebruik horecaontzeggingen, versie augustus 2020 (hierna: model-DPIA collectieve horecaontzegging) beoordeeld. De AP is op basis van de hiervoor genoemde documenten en de nadere toelichting die daarop is gegeven door KHN, tot de conclusie gekomen dat de AP in genoemde documenten geen strijdigheden ziet met de AVG en de UAVG. De AP heeft dit bevestigd in haar brief van 24 augustus 2020, waarbij is aangegeven dat aan de nog af te geven vergunningen in elk geval een aantal specifieke aanvullende voorschriften worden verbonden (zie onder overwegingen 12, 13, 14, 15 en 16 van dit besluit). Na afstemming met KHN (landelijk) heeft de AP per brief van 14 april 2022 aangegeven dat de geldigheidstermijn van het modelprotocol, model-DPIA collectieve horecaontzeggingen en alle bulkvergunningen loopt tot 21 april 2027.
5. De lokale ondernemers hebben schriftelijk verklaard dat zij het modelprotocol collectieve horecaontzegging (augustus 2020) en model-DPIA collectieve horecaontzegging (augustus 2020) onderschrijven en zich daaraan zullen conformeren. Dit is de basis voor de aanvraag van de bulkvergunning, die de ondernemers elk nodig hebben voor de verwerking van persoonsgegevens van strafrechtelijke aard ten behoeve van derden.
## 3 Feitelijke weergave van de voorgenomen verwerking
6. Het doel van de horecaontzegging is om in de aangesloten horecabedrijven (inclusief de daarbij behorende erven/terrassen):
- de veiligheid van horecaondernemers, hun medewerkers en hun gasten te vergroten;
- overlast gevend gedrag te reduceren;
- criminaliteit te voorkomen en tegen te gaan.
7. Een verwerkingsverantwoordelijke kan een Individuele Horeca Ontzegging (IHO) uitreiken wanneer een persoon een of meerdere van de volgende gedragingen zoals vermeld in het artikel 4.1.1 tot en met 4.1.7 van het protocol in zijn horecabedrijf en/of op de daarbij behorende erven/terrassen vertoont. Als binnen een periode van zes maanden een tweede IHO ten aanzien van dezelfde betrokkene wordt ingevoerd in het registratiesysteem dan wordt de tweede IHO omgezet in een CHO van zes maanden. De subverwerker informeert de betrokkene hierover volgens het formulier 'Aanzegging CHO'. De subverwerker informeert de verwerkingsverantwoordelijke die de tweede IHO heeft uitgereikt over de omzetting van de tweede IHO in een CHO.
&lt;!-- image --&gt;
## Datum
8 april 2024
## Ons kenmerk
2024-001529
8. Een gast die zich niet houdt aan de huisregels en/of strafbare feiten pleegt kan worden gesommeerd het bedrijf te verlaten en een ondernemer kan (naast het doen van aangifte) ervoor kiezen om de betrokkene voor een bepaalde tijd de toegang tot het bedrijf te ontzeggen. Doet een ondernemer dat alleen voor zijn eigen bedrijf/bedrijven, dan is er sprake van een Individuele Horeca Ontzegging (IHO). Een IHO mag niet langer dan zes maanden duren.
9. Een verwerkingsverantwoordelijke kan een CHO uitreiken wanneer een persoon zich aan een of meerdere van de in artikel 4.2.1 van het protocol genoemde gedragingen in het horecabedrijf van de verwerkingsverantwoordelijke en/of op de daarbij behorende erven/terrassen schuldig maakt. Bij de collectieve horecaontzegging slaan de gezamenlijke verwerkingsverantwoordelijken de handen ineen om gezamenlijk overlastgevers uit hun bedrijven te weren. Als een verwerkingsverantwoordelijke aan het Protocol CHO de betrokkene een CHO heeft opgelegd, dan geldt deze ontzegging ook meteen voor alle andere gezamenlijke verwerkingsverantwoordelijken. Met één ontzegging wordt een overlastgever dus meteen geweerd uit alle aangesloten bedrijven, zonder dat de persoon in kwestie overlast heeft veroorzaakt in die andere bedrijven.
## 4 Wettelijk kader van strafrechtelijke aard ten behoeve van derden
Artikel 10 AVG bepaalt: ' Persoonsgegevens betreffende strafrechtelijke veroordelingen en strafbare feiten of daarmee verband houdende veiligheidsmaatregelen mogen op grond van artikel 6, lid 1, alleen worden verwerkt onder toezicht van de overheid of indien de verwerking is toegestaan bij Unierechtelijke of lidstaatrechtelijke bepalingen die passende waarborgen voor de rechten en vrijheden van de betrokkenen bieden. Omvattende registers van strafrechtelijke veroordelingen mogen alleen worden bijgehouden onder toezicht van de overheid .'
Artikel 1 UAVG bepaalt: ' In deze wet en de daarop berustende bepalingen wordt verstaan onder: [… ]
Persoonsgegevens van strafrechtelijke aard: persoonsgegevens betreffende strafrechtelijke veroordelingen en strafbare feiten of daarmee verband houdende veiligheidsmaatregelen als bedoeld in artikel 10 van de verordening, alsmede persoonsgegevens betreffende een door de rechter opgelegd verbod naar aanleiding van onrechtmatig of hinderlijk gedrag; [… ]'
Artikel 31 UAVG bepaalt: 'Onverminderd artikel 10 van de verordening mogen persoonsgegevens van strafrechtelijke aard alleen worden verwerkt voor zover dit krachtens de artikelen 32 en 33 is toegestaan.'
Artikel 33, vierde lid, aanhef en onder c, UAVG bepaalt: 'Persoonsgegevens van strafrechtelijke aard mogen ten behoeve van derden worden verwerkt:
[… ]
- c. indien de Autoriteit persoonsgegevens met inachtneming van het vijfde lid een vergunning voor de verwerking heeft verleend .'
Artikel 33, vijfde lid, UAVG bepaalt: ' Een vergunning als bedoeld in het vierde lid, onderdeel c, kan slechts worden verleend, indien de verwerking noodzakelijk is met het oog op een zwaarwegend belang van derden en bij de uitvoering is voorzien in zodanige waarborgen dat de persoonlijke levenssfeer van de betrokkene niet onevenredig wordt geschaad. Aan de vergunning kunnen voorschriften worden verbonden.'
Artikel 6, eerste lid, aanhef en onder f, AVG bepaalt: ' De verwerking is alleen rechtmatig indien en voor zover aan ten minste een van de onderstaande voorwaarden is voldaan:
[… ]
&lt;!-- image --&gt;
## Datum
8 april 2024
## Ons kenmerk
2024-001529
- f) de verwerking is noodzakelijk voor de behartiging van de gerechtvaardigde belangen van de verwerkingsverantwoordelijke of van een derde, behalve wanneer de belangen of de grondrechten en de fundamentele vrijheden van de betrokkene die tot bescherming van persoonsgegevens nopen, zwaarder wegen dan die belangen, met name wanneer de betrokkene een kind is.'
Overweging 47 van de AVG stelt: ' De gerechtvaardigde belangen van een verwerkingsverantwoordelijke, waaronder die van een verwerkingsverantwoordelijke aan wie de persoonsgegevens kunnen worden verstrekt, of van een derde, kan een rechtsgrond bieden voor verwerking, mits de belangen of de grondrechten en de fundamentele vrijheden van de betrokkene niet zwaarder wegen, rekening houdend met de redelijke verwachtingen van de betrokkene op basis van zijn verhouding met de verwerkingsverantwoordelijke. [… ] In elk geval is een zorgvuldige beoordeling geboden om te bepalen of sprake is van een gerechtvaardigd belang, alsook om te bepalen of een betrokkene op het tijdstip en in het kader van de verzameling van de persoonsgegevens redelijkerwijs mag verwachten dat verwerking met dat doel kan plaatsvinden. De belangen en de grondrechten van de betrokkene kunnen met name zwaarder wegen dan het belang van de verwerkingsverantwoordelijke wanneer persoonsgegevens worden verwerkt in omstandigheden waarin de betrokkenen redelijkerwijs geen verdere verwerking verwachten. [… ] De verwerking van persoonsgegevens die strikt noodzakelijk is voor fraudevoorkoming is ook een gerechtvaardigd belang van de verwerkingsverantwoordelijke in kwestie. […]'
Artikel 5, tweede lid, AVG bepaalt: ' De verwerkingsverantwoordelijke is verantwoordelijk voor de naleving van lid 1 en kan deze aantonen ('verantwoordingsplicht').'
10. Het wettelijk kader betekent dat de AP zich in het kader van de beoordeling van een vergunningaanvraag heeft beperkt tot de beoordeling van de verwerking van persoonsgegevens van strafrechtelijke aard ten behoeve van derden.
## 5 Beoordeling voorgenomen verwerking
11. Aan de hand van het wettelijk kader is de voorgenomen verwerking beoordeeld. De beoordeling is gebaseerd op de aan de verwerking ten grondslag liggende vergunningaanvraag, het protocol en de DPIA. Daarnaast zijn de overwegingen 12, 13, 14, 15 en 16 van dit besluit van belang bij de verrichte beoordeling.
12. Het conformeren aan het modelprotocol collectieve horecaontzegging en model-DPIA collectieve horecaontzegging (versie augustus 2020) leidt tot het op een AVG-conforme wijze bijhouden van enerzijds de opgelegde individuele horecaontzeggingen (voor intern/eigen gebruik) en anderzijds het delen met derden van strafrechtelijke persoonsgegevens ten aanzien van opgelegde collectieve horecaontzeggingen. In het modelprotocol en de model-DPIA wordt het beroep op de grondslag gerechtvaardigd belang (artikel 6, eerste lid, onder f, van de AVG) conform de Normuitleg grondslag 'gerechtvaardigd belang' (november 2019) in voldoende mate uiteengezet om de in artikel 5 van het protocol genoemde categorieën van gegevens legitiem te verwerken.
13. Daarnaast is ook nog vereist dat tussen de beheerder (ofwel: verwerker) en de lokale ondernemers (ofwel: de gezamenlijke verwerkingsverantwoordelijken) een verwerkersovereenkomst opgesteld wordt om te komen tot een legitieme gegevensverwerking tussen deze partijen.
14. Het vorenstaande laat onverlet dat de (lokale) ondernemers mogen zorgen voor extra waarborgen om deze persoonsgegevens te beschermen.
&lt;!-- image --&gt;
Datum
8 april 2024
## Ons kenmerk
2024-001529
15. Daarnaast dienen voor het verkrijgen van een vergunning voor het voeren van en/of deelname aan de hiervoor genoemde registratie van personen aan wie een collectieve horecaontzegging is opgelegd, ook de aanvullende vergunningsvoorschriften (zie hieronder) in acht genomen te worden.
16. Zoals ook onder overweging 2 van dit besluit is aangegeven, zijn er aanvullende voorschriften verbonden aan deze vergunningen. De aanvullende voorschriften, zoals ook benoemd in de brief van de AP van 24 augustus 2020 aan KHN, zijn, dat:
- a. de lokale horecaondernemers (gezamenlijke verwerkingsverantwoordelijken) dienen jaarlijks gecoördineerd door de KHN-afdeling Den Bosch 1 - een evaluatie van het modelprotocol en model-DPIA 2  van het collectieve horecaontzeggingen uit te voeren. De AP ontvangt op aanvraag een afschrift van deze evaluatie.
- b. in aansluiting op voorschrift a zal de beheerder namens de gezamenlijke verwerkingsverantwoordelijken bij deze jaarlijkse evaluatie in elk geval expliciet ingaan op:
3.  (de omvang van) de deelnemerslijst (ofwel: de lijst waarin de lokale horecaondernemers zijn opgesomd, die deelnemen aan de collectieve horecaontzeggingen in dat bepaalde horecagebied). 3
4.  het aantal opgelegde individuele en collectieve horecaontzeggingen.
5.  het aantal (wegens verlopen van de looptijd of om andere redenen) verwijderde individuele en collectieve horecaontzeggingen.
6.  de meldingen van eventuele bijzondere incidenten waarbij de aard en de omvang daarvan wordt beschreven, of van andere vermeldingswaardige bijzonderheden.
- c. de vergunning is - behoudens ingrijpende wetswijzigingen of wijziging van de gegevensverwerking - geldig tot 21 april 2027.
- d. de verwerkingsverantwoordelijke (lokale horecaondernemer) diens gegevens volledig conform het modelprotocol en model-DPIA zal verwerken. Dat wil zeggen dat de lokale horecaondernemer het modelprotocol en model-DPIA ongewijzigd overneemt en de gegevens van de opgelegde collectieve horecaontzeggingen precies, zoals in het modelprotocol en model-DPIA omschreven wordt, gaat verwerken.
## 6 Conclusie
17. De AP is van oordeel dat de in de bijlage genoemde horecaondernemingen - door zich te conformeren aan de reeds door de AP beoordeelde modelprotocol en model-DPIA (versie augustus 2020) - de noodzaak en proportionaliteit van de voorgenomen verwerking voldoende hebben aangetoond.
18. De AP wijst de aanvraag ter verlening van een vergunning voor de verwerking van persoonsgegevens van strafrechtelijke aard ten behoeve van derden toe. Er mag met de voorgenomen verwerking worden gestart.
1  Hierdoor kan een uniforme werkwijze voor alle bij de lokale KHN-afdelingen aangesloten horecaondernemers worden gerealiseerd.
2  Dit is feitelijk inherent aan de cyclus van een DPIA, omdat een DPIA uitvoeren geen eenmalige opdracht is, maar een continu proces. De verwerkingsverantwoordelijke moet altijd blijven monitoren of diens gegevensverwerking verandert. Bijvoorbeeld als er een nieuwe technologie gebruikt wordt. Of als persoonsgegevens voor een ander doel worden gebruikt.
3  Deze deelnemerslijst wordt door de KHN Den Bosch via een website actueel gehouden, zodat kenbaar is welke horecaondernemers deelnemen aan het collectief verbod in een bepaald gebied.
&lt;!-- image --&gt;
## Datum
8 april 2024
## 7 Afsluiting en rechtsmiddel
Indien u het niet eens bent met dit besluit kunt u binnen zes weken na de datum van verzending van het besluit ingevolge de Awb een bezwaarschrift indienen bij de Autoriteit Persoonsgegevens. U kunt een bezwaarschrift indienen per post door deze te zenden naar Postbus 93374, 2509 AJ Den Haag, onder vermelding van 'Awb-bezwaar' op de envelop. U kunt ook een digitaal bezwaarschrift indienen, zie www.autoriteitpersoonsgegevens.nl. onder het kopje 'Bezwaar maken tegen een besluit'. Het indienen van een bezwaarschrift schort de werking van dit besluit niet op.
Den Haag, 8 april 2024
Autoriteit Persoonsgegevens,
Overeenkomstig het door de Autoriteit Persoonsgegevens genomen besluit,
Middenmanager Systeemtoezicht
## Ons kenmerk
2024-001529
&lt;!-- image --&gt;
Datum
8 april 2024
## Ons kenmerk
2024-001529
## Bijlage: 45 deelnemende horecaondernemingen - horecagebied Brede Bossche Binnenstad
| Zaaknummer     | Naam aanvrager, eigenaar van:   | Adresgegevens:                                  |
|----------------|---------------------------------|-------------------------------------------------|
| 2024-001529.1  | Allerlei-Visserij               | Korte Putstraat 19-21, 5211 KP 's-Hertogenbosch |
| 2024-001529.2  | Bar Boas                        | Parade 2, 5211 KL 's-Hertogenbosch              |
| 2024-001529.3  | Barzza                          | Stoofstraat 5, 5211 ER 's-Hertogenbosch         |
| 2024-001529.4  | Bistro BON                      | Lepelstraat 39, 5211 DP 's-Hertogenbosch        |
| 2024-001529.5  | Bossche Kelders                 | Visstraat 42, 5211 DN 's-Hertogenbosch          |
| 2024-001529.6  | Brasserie Top                   | Markt 42, 5211 JX 's-Hertogenbosch              |
| 2024-001529.7  | Café de Palm BV                 | Hinthammerstraat 82, 5211 MS 's- Hertogenbosch  |
| 2024-001529.8  | Café De Smidse                  | Torenstraat 10, 5211 KK 's-Hertogenbosch        |
| 2024-001529.9  | Café Hart van Brabant           | Parade 1, 5211 KL 's-Hertogenbosch              |
| 2024-001529.10 | Café Klassiek                   | Korte Putstraat 25, 5211 KP 's-Hertogenbosch    |
| 2024-001529.11 | Café 't Bosschenaartje          | Krullartstraat 4-6, 5211 HR 's-Hertogenbosch    |
| 2024-001529.12 | Café Zomers en Zomers           | Karrenstraat 22, 5211 EH 's-Hertogenbosch       |
&lt;!-- image --&gt;
Datum
8 april 2024
## Ons kenmerk
2024-001529
| 2024-001529.13   | Carrousel                  | Karrenstraat 1, 5211 EH 's-Hertogenbosch       |
|------------------|----------------------------|------------------------------------------------|
| 2024-001529.14   | Cinq DB                    | Parade 5, 5211 KL 's-Hertogenbosch             |
| 2024-001529.15   | CÔTE Bar Bistro            | Korte Putstraat 4, 5211 KP 's-Hertogenbosch    |
| 2024-001529.16   | De Graven van Leuven       | Wolvenhoek 8, 5211 HH 's-Hertogenbosch         |
| 2024-001529.17   | De Knillispoort            | Korte Waterstraat 15, 5211 NR 's-Hertogenbosch |
| 2024-001529.18   | De Taveerne                | Torenstraat 1B, 5211 KK 's-Hertogenbosch       |
| 2024-001529.19   | Druif                      | Markt 13, 5211 JV 's-Hertogenbosch             |
| 2024-001529.20   | Foodmarkt de FAM           | Korenbrugstraat 8, 5211 DS 's-Hertogenbosch    |
| 2024-001529.21   | Golden Tulip Hotel Central | Burg. Loeffplein 98, 5211 RT 's-Hertogenbosch  |
| 2024-001529.22   | Grand Café Carras          | Karrenstraat 28, 5211 EH 's-Hertogenbosch      |
| 2024-001529.23   | Hello My Friend            | Kruisstraat 31, 5211 DT 's-Hertogenbosch       |
| 2024-001529.24   | Hotel Julien               | Stationsweg 20, 5211 TW 's-Hertogenbosch       |
| 2024-001529.25   | Jeronimus café             | Markt 8, 5211 JX 's-Hertogenbosch              |
&lt;!-- image --&gt;
Datum
8 april 2024
## Ons kenmerk
2024-001529
| 2024-001529.26   | Loff                              | Minderbroedersstraat 22, 5211 EL '- Hertogenbosch   |
|------------------|-----------------------------------|-----------------------------------------------------|
| 2024-001529.27   | Lux Den Bosch                     | Korte Putstraat 23, 5211 KP 's-Hertogenbosch        |
| 2024-001529.28   | Nom Nom                           | Postelstraat 79, 5211 DX 's-Hertogenbosch           |
| 2024-001529.29   | Nul73 lunch en diner café         | Torenstraat 9, 5211 KK 's-Hertogenbosch             |
| 2024-001529.30   | Roels Eten &amp; Drinken              | Korte Putstraat 6, 5211 KP 's-Hertogenbosch         |
| 2024-001529.31   | Root                              | Kolperstraat 4, 5211 KC 's-Hertogenbosch            |
| 2024-001529.32   | Silva Ducis                       | Parade 6-7, 5211 KL 's-Hertogenbosch                |
| 2024-001529.33   | Stads en Borrelcafe D'n Burger    | Orthenstraat 2A, 5211 SX 's-Hertogenbosch           |
| 2024-001529.34   | Stadsherberg 't Pumpke            | Parade 3, 5211 KL 's-Hertogenbosch                  |
| 2024-001529.35   | t Pantoffeltje                    | Korte Putstraat 11, 5211 KP 's-Hertogenbosch        |
| 2024-001529.36   | Tante Wonnie                      | Hinthammerstraat 115, 5211 MH 's- Hertogenbosch     |
| 2024-001529.37   | Tapperij de Keyzerin              | Korte Putstraat 24, 5211 KP 's-Hertogenbosch        |
| 2024-001529.38   | Tapperij Het Veulen VOF Den Oetel | Korenbrugstraat 9A, 5211 EG 's-Hertogenbosch        |
&lt;!-- image --&gt;
Datum
8 april 2024
## Ons kenmerk
2024-001529
| 2024-001529.39   | Tappunt                              | Minderbroedersstraat 28, 5211 EL '- Hertogenbosch   |
|------------------|--------------------------------------|-----------------------------------------------------|
| 2024-001529.40   | The Baron's Lodge                    | Korte Putstraat 28, 5211 KP 's-Hertogenbosch        |
| 2024-001529.41   | The Duke Hotel                       | Kerkstraat 89B, 5211 KE 's-Hertogenbosch            |
| 2024-001529.42   | Vlaamsch Eetcafe het Groote Genoegen | Achter het stadhuis 10, 5211 HN 's- Hertogenbosch   |
| 2024-001529.43   | VOF Den Oetel                        | Pensmarkt 5, 5211 JS 's-Hertogenbosch               |
| 2024-001529.44   | Warenhuis                            | Pensmarkt 1, 5211 JS 's-Hertogenbosch               |
| 2024-001529.45   | Zoetelief                            | Korte Putstraat 10, 5211 KP 's-Hertogenbosch        |</t>
  </si>
  <si>
    <t>KSA_https___kansspelautoriteit.nl_sites_default_files_00_082_720_openbare_versie_last_onder_bestuursdwang.pdf.txt</t>
  </si>
  <si>
    <t>ACM__ontheffing_wijzigingsbesluit-ontheffing-voor-het-gesloten-distributiesysteem-van-medisch-centrum-leeuwarden.txt::Besluitvormend Orgaan</t>
  </si>
  <si>
    <t>De Autoriteit Consument en Markt [9640:9673]</t>
  </si>
  <si>
    <t>De Autoriteit Consument en Markt [9641:9673]</t>
  </si>
  <si>
    <t>[...] straal nummer B4658. 20. Op grond van voorgaande concludeert de ACM dat de gewijzigde geografische afbakening van het GDS nog steeds voldoet aan artikel 15, eerste lid, onderdeel c, van de E-wet. ## 4 Dictum 21. De Autoriteit Consument en Markt besluit op grond van artikel 15, eerste lid, van de E-wet de ontheffing die zij heeft verleend op 11 december 2019 aan Medisch Centrum Leeuwarden B.V. te wijzigen. 22. Het onderhavige wijzigingsbesluit beperkt zich to [...]</t>
  </si>
  <si>
    <t>## OPENBAAR
Besluit van de Raad van Bestuur van de Kansspelautoriteit als bedoeld in artikel 35 van de Wet op de kansspelen.
Zaak:
399
Kenmerk:00.080.089
Openbaarmaking onder kenmerk: 00.082.720
## Besluit
## Samenvatting
1. De Kansspelautoriteit heeft vastgesteld dat de heer [XXX] (eenmanszaak handelend onder de naam "M-automaten exploitatie") speelautomaten exploiteert zonder daarvoor een vergunning te hebben. Daarmee handelt de heer [XXX] in strijd met de Wet op de Kansspelen (hierna: Wok). De Kansspelautoriteit draagt de heer [XXX] op de exploitatie van speelautomaten te staken en gestaakt te houden door middel van het opleggen van een last onder bestuursdwang.
## Handhaving van de Wet op de kansspelen
2. De Kansspelautoriteit is belast met het toezicht op de naleving van het bepaalde in de Wok. In de Wok is onder andere bepaald dat het in Nederland verboden is om zonder vergunning van de raad van bestuur van de Kansspelautoriteit één of meerdere speelautomaten te exploiteren (artikel 30h, eerste lid Wok).
3. Op 20 september 2011 is aan de heer [XXX] een vergunning verleend om één of meerdere speelautomaten te exploiteren. Deze exploitatievergunning is op 23 december 2014 wegens het niet betalen van toezichtskosten ingetrokken. De heer [XXX] mag daarom vanaf die datum geen speelautomaten meer exploiteren, nu daar geen grondslag meer voor is.
4. De Kansspelautoriteit acht het exploiteren van speelautomaten zonder daartoe strekkende vergunning als zeer ernstig. De doelstellingen van het kansspelbeleid worden – door het zonder vergunning exploiteren van speelautomaten – omzeild. De kansspelsector is bovendien geen gewone economische sector maar extra gevoelig voor fraude, bedrog en verslaving waarvan de consument de dupe kan worden.
&lt;!-- image --&gt;
## Kansspelautoriteit
OPENBAAR
## Juridisch kader Juridisch kader
5. Op grond van artikel 30h, eerste lid, van de Wok is het verboden om zonder vergunning van de raad van bestuur van de Kansspelautoriteit één of meerdere speelautomaten te exploiteren.
6. Op grond van artikel 33b van de Wok heeft de Kansspelautoriteit onder meer tot taak het toezicht op de naleving van de toepasselijke wet- en regelgeving en de vergunningen, alsmede de handhaving daarvan. De Kansspelautoriteit is op grond van artikel 35 van de Wok bevoegd tot het opleggen van een last onder bestuursdwang, als bedoeld in artikel 5:21 Algemene wet bestuursrecht, wegens overtreding van de voorschriften van de Wok.
## Bevindingen
7. Gelet op de navolgende bevindingen is geconstateerd dat u in ieder geval één speelautomaat, te weten een behendigheidsautomaat genaamd photoplay, exploiteert op het adres Mathenesserweg 15/a te Rotterdam:
2. Op de opstellijst van 2014 geeft [XXX] zelf aan dat er een photoplay is geplaatst op het adres Mathenesserweg 15/a te Rotterdam;
3. Op verzoek van de Kansspelautoriteit heeft een politieambtenaar op 12 augustus 2016 een controle ingesteld op het adres Mathenesserweg 15/a te Rotterdam. Aldaar heeft hij geconstateerd dat er een in werking zijnde photoplay stond opgesteld;
4. De beheerder van deze locatie vertelde tegenover de betreffende politieman dat deze photoplay door [XXX] is geplaatst.
5. Op 25 augustus 2016 is aan [XXX] per e-mail het voornemen gestuurd om hem een last onder bestuursdwang op te leggen tot beëindiging van de overtreding.
6. [XXX] heeft weliswaar telefonisch contact opgenomen met de Kansspelautoriteit maar heeft nimmer de desbetreffende inspecteurs van de Kansspelautoriteit gesproken. Er is zodoende nimmer een telefonische
&lt;!-- image --&gt;
Kansspelautoriteit
Datum 12 oktober 2016
Ons kenmerk 00.082.720
## OPENBAAR
&lt;!-- image --&gt;
- zienswijze opgenomen dan wel ontvangen – hoewel hij daartoe ruim in de gelegenheid is gesteld.
- Eveneens heeft [XXX]- hoewel hij daartoe ruim in de gelegenheid is gesteld – geen nieuwe exploitatievergunning aangevraagd.
## Overtreding van de Wet op de kansspelen
8. Op grond van het voorgaande staat naar het oordeel van de Kansspelautoriteit vast dat de heer [XXX] speelautomaten exploiteert zonder dat de heer [XXX]daarvoor beschikt over een rechtsgeldige vergunning afgegeven door de raad van bestuur van de Kansspelautoriteit.
9. Op grond van het voorgaande stelt de Kansspelautoriteit vast dat de heer [XXX] artikel 30h, eerste lid, van de Wok heeft overtreden.
## Zienswijze
10. Hiervan is geen gebruik gemaakt.
## Besluit
11. Namens de raad van bestuur legt de Kansspelautoriteit de heer [XXX] de volgende last onder bestuursdwang op:
2. De heer [XXX] dient binnen twee weken na dagtekening van dit besluit tot oplegging van de last onder bestuursdwang de exploitatie van speelautomaten te staken en gestaakt te houden zolang de heer [XXX] niet beschikt over een exploitatievergunning als bedoeld in artikel 30h, eerste lid, van de Wet op de kansspelen.
3. Het staken van de exploitatie betekent dat de heer [XXX] moet stoppen met het bedrijfsmatig gebruiken of aan iemand anders (zoals bijvoorbeeld een uitbater van een horecabedrijf) in gebruik geven van zijn speelautomaten.
4. Als deze last niet wordt opgevolgd, zal de raad van bestuur bestuursdwang (laten) toepassen. Dat betekent dat namens de raad van bestuur het bedrijfsmatige gebruik
Kansspelautoriteit
Datum
12 oktober 2016
Ons kenmerk 00.082.720
## OPENBAAR
van de speelautomaten van de heer [XXX] zal worden beëindigd.
12. De eventuele kosten die de Kansspelautoriteit moet maken bij het effectueren van de bestuursdwang worden op de heer [XXX] verhaald.
2. iz    i [x   εen door het overleggen van documentatie (die de verkoop van de speelautomaten aantonen en de beëindiging van de bedrijfsactiviteiten).
3. s-Gravenhage, 12oktober 2016
De raad van bestuur van de Kansspelautoriteit, namens deze,
w.g.
J.J.H. Suyver
Voorzitter raad van bestuur van de Kansspelautoriteit Kansspelautoriteit
&lt;!-- image --&gt;
Datum
12 oktober 2016
Ons kenmerk 00.082.720
## OPENBAAR
## Bezwaar maken
U kunt tegen deze beslissing bezwaar maken door een gemotiveerd bezwaarschrift in te dienen binnen zes weken na bekendmaking van deze beslissing. U kunt uw bezwaarschrift sturen naar het volgende adres:
Kansspelautoriteit Afdeling Juridische Zaken Postbus 298 2501 CG Den Haag
U kunt uw bezwaarschrift ook door uw gemachtigde laten indienen. Als de gmen  g mn bn  n s a bmdn mde bezwaarschrift.
Zorg ervoor dat uw bezwaarschrift in elk geval het volgende bevat:
- uw naam en adres;
- de datum waarop u het bezwaarschrift schrijft;
- een kopie van de beslissing;
- de gronden van uw bezwaar;
- uw handtekening of de handtekening van uw gemachtigde.
&lt;!-- image --&gt;
Kansspelautoriteit
Datum 12 oktober 2016
Ons kenmerk 00.082.720</t>
  </si>
  <si>
    <t>ACM__ontheffing_wijzigingsbesluit-ontheffing-voor-het-gesloten-distributiesysteem-van-medisch-centrum-leeuwarden.txt::Rechtshandeling</t>
  </si>
  <si>
    <t>ROT_552e_rotterdam-centrum_Vergunning.txt</t>
  </si>
  <si>
    <t>wijzigen</t>
  </si>
  <si>
    <t>wijzigen [9828:9836]</t>
  </si>
  <si>
    <t>[...] de E-wet. ## 4 Dictum 21. De Autoriteit Consument en Markt besluit op grond van artikel 15, eerste lid, van de E-wet de ontheffing die zij heeft verleend op 11 december 2019 aan Medisch Centrum Leeuwarden B.V. te wijzigen. 22. Het onderhavige wijzigingsbesluit beperkt zich tot wijziging van het aantal op het GDS aangesloten afnemers en de wijziging van de geografische afbakening van het GDS op de Achlumerdijk 2 te Harlingen, op perceel [...]</t>
  </si>
  <si>
    <t>ACM__ontheffing_wijzigingsbesluit-ontheffing-voor-het-gesloten-distributiesysteem-van-medisch-centrum-leeuwarden.txt::Rechtsobject</t>
  </si>
  <si>
    <t>ontheffing [9735:9746]</t>
  </si>
  <si>
    <t>ontheffing [9735:9745]</t>
  </si>
  <si>
    <t>[...] ische afbakening van het GDS nog steeds voldoet aan artikel 15, eerste lid, onderdeel c, van de E-wet. ## 4 Dictum 21. De Autoriteit Consument en Markt besluit op grond van artikel 15, eerste lid, van de E-wet de ontheffing die zij heeft verleend op 11 december 2019 aan Medisch Centrum Leeuwarden B.V. te wijzigen. 22. Het onderhavige wijzigingsbesluit beperkt zich tot wijziging van het aantal op het GDS aangesloten afnemers en de wijzigin [...]</t>
  </si>
  <si>
    <t>ACM__sanctie_11252_aanvullend-besluit-in-de-zaak-ryanair -2013-05-16.txt::Ontvanger</t>
  </si>
  <si>
    <t>&lt;!-- image --&gt;
Geachte,
In antwoord op het verzoek van 6 maart 2023, deel ik u mede dat er ingevolge artikel 2:25 van de Algemene Plaatselijke Verordening van Rotterdam een vergunning verleend wordt voor:
Evenement Categorie Datum en tijd(en) evenement Locatie : Gebied Data en tijden op- en afbouw
:  Koningsdag Café Beurs &amp;amp; George 2023
:  A-evenement
:   Donderdag 27 april 2023 van 12.00-20.00 uur
Kruiskade 55 en Lijnbaan 36-42
:  Centrum, Rotterdam
:  Opbouw
Donderdag 27 april 2023 van 9.00-12.00 uur Afbouw
Donderdag 27 april 2023 van 20.00-22.00 uur
Bezoekersaantal
: 400 bezoekers gelijktijdig
Ik behoud mij te allen tijde het recht voor om op grond van de openbare orde en veiligheid of omwille van de gezondheid van bezoekers alsnog te besluiten deze vergunning in te trekken c.q. aanvullende voorschriften aan de vergunning te verbinden.
Aan deze vergunning zijn de in de bijlage opgenomen voorschriften verbonden. De in de bijlage opgenomen voorschriften laten verplichtingen van vergunninghouder voortvloeiende uit andere wet- en regelgeving onverlet.
Tot slot wijs ik u erop, dat u aansprakelijk bent voor alle schade die door het gebruik van deze vergunning aan eigendommen van de gemeente of van anderen mocht worden toegebracht.
De burgemeester van Rotterdam, Voor deze,
M. van Wageningen-Bouaddi Teamleider Evenementen
&lt;!-- image --&gt;
Postadres:
Postbus 70012
3000 KP Rotterdam
Directie Veiligheid, Evenementen
Website: www.rotterdam.nl
E-mail: Telefoon: Inlichtingen bij:
Kenmerk:
151961-2023
Betreft:
Evenementenvergunning
Datum:
20 april 2023
## Bijlage(n) behorende bij de evenementenvergunning
Bijlage I
: Voorschriften
Bijlage II
: Geluidsvoorschriften
Bijlage III
: Artikelen BBGBOP (niet ter publicatie)
Bijlage IV
: Veiligheidsplan (niet ter publicatie)
Bijlage V
: Situatieschets (niet ter publicatie)
Bijlage VI
: Draaiboek (niet ter publicatie)
## Niet eens met deze beslissing?
Dan kunt u, of een andere belanghebbende, een bezwaarschrift indienen. Dit moet binnen zes weken na de bekendmaking van het besluit. U stuurt het bezwaarschrift naar:
##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ook digitaal indienen op Rotterdam.nl/pdc:bezwaar indienen, m.b.v. het webformulier (zie 'mijn loket'). Hiervoor is nodig een DigiD-code, of voor bedrijven een E-herkenning, die kan worden aangevraagd via digid.nl, respectievelijk eherkenning.nl. U kunt het bezwaarschrift niet op een andere digitale wijze, bijvoorbeeld per e-mail, indienen. Zie voor meer informatie www.rechtspraak.nl.
&lt;!-- image --&gt;
&lt;!-- image --&gt;
Bijlage I; Voorschriften behorende bij de evenementenvergunning voor 'Koningsdag Café Beurs &amp;amp; George 2023' d.d. Donderdag 27 april 2023:
Organisatie :
Naam contactpersoon :
Telefoonnummer contactpersoon :
## Openbare Orde en Veiligheid
- De organisator is te allen tijde verantwoordelijk voor een juiste uitvoering van het evenement en de daarbij behorende plannen die een onderdeel uitmaken van de verleende vergunning.
- Een vertegenwoordiger van de organisator moet beschikbaar zijn als aanspreekpunt voor de politie.
- De vergunninghouder is verplicht deze vergunning op verzoek van een ambtenaar (belast met de zorg voor de naleving van de voorschriften) te laten zien.
- Het parcours/terrein wordt aanvaard in de staat waarin het zich bevindt; de gemeente kan niet aansprakelijk worden gesteld voor eventuele gevolgen voortvloeiende uit genoemde staat.
- Iedereen is verplicht om op en rond het evenemententerrein alle aanwijzingen, gegeven door (hulp-)diensten in het belang van de openbare orde of veiligheid van personen en goederen, stipt op te volgen.
- Eventueel inzet van particulier toezicht (ook toegangscontrole) op het evenemententerrein moet door een erkend beveiligingsbedrijf worden uitgevoerd met gediplomeerd personeel voorzien van een geldig beveiligingslegitimatiebewijs.
- Beveiligingswerkzaamheden dienen tijdig schriftelijk te worden gemeld bij Bijzondere Wetten afdeling EXO via mailbox: korpscheftaken.rotterdam@politie.nl.
- Indien alcohol wordt geschonken zal de locatie waar de activiteit/festiviteit wordt gehouden als evenemententerrein worden aangemerkt.
- Een evenemententerrein dient duidelijk herkenbaar te zijn afgescheiden van de openbare weg.
- Er dient op te worden toegezien dat er geen alcoholhoudende drank wordt meegenomen naar de openbare weg, zijnde buiten het evenemententerrein of anders bepaald met betrekking tot het alcoholverstrekkingspunt of de locatie.
- De verstrekking van drinkwaren, zowel zwak alcoholisch als niet alcoholhoudende drank, dient uitsluitend te geschieden in zachte plastic bekers, zachte petflessen of kartons. Het gebruik van glaswerk is verboden.
- Het is alleen toegestaan voorverpakte, c.q. fabrieksmatig voorbereide, alcoholhoudende mixdrank te verkopen c.q. aanwezig te hebben. Ter plaatse gemixte alcoholhoudende drank zullen worden aangemerkt als sterk alcoholhoudende drank en worden in beslag genomen.
- De vergunninghouder moet om het evenemententerrein te creëren een afscheiding met aanduidingsborden plaatsen met de tekst: 'VANAF HIER IS HET NUTTIGEN VAN ALCOHOL TOEGESTAAN.' Bij het verlaten van het evenemententerrein dienen aanduidingsborden te worden geplaatst met de tekst: 'VANAF HIER GEEN ALCOHOL TOEGESTAAN.'
- Het bouwwerk voldoet aan de exploitatievergunning.
- Publiek staat alleen in de horeca gelegenheid of op het terras.
- De bereikbaarheid voor de hulpdiensten blijft gegarandeerd.
- Bij elektrische installaties staat een passend en goedgekeurd blusmiddel.
- In- en uitgangen en nooduitgangen van andere gebouwen blijven te allen tijde vrij van obstakels voor het vluchten.
## Verkeer
- De vrije doorgang van openbaar vervoersdiensten mag op geen enkele wijze worden belemmerd.
- Het evenement of de activiteiten mogen de bereikbaarheid van woningen, winkels of (horeca)bedrijven niet belemmeren.
&lt;!-- image --&gt;
- Alle verkeersmaatregelen (redactieborden, etc.) worden uiterlijk 72 uur voorafgaand aan het evenement geplaatst en uiterlijk 48 uur na afloop van het evenement verwijderd.
- Begeleidende voertuigen (belast met de aanvoer van het eventueel benodigde materialen) mogen op het terrein aanwezig zijn als desbetreffend voertuig actief wordt gelost of geladen.
- Voertuigen van medewerkers mogen niet op het terrein geparkeerd worden en dienen gebruik te maken van de bestaande voorzieningen zoals parkeergarages en andere parkeervoorzieningen.
- Voor eventuele benodigde parkeervergunningen en/of ontheffingen kan men mailen naar apostz@rotterdam.nl of bellen naar 14010.
- De verkeersregelaars moeten 1 week voor aanvang van het evenement bij het team Verkeersregie worden aangemeld om toestemming te verkrijgen (teamverkeersregie@rotterdam.nl). Ook verkeersregelaars met een landelijke aanstelling of evenementenverkeersregelaars met een jaaraanstelling moeten zich bij het Team Verkeersregie aanmelden.
- Er worden voor dit evenement geen wegen of delen ervan afgesloten, ook niet tijdens de op en afbouw.
- De voorgenomen activiteiten mogen geen gevaar of onnodige hinder opleveren voor voetgangers, fietsers, omwonenden en het verkeer.
## Plaatsen van podia, tenten, kramen en andere voorwerpen
- Het is verboden eigendommen van de gemeente te verwijderen; alle voorwerpen dienen in principe los op de ondergrond te worden geplaatst.
- Aan eigendommen van de gemeente, zoals hekken, bomen en lantarenpalen mag niets worden bevestigd.
- Eventueel ter plaatse aanwezige brandkranen en -putten voor de brandweer direct toegankelijk blijven.
## Afval en milieu
- De organisator/vergunninghouder is verantwoordelijk voor het veegschoon houden van het evenementengebied.
- Tijdens het evenement dient de organisator/vergunninghouder afvalbakken te plaatsen op het evenemententerrein en langs de aan en aflooproute. De containers/ afvalbakken moeten afsluitbaar zijn doormiddel van een deksel. De organisator/ vergunninghouder dient de afvalbakken regelmatig te legen.
- De organisator/vergunninghouder dient direct na afloop het evenementen terrein en de buitenruimte vanaf de grens buitenkant plus 250 meter veegschoon op te leveren. Indien het verwijderen van het afval niet in eigen beheer kan geschieden, dient tijdig contact met Stadsbeheer Schone Stad (e-mail: schonestadverkoopsb@rotterdam.nl) te worden opgenomen.
- Gemeentelijke afvalkorven, die als gevolg van het evenement, overlopen dienen door de organisator/vergunninghouder te worden "afgeroomd".
- Het is de organisator/ vergunninghouder niet toegestaan afval te deponeren in de gemeentelijke, voor publieke en huishoudens bedoelde, afvalinzameling faciliteiten.
- Bij eetkramen of foodtrucks moet de organisator/ vergunninghouder voorzieningen treffen die voorkomen dat de ondergrond vervuild of beschadigd raakt.
- Eventuele extra kosten die gemaakt worden om de buitenruimte weer op het oorspronkelijke schoonniveau te brengen kunnen achteraf worden doorbelast aan de organisatie.
- De organisator dient rekening te houden met het te verwachten aantal bezoekers zorg te dragen voor voldoende sanitaire voorzieningen.
## Bewonersinformatie
Bewoners van nabijgelegen woningen en bedrijven moeten vooraf worden geïnformeerd over het evenement en de te organiseren activiteiten, door middel van een bewonersbrief. Deze bewonersbrief bevat tenminste de volgende informatie:
- Datum(s) en tijd(en) evenement.
- Datum(s) en tijd(en) op- en afbouw.
- Verkeersmaatregelen (locaties en tijden van o.a. afsluitingen).
- Parkeerbeperkingen (locaties en tijden).
- Regeling doorlaatbewijzen en regeling voor bewoners met parkeervergunningen.
- Consequenties voor het openbaar vervoer.
- Bereikbaarheid van het evenement per openbaar vervoer.
- P+R terreinen die voor het evenement van belang zijn.
- Internetsite waar extra informatie te vinden is.
- Telefoonnummer van de organisatie waarop informatie verkrijgbaar is (ook op de dag zelf).
- Telefoonnummer van de Meldkamer van de DCMR Milieudienst Rijnmond (0888-333555, 24 uur per dag bereikbaar) waar contact mee kan worden gezocht bij geluidsoverlast.
- De organisatie levert uiterlijk 7 dagen van tevoren een kopie van bovengenoemde bewonersbrief (incl. de locaties waar deze brief is verspreid door middel van opgave postcodegebieden) aan Team Evenementen (Postbus 70012, 3000 KP Rotterdam) en DCMR Milieudienst Rijnmond (t.a.v. de Meldkamer en Bureau Geluid, Postbus 843, 3100 AV Schiedam).
## Aansprakelijkheid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&lt;!-- image --&gt;
&lt;!-- image --&gt;
## Bijlage II: Geluidvoorschriften bij de evenementenvergunning voor Koningsdag 2023 bij Café Beurs aan de Kruiskade 55 en George aan de Lijnbaan 36 - 42 te Rotterdam
De evenementenvergunning is aangevraagd voor de buitenruimte van een inrichting, die valt onder het Activiteitenbesluit milieubeheer (verder: het Besluit). In dit Besluit zijn grenswaarden opgenomen voor de geluidbelasting ten gevolge van een inrichting. Deze grenswaarden zijn niet van toepassing op dagen in verband met de viering van collectieve festiviteiten die plaatsvinden binnen de inrichting, waarbij het aantal dagen bij of krachtens een gemeentelijke verordening is aangewezen.
Conform de Algemene Plaatselijke Verordening (APV) van de gemeente Rotterdam kunnen voor inrichtingen per jaar ten hoogste zeven festiviteiten aangewezen worden als collectieve festiviteiten, waarbij de geluidgrenswaarden uit het Besluit niet van toepassing zijn.
De aangevraagde activiteiten vallen onder een collectieve festiviteit.
Om overmatige geluidoverlast te voorkomen zijn aan de voorliggende evenementenvergunning krachtens de APV de volgende geluidvoorschriften verbonden voor de duur van het evenement:
## Algemene zorgplicht
1. Muziek en ander geluid, al dan niet elektronisch versterkt, mogen geen ernstige of onnodige geluidoverlast voor de omgeving veroorzaken; indien van dergelijke geluidoverlast mocht blijken, is de politie bevoegd de geluiduitzending te doen herhaling - voortijdig te doen beëindigen.
2. onderbreken en een verminderd geluidniveau aan te geven, dan wel - in geval van Bovendien is de politie bevoegd bij overtreding van de voorschriften strafrechtelijk op te treden.
## Grenswaarden geluidniveaus
2. Het equivalente geluidniveau gedurende 1 minuut (Leq,1 min) veroorzaakt door de versterkte weergave van muziek en stemgeluid mag in het publieksvlak op 5 meter afstand van luidsprekers niet meer bedragen dan:
2. -90 dB(A) en 100 dB(C), in de uren waarin het evenement plaatsvindt.
## Meet- en beoordelingsmethode
3. Het meten en berekenen van de geluidniveaus en het beoordelen van de meetresultaten moet plaatsvinden overeenkomstig de Handleiding meten en rekenen Industrielawaai 1999.
4. In afwijking van de Handleiding meten en rekenen Industrielawaai hoeft voor de beoordeling van het equivalente geluidniveau van muziekgeluid geen toeslag van 10 dB toegepast te worden, voordat getoetst wordt aan de grenswaarden uit voorschrift 2.
## Eindtijd
5. Het versterkt ten gehore brengen van muziek en ander geluid moet om uiterlijk 20:00 uur worden beëindigd.
## Muziekinstallatie en monitoring
6. Het geluidniveau, dat voortgebracht wordt door de geluidapparatuur, moet gedurende het gehele evenement door een geluidtechnicus gemonitord worden. De geluidtechnicus moet hiervoor bij de mengtafel over een geluidniveaumeter (type 1, 2 of 3) beschikken, die geschikt is voor geluidmetingen van het dB(A)- en dB(C)-geluidniveau. Ter plaatse van de mengtafel moeten de van toepassing zijnde geluidgrenswaarden duidelijk vermeld worden (bijvoorbeeld door het vastplakken op de mengtafel van gaffer tape of een geplastificeerde kaart, waarop de grenswaarden vermeld zijn). De geluidtechnicus moet de aanwijzingen van de politie of van een namens de vergunningverlener controlerende instantie voor een wijziging van de instellingen van de apparatuur stipt en onmiddellijk opvolgen en tot nader order uitvoeren.
7. De geluidapparatuur moet voorzien zijn van een equalizer. De equalizer moet zodanig ingesteld zijn, dat frequenties lager dan 40 Hz met een verval van minimaal 8 dB per tertsband afgefilterd worden en dat de in voorschrift 2 gespecificeerde dB(A)- en dB(C)geluidniveaus niet overschreden worden.
8. De luidsprekers moeten zodanig opgesteld worden, dat de geluidproductie zoveel mogelijk van de gevels van de dichtstbij gelegen woningen en andere geluidgevoelige gebouwen en terreinen (ziekenhuizen, bejaardentehuizen etc.) af gericht is en gericht is naar het publiek op het evenemententerrein.
## Voorkomen gehoorschade
9. Bezoekers van het evenement moeten van tevoren door de organisator deugdelijk geïnformeerd worden over het mogelijk optreden van gehoorschade bij blootstelling aan de bij het evenement optredende geluidniveaus.
## Op- en afbouw
10. Het opbouwen en het afbreken van het evenement moet zoveel mogelijk plaatsvinden in de uren gelegen tussen 09:00 en 21:00 uur. In ieder geval mogen tussen 21:00 en 09:00 uur geen overlastveroorzakende opbouw- of afbreekactiviteiten uitgevoerd worden in de nabijheid van woningen en andere geluidgevoelige gebouwen en terreinen.
## Bewonersbrief
11. Bewoners van nabijgelegen woningen en andere geluidgevoelige gebouwen en terreinen en werknemers van omliggende bedrijven moeten tenminste een week voordat het evenement plaatsvindt schriftelijk geïnformeerd worden door de vergunninghouder over de te ondernemen activiteiten.
2. Hierbij moeten de tijdstippen van het evenement, evenals mogelijke overlast
3. veroorzakende activiteiten of beperkingen kenbaar gemaakt worden.
4. Tevens moet minimaal één telefoonnummer worden vermeld, waarop aanvullende informatie te verkrijgen is.
&lt;!-- image --&gt;
&lt;!-- image --&gt;
Verder moet vermeld worden dat bij geluidoverlast contact gezocht kan worden met de Meldkamer van DCMR Milieudienst Rijnmond, telefoonnummer 0888-333 555 (24 uur per dag bereikbaar) of via https://www.dcmr.nl/melding-maken.
De informatiebrief moet tenminste verspreid worden naar de woningen, andere geluidgevoelige gebouwen en terreinen en bedrijven aan:
- de Joost Banckertsplaats,
- de Karel Doormanstraat (Manhaveflat)
- de Kruiskade (nummers 2A-2Q).
Een afschrift van de informatiebrief moet gestuurd worden naar DCMR Milieudienst Rijnmond, t.a.v. de Meldkamer, Postbus 843, 3100 AV Schiedam.
## Toelichting:
Onder 'andere geluidgevoelige gebouwen en terreinen' vallen onderwijsgebouwen, ziekenhuizen en verpleeghuizen, verzorgingstehuizen, psychiatrische inrichtingen, kinderdagverblijven, woonwagenstandplaatsen en bestemde ligplaatsen voor woonschepen.
Bij een groot aantal woningen in een flatgebouw is het wellicht aan te bevelen gebruik te maken van posters die in de entreehal nabij de brievenbussen goed zichtbaar worden opgehangen.
## Voorwaarde in geval van muziek op het terras
- In verband met Koningsdag 2023, geldt het Besluit collectieve festiviteiten 2023 in geheel Rotterdam. U hoeft op 27 april 2023 geen kraskaart te gebruiken voor een tijdelijke ontheffing van de geldende geluids- en lichtbeperkingen voor de duur van het evenement.</t>
  </si>
  <si>
    <t>ROT_788e_rotterdam-centrum_Vergunning.txt</t>
  </si>
  <si>
    <t>Ryanair Ltd.</t>
  </si>
  <si>
    <t>ryanair ltd</t>
  </si>
  <si>
    <t>Ryanair Ltd. [5357:5369]</t>
  </si>
  <si>
    <t>[...] ier voege dat de begunstigingstermijn voor de in dat onderdeel e opgenomen last onder dwangsom ter zake van de niet-naleving van artikel 6:227c, eerste lid, BW, wordt verlengd met 23 weken. Dit besluit is gericht tot Ryanair Ltd., gevestigd te Dublin, Ierland Autoriteit Consument en Markt namens deze, w.g. dr. F.J.H. Don bestuurslid ## Bezwaar Belanghebbenden die zich met dit besluit niet kunnen verenigen, kunnen binnen zes weken na [...]</t>
  </si>
  <si>
    <t>ACM__sanctie_11252_aanvullend-besluit-in-de-zaak-ryanair -2013-05-16.txt::Besluitvormend Orgaan</t>
  </si>
  <si>
    <t>De Autoriteit Consument en Markt [4987:5019]</t>
  </si>
  <si>
    <t>&lt;!-- image --&gt;
## Geachte heer ,
In antwoord op het verzoek van 08-11-2022, deel ik u mede dat er ingevolge artikel 2:25 van de Algemene Plaatselijke Verordening van Rotterdam een vergunning verleend wordt voor:
Evenement
:  Chanoeka viering
Categorie
:  A-evenement
Datum en tijd(en) evenement
:   Dinsdag 20 december 2022 van 19:00 tot 20:30 uur
Locatie
:  Schouwburgplein
Gebied
:  Centrum
Data en tijden op- en afbouw
:  Opbouw
Dinsdag 20 december 2022 van 16:30 tot 18:30 uur
## Afbouw
Dinsdag 20 december 2022 van 20:30 tot 21:30 uur
Bezoekersaantal
:  Maximaal 150 bezoekers gelijktijdig
## Zondagswet
Tevens verleen ik u ontheffing van het bepaalde in artikel 3, eerste lid van de Zondagswet om gedurende de tijd na 13:00 uur gerucht te verwekken dat op een afstand van meer dan 200 meter van het punt van de geluidsbron hoorbaar is.
Ook verleen ik u op grond van artikel 4, derde lid van de Zondagswet ontheffing van het in artikel 4, eerste lid van de Zondagswet gestelde verbod: 'het is verboden op zondag voor 13:00 uur openbare vermakelijkheden te houden, daartoe gelegenheid te geven of daaraan deel te nemen'.
In dit verband breng ik u onder de aandacht dat ongeacht deze ontheffing onverminderd van kracht blijft artikel 2, eerste lid van de Zondagswet luidende: 'het is verboden op zondag in de nabijheid van kerken of andere gebouwen voor de openbare eredienst in gebruik, zonder strikte noodzaak gerucht te verwekken, waardoor de godsdienstoefening wordt gehinderd'
U dient zorg voor te dragen dat het gaan naar en het huiswaarts keren van kerkdiensten als gevolg van genoemd evenement niet of nagenoeg niet wordt belemmerd.
Ik behoud mij te allen tijde het recht voor om op grond van de openbare orde en veiligheid of omwille van de gezondheid van bezoekers alsnog te besluiten deze vergunning in te trekken c.q. aanvullende voorschriften aan de vergunning te verbinden.
Aan deze vergunning zijn de in de bijlage opgenomen voorschriften verbonden. De in de bijlage opgenomen voorschriften laten verplichtingen van vergunninghouder voortvloeiende uit andere wet- en regelgeving onverlet.
Tot slot wijs ik u erop, dat u aansprakelijk bent voor alle schade die door het gebruik van deze vergunning aan eigendommen van de gemeente of van anderen mocht worden toegebracht.
Postadres:
Postbus 70012
3000 KP Rotterdam
Directie Veiligheid, Evenementen Website: www.rotterdam.nl
E-mail:
Telefoon:
Inlichtingen bij:
Kenmerk: 767550-2022
Betreft:
Evenementenvergunning
Datum:
24-11-2022
De burgemeester van Rotterdam, Namens deze,
D. Cevik Plaatsvervangend teamleider Evenementen
&lt;!-- image --&gt;
## Bijlage(n) behorende bij de evenementenvergunning
Bijlage I
: Voorschriften
Bijlage II
: Geluidsvoorschriften
Bijlage III
: Artikelen BBGBOP
Bijlage IV
: Veiligheidsplan (niet ter publicatie)
Bijlage V
: Situatieschets (niet ter publicatie)
Bijlage VI
: Programma (niet ter publicatie)
## Niet eens met deze beslissing?
Dan kunt u, of een andere belanghebbende, een bezwaarschrift indienen. Dit moet binnen zes weken na de bekendmaking van het besluit. U stuurt het bezwaarschrift naar:
##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ook digitaal indienen op Rotterdam.nl/pdc:bezwaar indienen, m.b.v. het webformulier (zie 'mijn loket'). Hiervoor is nodig een DigiD-code, of voor bedrijven een E-herkenning, die kan worden aangevraagd via digid.nl, respectievelijk eherkenning.nl. U kunt het bezwaarschrift niet op een andere digitale wijze, bijvoorbeeld per e-mail, indienen. Zie voor meer informatie www.rechtspraak.nl.
&lt;!-- image --&gt;
## Bijlage I: Voorschriften behorende bij de evenementenvergunning van:
Naam contactpersoon :
Telefoonnummer contactpersoon :
## Openbare Orde en Veiligheid
- Een vertegenwoordiger van de organisator moet beschikbaar zijn als aanspreekpunt voor de politie. Diens naam en (mobiel) nummer dienen te worden doorgegeven aan de coördinator evenementen van het district Rotterdam-Stad telefoon 0900-8844.
- De vergunninghouder is verplicht deze vergunning op verzoek van een ambtenaar (belast met de zorg voor de naleving van de voorschriften) te laten zien.
- Het parcours/terrein wordt aanvaard in de staat waarin het zich bevindt; de gemeente kan niet aansprakelijk worden gesteld voor eventuele gevolgen voortvloeiende uit genoemde staat.
- Iedereen is verplicht om op en rond het evenemententerrein alle aanwijzingen, gegeven door (hulp-)diensten in het belang van de openbare orde of veiligheid van personen en goederen, stipt op te volgen.
- Eventueel inzet van particulier toezicht (ook toegangscontrole) op het evenemententerrein moet door een erkend beveiligingsbedrijf worden uitgevoerd met gediplomeerd personeel voorzien van een geldig beveiligingslegitimatiebewijs.
- Beveiligingswerkzaamheden dienen tijdig schriftelijk te worden gemeld bij Bijzondere Wetten afdeling EXO via mailbox: korpscheftaken.rotterdam@politie.nl.
## Verkeer
- De vrije doorgang van openbaar vervoersdiensten mag op geen enkele wijze worden belemmerd.
- Het evenement of de activiteiten mogen de bereikbaarheid van woningen, winkels of (horeca)bedrijven niet belemmeren.
- Alle verkeersmaatregelen (redactieborden, etc.) worden uiterlijk 72 uur voorafgaand aan het evenement geplaatst en uiterlijk 48 uur na afloop van het evenement verwijderd.
- Begeleidende voertuigen (belast met de aanvoer van het eventueel benodigde materialen) mogen op het terrein aanwezig zijn als desbetreffend voertuig actief wordt gelost of geladen.
- Voertuigen van medewerkers mogen niet op het terrein geparkeerd worden en dienen gebruik te maken van de bestaande voorzieningen zoals parkeergarages en andere parkeervoorzieningen.
- Voor eventuele benodigde parkeervergunningen en/of ontheffingen kan men mailen naar apostz@rotterdam.nl of bellen naar 14010.
- De verkeersregelaars moeten 1 week voor aanvang van het evenement bij het team Verkeersregie worden aangemeld om toestemming te verkrijgen (teamverkeersregie@rotterdam.nl). Ook verkeersregelaars met een landelijke aanstelling of evenementenverkeersregelaars met een jaaraanstelling moeten zich bij het Team Verkeersregie aanmelden.
## Plaatsen van podia, tenten, kramen en andere voorwerpen
- Het is verboden eigendommen van de gemeente te verwijderen; alle voorwerpen dienen in principe los op de ondergrond te worden geplaatst.
- Aan eigendommen van de gemeente, zoals hekken, bomen en lantarenpalen mag niets worden bevestigd.
- Eventueel ter plaatse aanwezige brandkranen en -putten voor de brandweer direct toegankelijk blijven.
- Nulmeting voor het plaatsen van het object.
- Het natuursteen beschermen bij leveren van goederen en onder het object beschermen door middel van kunststof rijplaten.
- Ondernemers en bewoners informeren over de geplande werkzaamheden t.b.v. het evenement.
&lt;!-- image --&gt;
&lt;!-- image --&gt;
- Beschermende maatregelen aanbrengen bij hijswerkzaamheden bij en nabij bomen, straatmeubilair, verkeersborden, lichtmasten etc.
- Aanleveren van materialen door middel van een pompwagen.
- Ook zijn de hellingbanen kwetsbaar, en kunnen geen zware belasting hebben.
- Geen objecten plaatsen op de bedriegertjes.
- Afzetten gebied niet alleen met lint, gaat namelijk los en waait weg.
- Bij het bereiden en uitgeven van voedsel de ondergrond beschermen tegen vet.
- De locatie dient opgeleverd te worden zoals deze voor aanvang van het evenement is aangetroffen.
- Kandelaar is hoog circa 4 meter / breed circa 2,5 meter.
- Voor het aansteken wordt een gasbrander gebruikt.
- Zoals te zien zijn het kleine vlammetjes die beschermd zijn door de glazen cover (in totaal zullen dit jaar 3 van de 8 lichtjes worden ontstoken).
- Er is een 6 kg brandblusser aanwezig.
- Er gaan maximaal 3 personen op de steiger gedurende een deel van de ceremonie, dit is voor het aansteken, circa 5 minuten.
- De kandelaar stevig plaatsen zodat deze niet kan omvallen.
- Voor dit advies is uitgegaan van 150 personen zoals benoemd in het veiligheidsplan.
## Schouwburgplein
- Het parkeren en/of gebruik van voertuigen op het plein is strikt verboden.
- De vloer moet, om beschadigingen te voorkomen, beschermd worden zodra er materialen op geplaatst worden. Beschermingsmateriaal moet van minimaal 18 mm dik hout zijn.
- Er mag niet met metalen voorwerpen, zoals dranghekken e.d. over de ondergronden van het plein worden gesleept.
- Er mogen geen platen of andere materialen worden losgehaald op het plein.
- Er mag niets aan het plein worden bevestigd. Op het plein bevinden zich schroefgaten waarop trekogen bevestigd kunnen worden voor het bevestigen van objecten.
- De te plaatsen materialen, tenten, podia of andere bouwwerken op de stalen of houten vloer, mogen de maximale belasting van 400 kg per m2 niet overschrijden. Voor de groene vloer is de maximale belasting 200 kg per m2.
- Puntbelasting met een oppervlakte van minder dan 1 m2 is niet toegestaan.
- De stroompunten mogen alleen worden geopend door de daartoe bevoegde medewerker van het rayonkantoor Centrum en Delfshaven van Openbare Werken.
- De in- en uit- en nooduitgangen van de parkeergarage Schouwburgplein, bioscoop Pathé en Jack's Casino dienen te allen tijde vrijgehouden te worden.
- Stroomvoorzieningen:
- o 19 stroompunten in vloer Schouwburgplein met 3 aansluitingen van 16AmpCee.
- o 3 stroompunten vanuit de ventilatie torens parkeergarage.
- o 1 Toren zijde Schouwburg 2x125AmpCee.
- o 2 Torens zijde Doelen 2x32AmpCee.
- Het verplaatsen van plantenschalen of andere objecten op het plein mag alleen plaatsvinden na goedkeuring van het rayonkantoor Centrum en Delfshaven.
## Afval en milieu
- De organisator/vergunninghouder is verantwoordelijk voor het veegschoon houden van het evenementengebied.
- Tijdens het evenement dient de organisator/vergunninghouder afvalbakken te plaatsen op het evenemententerrein en langs de aan en aflooproute. De containers/ afvalbakken moeten afsluitbaar zijn doormiddel van een deksel. De organisator/ vergunninghouder dient de afvalbakken regelmatig te legen.
- De organisator/vergunninghouder dient direct na afloop het evenementen terrein en de buitenruimte vanaf de grens buitenkant plus 250 meter veegschoon op te leveren.
&lt;!-- image --&gt;
Indien het verwijderen van het afval niet in eigen beheer kan geschieden, dient tijdig contact met Stadsbeheer Schone Stad (e-mail: schonestadverkoopsb@rotterdam.nl) te worden opgenomen.
- Gemeentelijke afvalkorven, die als gevolg van het evenement, overlopen dienen door de organisator/vergunninghouder te worden "afgeroomd".
- Het is de organisator/ vergunninghouder niet toegestaan afval te deponeren in de gemeentelijke, voor publieke en huishoudens bedoelde, afvalinzameling faciliteiten.
- Bij eetkramen of foodtrucks moet de organisator/ vergunninghouder voorzieningen treffen die voorkomen dat de ondergrond vervuild of beschadigd raakt.
- Eventuele extra kosten die gemaakt worden om de buitenruimte weer op het oorspronkelijke schoonniveau te brengen kunnen achteraf worden doorbelast aan de organisatie.
- De organisator dient rekening te houden met het te verwachten aantal bezoekers zorg te dragen voor voldoende sanitaire voorzieningen.
## Bewonersinformatie
Bewoners van nabijgelegen woningen en bedrijven moeten vooraf worden geïnformeerd over het evenement en de te organiseren activiteiten, door middel van een bewonersbrief. Dit graag ruim op tijd vermelden aan de bewoners en bedrijven in de buurt. Deze bewonersbrief bevat tenminste de volgende informatie:
- Datum(s) en tijd(en) evenement.
- Datum(s) en tijd(en) op- en afbouw.
- Verkeersmaatregelen (locaties en tijden van o.a. afsluitingen).
- Parkeerbeperkingen (locaties en tijden).
- Regeling doorlaatbewijzen en regeling voor bewoners met parkeervergunningen.
- Consequenties voor het openbaar vervoer.
- Bereikbaarheid van het evenement per openbaar vervoer.
- P+R terreinen die voor het evenement van belang zijn.
- Internetsite waar extra informatie te vinden is.
- Telefoonnummer van de organisatie waarop informatie verkrijgbaar is (ook op de dag zelf).
- Telefoonnummer van de Meldkamer van de DCMR Milieudienst Rijnmond (0888333555, 24 uur per dag bereikbaar) waar contact mee kan worden gezocht bij geluidsoverlast.
- De organisatie levert uiterlijk 7 dagen van tevoren een kopie van bovengenoemde bewonersbrief (incl. de locaties waar deze brief is verspreid door middel van opgave postcodegebieden) aan Team Evenementen (Postbus 70012, 3000 KP Rotterdam) en DCMR Milieudienst Rijnmond (t.a.v. de Meldkamer en Bureau Geluid, Postbus 843, 3100 AV Schiedam).
## Aansprakelijkheid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&lt;!-- image --&gt;
## Bijlage II: geluidsvoorschriften bij de evenementenvergunning voor Chanoeka viering d.d. 20-12-2022
Om overmatige geluidsoverlast te voorkomen zijn aan deze evenementenvergunning krachtens de APV-geluidsvoorwaarden verbonden voor de duur van het evenement:
1. Muziek en ander geluid, al dan niet mechanisch/elektronisch versterkt, mogen geen ernstige geluidsoverlast voor de omgeving veroorzaken; indien van dergelijke geluidsoverlast mocht blijken, is de politie bevoegd de geluidsuitzending te doen onderbreken en een verminderd geluidsniveau aan te geven; dan wel - in geval van herhaling - voortijdig te doen beëindigen. Bovendien is de politie bevoegd bij overtreding van de voorschriften strafrechtelijk op te treden.
2. Het equivalente geluidsniveau gedurende 1 minuut (Leq,1 min) veroorzaakt door de aangevraagde activiteiten en de bij de aangevraagde activiteiten betrokken toestellen en installaties, te weten:
3. achtergrondmuziek
mag op 10 meter afstand van de bron niet meer bedragen dan: 95 dB(A) in de uren, waarin het evenement plaatsvindt.
3. Het meten en berekenen van de geluidniveaus, en het beoordelen van de meetresultaten moet plaatsvinden overeenkomstig de Meet- en rekenvoorschriften industrielawaai.
4. In afwijking van de Meet- en rekenvoorschriften industrielawaai hoeft voor de beoordeling van het equivalente geluidsniveau gedurende 1 minuut (Leq,1 min) van muziekgeluid geen verhoging van 10 dB toegepast te worden, voordat getoetst wordt aan de normwaarde uit voorschrift 2.
5. De luidsprekers dienen dusdanig opgesteld te worden, zodat de geluidproductie zoveel mogelijk naar het bedoelde publiek op het evenemententerrein gericht is. Ten behoeve van de doorstroming van verkeer op de stoep of de rijbaan dienen tevens de aanwijzingen van de politie met betrekking tot de opstelling van de luidsprekers opgevolgd te worden.
6. Het opbouwen en het afbreken van het evenement dient zoveel mogelijk plaats te vinden in de uren gelegen tussen 08.00 en 23.00 uur. In ieder geval mogen tussen 23.00 en 08.00 uur geen overlast veroorzakende opbouw- of afbreekactiviteiten uitgevoerd worden.
7. De plaatsing van het podium dient op een dusdanig manier te geschieden dat omwonenden zo min mogelijk worden belast met de 'geluidsstraling'.</t>
  </si>
  <si>
    <t>ROT_925e_charlois_Vergunning.txt</t>
  </si>
  <si>
    <t>[...] er dwangsom met 23 weken gerechtvaardigd is. De begunstigingstermijn komt daarmee op in totaal 36 weken, te rekenen vanaf de bekendmaking van het sanctiebesluit. &lt;!-- image --&gt; ## Besluit Openbaar ## BESLUIT De Autoriteit Consument en Markt: wijzigt onderdeel e van het besluit van de Consumentenautoriteit van 26 februari 2013, kenmerk CA/IB/878/12, in dier voege dat de begunstigingstermijn voor de in dat onderdeel e opgenomen last onder dwangsom ter zak [...]</t>
  </si>
  <si>
    <t>ACM__sanctie_11252_aanvullend-besluit-in-de-zaak-ryanair -2013-05-16.txt::Rechtshandeling</t>
  </si>
  <si>
    <t>wijzigt</t>
  </si>
  <si>
    <t>wijzigt [5024:5032]</t>
  </si>
  <si>
    <t>wijzigt [5024:5031]</t>
  </si>
  <si>
    <t>[...] igd is. De begunstigingstermijn komt daarmee op in totaal 36 weken, te rekenen vanaf de bekendmaking van het sanctiebesluit. &lt;!-- image --&gt; ## Besluit Openbaar ## BESLUIT De Autoriteit Consument en Markt: wijzigt onderdeel e van het besluit van de Consumentenautoriteit van 26 februari 2013, kenmerk CA/IB/878/12, in dier voege dat de begunstigingstermijn voor de in dat onderdeel e opgenomen last onder dwangsom ter zake van de niet [...]</t>
  </si>
  <si>
    <t>ACM__sanctie_11252_aanvullend-besluit-in-de-zaak-ryanair -2013-05-16.txt::Rechtsobject</t>
  </si>
  <si>
    <t>last onder dwangsom [5212:5231]</t>
  </si>
  <si>
    <t>&lt;!-- image --&gt;
## Geachte
In antwoord op het verzoek van 2 oktober 2024, deel ik u mede dat er ingevolge artikel 2:25 van de Algemene Plaatselijke Verordening van Rotterdam een vergunning verleend wordt voor:
Evenement :
Intocht Sint Nicolaas 2024
Categorie
:
A-evenement
Datum en tijd(en) evenement :
Zaterdag 23 november 2024 van 09.30 tot 11.30 uur
Locatie :
Charloisse Hoofd
Gebied :
Charlois, Rotterdam
Data en tijden op- en afbouw :
Opbouw: 23 november 2024 van 08.30 tot 09.30 uur Afbouw: 23 november 2024 van 11.30 tot 12.30 uur
Bezoekersaantal :
Maximaal 250 bezoekers gelijktijdig
Ik behoud mij te allen tijde het recht voor om op grond van de openbare orde en veiligheid of omwille van de gezondheid van bezoekers alsnog te besluiten deze vergunning in te trekken c.q. aanvullende voorschriften aan de vergunning te verbinden.
Aan deze vergunning zijn de in de bijlage opgenomen voorschriften verbonden. De in de bijlage opgenomen voorschriften laten verplichtingen van vergunninghouder voortvloeiende uit andere weten regelgeving onverlet.
Tot slot wijs ik u erop, dat u aansprakelijk bent voor alle schade die door het gebruik van deze vergunning aan eigendommen van de gemeente of van anderen mocht worden toegebracht.
De burgemeester van Rotterdam, Voor deze,
M.B.T. Heijmink Teamleider Horeca en Evenementen
## Bijlage(n) behorende bij de evenementenvergunning
Bijlage I
: Voorschriften
Bijlage II
: Geluidsvoorschriften
Bijlage III
: Artikelen BBGBOP (niet ter publicatie)
Bijlage IV
: Veiligheidsplan (niet ter publicatie)
Bijlage V
: Intocht Sint Nicolaas m.b.t. podium en afsluitingen 2024.pdf.
d.d. 3-10-2024 (niet ter publicatie)
Bijlage VI
: Situatieschets (niet ter publicatie)
Bijlage VII
: Draaiboek (niet ter publicatie)
Postadres:
Postbus 70012
3000 KP Rotterdam
Directie Veiligheid, Evenementen
Website:
www.rotterdam.nl
E-mail:
Telefoon:
Inlichtingen bij:
Kenmerk:
685148-2024
Betreft:
Evenementenvergunning
Datum:
4 november 2024
## Zo maakt u bezwaar
Bezwaar maken kan binnen 6 weken na de datum dat dit besluit bekend is gemaakt. U maakt digitaal bezwaar op www.rotterdam.nl/bezwaar.
## Of stuur een brief naar:
Burgemeester van Rotterdam T.a.v. Algemene Bezwaarschriften Commissie Postbus 1011 3000 BA Rotterdam
## Zet in uw brief:
- tegen welk besluit u bezwaar maakt, inclusief het kenmerk van dit besluit. Dit staat rechtsboven op de eerste pagina. Of stuur een kopie van het besluit mee;
- waarom u bezwaar maakt;
- de datum waarop u bezwaar maakt.;
- uw naam, adres en handtekening;
- uw telefoonnummer.
## Direct in de problemen door dit besluit?
Als u bezwaar maakt, kan het besluit nog wel worden uitgevoerd. Hebt u daardoor direct een ernstig probleem of kunt u de uitkomst van het bezwaar niet afwachten?
U kunt dan een voorlopige beslissing aan de rechter vragen. Dat kan alleen als er sprake is van een spoedeisende situatie. Deze beslissing heet voorlopige voorziening. De rechter beslist hierover. De kosten van een voorlopige voorziening moet u meestal zelf betalen.
Krijgt u een voorlopige voorziening van de rechter? Dan voert de gemeente het besluit niet uit, tot u een beslissing op uw ingediende bezwaar hebt gekregen.
U kunt een voorlopige voorziening aanvragen op www.rechtspraak.nl. Zoek op 'voorlopige voorziening bestuursrecht aanvragen'.
Of stuur een brief naar: Rechtbank Rotterdam Sector Bestuursrecht Postbus 50951 3007 BM Rotterdam
&lt;!-- image --&gt;
## Bijlage I: Voorschriften behorende bij de evenementenvergunning voor 'Intocht Sint Nicolaas 2024' d.d. 23 november 2024 van 09.30 tot 11.30 uur op het Charloisse Hoofd:
Organisatie :
Naam contactpersoon :
Telefoonnummer contactpersoon :
## Openbare Orde en Veiligheid
- Een vertegenwoordiger van de organisator moet beschikbaar zijn als aanspreekpunt voor de politie. Diens naam en (mobiel) nummer dienen te worden doorgegeven aan de coördinator evenementen van het district Rijnmond Rotterdam, telefoon 0900-8844.
- De vergunninghouder is verplicht deze vergunning op verzoek van een ambtenaar (belast met de zorg voor de naleving van de voorschriften) te laten zien.
- Het parcours/terrein wordt aanvaard in de staat waarin het zich bevindt; de gemeente kan niet aansprakelijk worden gesteld voor eventuele gevolgen voortvloeiende uit genoemde staat.
- Iedereen is verplicht om op en rond het evenemententerrein alle aanwijzingen, gegeven door (hulp-)diensten in het belang van de openbare orde of veiligheid van personen en goederen, stipt op te volgen.
- Eventueel inzet van particulier toezicht (ook toegangscontrole) op het evenemententerrein moet door een erkend beveiligingsbedrijf worden uitgevoerd met gediplomeerd personeel voorzien van een geldig beveiligingslegitimatiebewijs.
- Beveiligingswerkzaamheden dienen tijdig schriftelijk te worden gemeld bij Bijzondere Wetten afdeling EXO via mailbox: korpscheftaken.rotterdam@politie.nl.
- Op het terrein dienen passende blusmiddelen aanwezig te zijn.
- Evenementen eerste hulp dient volgens de veldnorm uitgevoerd te worden.
## Verkeer
- Alle toegangswegen naar het evenemententerrein inclusief de calamiteitenroute dienen volgens de voorwaarden vanuit bijlage III BBGBOP-artikelen beschikbaar te zijn voor hulpdiensten.
- De vrije doorgang van openbaar vervoersdiensten mag op geen enkele wijze worden belemmerd.
- Het evenement of de activiteiten mogen de bereikbaarheid van woningen, winkels of (horeca)bedrijven niet belemmeren.
- Alle verkeersmaatregelen (redactieborden, etc.) worden uiterlijk 72 uur voorafgaand aan (de opbouw van) het evenement geplaatst en uiterlijk 48 uur na afloop van het evenement verwijderd.
- Begeleidende voertuigen (belast met de aanvoer van het eventueel benodigde materialen) mogen op het terrein aanwezig zijn als desbetreffend voertuig actief wordt gelost of geladen.
- Voertuigen van medewerkers mogen niet op het terrein geparkeerd worden en dienen gebruik te maken van de bestaande voorzieningen zoals parkeergarages en andere parkeervoorzieningen.
- Voor eventuele benodigde parkeervergunningen en/of ontheffingen kan men mailen naar apostz@rotterdam.nl of bellen naar 14010.
- Parkeeroverlast als gevolg van het evenement moet worden voorkomen. De organisatie dient voor voldoende parkeergelegenheid (inclusief fietsers) en/of verwijzing daarnaar voor bezoekers van dit evenement te zorgen.
- De organisator dient gebruik te maken van een hek (rood-wit schrikhek, 2,5 meter breed + CO1) als afzetmateriaal van het Charloisse Hoofd en het Ponserpad.
- De organisator dient te zorgen voor een snelle verwijdering van de afzettingen, indien nodig voor de bereikbaarheid t.b.v. hulpdiensten.
- De organisator dient te zorgen voor de verwijdering van het afzetmateriaal na het einde van (de afbouw van) het evenement.
- De verkeersregelaars moeten 1 week voor aanvang van het evenement bij het team Verkeersregie worden aangemeld om toestemming te verkrijgen (teamverkeersregie@rotterdam.nl). Ook verkeersregelaars met een landelijke aanstelling of evenementenverkeersregelaars met een jaaraanstelling moeten zich bij het Team Verkeersregie aanmelden.
- De Maastunnel fietstunnel en ook het Bezoekerscentrum Maastunnel (Ventilatiegebouw Zuid) dienen te allen tijde bereikbaar te blijven.
- Organisator dient d.m.v. bebording te verwijzen naar de andere ingang van de Maastunnel aan de zijkant van het gebouw van de fietstunnel.
&lt;!-- image --&gt;
## Plaatsen van podia, tenten, kramen en andere voorwerpen
- Het is verboden eigendommen van de gemeente te verwijderen; alle voorwerpen dienen in principe los op de ondergrond te worden geplaatst.
- Grondankers zijn niet toegestaan zonder toestemming van Stadsbeheer.
- Aan eigendommen van de gemeente, zoals hekken, bomen, borden, banken en lantaarnpalen mag niets worden bevestigd behoudens in bijzondere gevallen, waarvoor door of vanwege de directeur Openbare Werken gemeente Rotterdam schriftelijk is verklaard dat daartegen geen bezwaren zijn.
- Eventueel ter plaatse aanwezige brandkranen en -putten voor de brandweer direct toegankelijk blijven.
- Bouwsels, waaronder podia, dienen op adequate wijze gezekerd te worden om wegwaaien en/of losschieten te voorkomen.
- Het podium dient met voldoende ballast (bijvoorbeeld betonblok/waterbak) te worden verankerd.
- Het bouwboek van het pdoium dient aanwezig te zijn op locatie voor eventuele raadpleging.
- Afsluiters en ruimtes voor gas, elektra, water en stadsverwarming dienen toegankelijk te blijven
- Het plaatsen van vlaggenmasten, bevestigingspunten en banieren in de grond is niet toegestaan.
- Tijdelijke leidingen moeten in kokers gelegd worden of worden afgedekt. Het leggen van kabels dient in afgestemd te worden met Stadsbeheer.
- Organisator dient erop toe te zien dat er geen fietsen voor de in-, nood- en uitgangen worden geplaatst. Deze dienen te allen tijde vrij en bereikbaar te blijven. Fietsen dienen te worden geplaatst op de daarvoor aangewezen plekken.
## Afval en milieu
- De organisator/vergunninghouder is verantwoordelijk voor het veegschoon houden van het evenementengebied.
- Tijdens het evenement dient de organisator/vergunninghouder afvalbakken te plaatsen op het evenemententerrein en langs de aan en aflooproute. De containers/ afvalbakken moeten afsluitbaar zijn doormiddel van een deksel. De organisator/ vergunninghouder dient de afvalbakken regelmatig te legen.
- De organisator/vergunninghouder dient direct na afloop het evenementen terrein en de buitenruimte vanaf de grens buitenkant plus 250 meter veegschoon op te leveren. Indien het verwijderen van het afval niet in eigen beheer kan geschieden, dient tijdig contact met Stadsbeheer Schone Stad (e-mail: schonestadverkoopsb@rotterdam.nl) te worden opgenomen.
- Gemeentelijke afvalkorven, die als gevolg van het evenement, overlopen dienen door de organisator/vergunninghouder te worden "afgeroomd".
- Het is de organisator/ vergunninghouder niet toegestaan afval te deponeren in de gemeentelijke, voor publieke en huishoudens bedoelde, afvalinzameling faciliteiten.
- Bij eetkramen of foodtrucks moet de organisator/ vergunninghouder voorzieningen treffen die voorkomen dat de ondergrond vervuild of beschadigd raakt.
- Eventuele extra kosten die gemaakt worden om de buitenruimte weer op het oorspronkelijke schoonniveau te brengen kunnen achteraf worden doorbelast aan de organisatie.
- De organisator dient rekening te houden met het te verwachten aantal bezoekers zorg te dragen voor voldoende sanitaire voorzieningen.
## Aansprakelijkheid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&lt;!-- image --&gt;
## Bijlage II: geluidsvoorschriften bij de evenementenvergunning voor 'Intocht Sint Nicolaas 2024' d.d. 23 november 2024 van 09.30 tot 11.30 uur op het Charloisse Hoofd:
Om overmatige geluidoverlast te voorkomen zijn aan de voorliggende evenementenvergunning krachtens de APV de volgende geluidvoorschriften verbonden voor de duur van het evenement:
## Algemene zorgplicht
1. Muziek en ander geluid, al dan niet elektronisch versterkt, mogen geen ernstige of onnodige geluidoverlast voor de omgeving veroorzaken; indien van dergelijke geluidoverlast mocht blijken, is de politie bevoegd de geluiduitzending te doen onderbreken en een verminderd geluidniveau aan te geven, dan wel - in geval van herhaling - voortijdig te doen beëindigen.
Bovendien is de politie bevoegd bij overtreding van de voorschriften strafrechtelijk op te treden.
## Grenswaarden geluidniveaus
2. Het equivalente geluidniveau gedurende 1 minuut (Leq,1 min) veroorzaakt door de versterkte weergave van muziek en stemgeluid mag ter plaatse van de gevel (invallend geluid) van de omliggende woningen en andere geluidgevoelige gebouwen en terreinen in de omgeving niet meer bedragen dan:
65 dB(A) en 75 dB(C) in de uren, waarin het evenement plaatsvindt.
## Meet- en beoordelingsmethode
3. Het meten en berekenen van de geluidniveaus en het beoordelen van de meetresultaten moet plaatsvinden overeenkomstig de Handleiding meten en rekenen Industrielawaai 1999.
4. In afwijking van de Handleiding meten en rekenen Industrielawaai hoeft voor de beoordeling van het equivalente geluidniveau van muziekgeluid geen toeslag van 10 dB toegepast te worden, voordat getoetst wordt aan de grenswaarden uit voorschrift 2.
## Eindtijd
5. Het versterkt ten gehore brengen van muziek en ander geluid moet om uiterlijk 11.30 uur worden beëindigd.
## Muziekinstallatie en monitoring
6. Het geluidniveau, dat voortgebracht wordt door de geluidapparatuur, moet gedurende het gehele evenement door een geluidtechnicus gemonitord worden. De geluidtechnicus moet hiervoor bij de mengtafel over een geluidniveaumeter (type 1, 2 of 3) beschikken, die geschikt is voor geluidmetingen van het dB(A)- en dB(C)-geluidniveau.
Ter plaatse van de mengtafel moeten de van toepassing zijnde geluidgrenswaarden duidelijk vermeld worden (bijvoorbeeld door het vastplakken op de mengtafel van gaffer tape of een geplastificeerde kaart, waarop de grenswaarden vermeld zijn).
Als de geluidgrenswaarden overschreden worden, moet de geluidtechnicus het geluidniveau verminderen.
De geluidtechnicus moet de aanwijzingen van de politie of van een namens de vergunningverlener controlerende instantie voor een wijziging van de instellingen van de apparatuur stipt en onmiddellijk opvolgen en tot nader order uitvoeren.
&lt;!-- image --&gt;
&lt;!-- image --&gt;
7. De geluidapparatuur moet voorzien zijn van een equalizer. De equalizer moet zodanig ingesteld zijn, dat frequenties lager dan 40 Hz met een verval van minimaal 8 dB per tertsband afgefilterd worden en dat de in voorschrift 2 gespecificeerde dB(A)- en dB(C)-geluidniveaus niet overschreden worden.
8. De luidsprekers moeten zodanig opgesteld worden, dat de geluidproductie zoveel mogelijk van de gevels van de dichtstbij gelegen woningen en andere geluidgevoelige gebouwen en terreinen (ziekenhuizen, bejaardentehuizen etc.) afgericht is en gericht is naar het publiek op het evenemententerrein.
## Aggregaten en koelcontainers/koelmachines
9. Voor de aggregaten en koelcontainers/koelmachines moet van geluidarme of geluidgedempte typen gebruik gemaakt worden, in overeenstemming met de huidige stand der techniek. De aggregaten en koelcontainers/koelmachines moeten op zo groot mogelijke afstand van de woningen en andere geluidgevoelige gebouwen en terreinen opgesteld worden. Dit geldt in het bijzonder voor aggregaten en koelcontainers/koelmachines, die in bedrijf zijn buiten de uren waarin de evenementsactiviteiten plaatsvinden.
## Op- en afbouw
10. Het opbouwen en het afbreken van het evenement moet zoveel mogelijk plaatsvinden in de uren gelegen tussen 09:00 en 21:00 uur. In ieder geval mogen tussen 21:00 en 09:00 uur geen overlastveroorzakende opbouw- of afbreekactiviteiten uitgevoerd worden in de nabijheid van woningen en andere geluidgevoelige gebouwen en terreinen.
## Bewonersbrief
11. Bewoners van nabijgelegen woningen en andere geluidgevoelige gebouwen en terreinen en werknemers van omliggende bedrijven moeten tenminste een week voordat het evenement plaatsvindt schriftelijk geïnformeerd worden door de vergunninghouder over de te ondernemen activiteiten.
Hierbij moeten de tijdstippen van het evenement, evenals mogelijke overlast veroorzakende activiteiten of beperkingen kenbaar gemaakt worden.
Tevens moet minimaal één telefoonnummer worden vermeld, waarop aanvullende informatie te verkrijgen is.
Verder moet vermeld worden dat bij geluidoverlast contact gezocht kan worden met de Meldkamer van DCMR Milieudienst Rijnmond, telefoonnummer 0888-333 555 (24 uur per dag bereikbaar) of via https://www.dcmr.nl/melding-maken.
De informatiebrief moet tenminste verspreid worden naar de omliggende woningen, andere geluidgevoelige gebouwen en terreinen en bedrijven 50 meter rond het evenemententerrein. Een afschrift van de informatiebrief moet gestuurd worden naar DCMR Milieudienst Rijnmond, t.a.v. de Meldkamer via info@dcmr.nl.
## Toelichting:
Onder 'andere geluidgevoelige gebouwen en terreinen' vallen onderwijsgebouwen, ziekenhuizen en verpleeghuizen, verzorgingstehuizen, psychiatrische inrichtingen, kinderdagverblijven, woonwagenstandplaatsen en bestemde ligplaatsen voor woonschepen.
Bij een groot aantal woningen in een flatgebouw is het wellicht aan te bevelen gebruik te maken van posters die in de entreehal nabij de brievenbussen goed zichtbaar worden opgehangen.</t>
  </si>
  <si>
    <t>ROT_1828e_feijenoord_Vergunning.txt</t>
  </si>
  <si>
    <t>[...] toriteit Consument en Markt: wijzigt onderdeel e van het besluit van de Consumentenautoriteit van 26 februari 2013, kenmerk CA/IB/878/12, in dier voege dat de begunstigingstermijn voor de in dat onderdeel e opgenomen last onder dwangsom ter zake van de niet-naleving van artikel 6:227c, eerste lid, BW, wordt verlengd met 23 weken. Dit besluit is gericht tot Ryanair Ltd., gevestigd te Dublin, Ierland Autoriteit Consument en Markt namens deze, w. [...]</t>
  </si>
  <si>
    <t>ACM__sanctie_14519_boete-kpn-voor-sdf-backhaul.txt::Ontvanger</t>
  </si>
  <si>
    <t>Koninklijke KPN N.V. en KPN B.V.</t>
  </si>
  <si>
    <t>koninklijke kpn n.v. en kpn b.v</t>
  </si>
  <si>
    <t>Koninklijke KPN N.V. en KPN B.V. [52944:52976]</t>
  </si>
  <si>
    <t>[...] potentiële overtreders effectief van nieuwe, soortgelijke overtredingen in de toekomst te weerhouden. ## Besluit Openbaar ## 10. Dictum 84. Gelet op al het voorgaande legt de Autoriteit Consument en Markt aan Koninklijke KPN N.V. en KPN B.V. gezamenlijk een boete op van € 2.000.000,- waarvoor zij hoofdelijk aansprakelijk zijn. Autoriteit Consument en Markt namens deze, W.g. mr. J.G. Vegter bestuurslid ## Bezwaar Belanghebbenden die zich met d [...]</t>
  </si>
  <si>
    <t>ACM__sanctie_14519_boete-kpn-voor-sdf-backhaul.txt::Besluitvormend Orgaan</t>
  </si>
  <si>
    <t>de Autoriteit Consument en Markt</t>
  </si>
  <si>
    <t>de Autoriteit Consument en Markt [52907:52939]</t>
  </si>
  <si>
    <t>&lt;!-- image --&gt;
## Geachte,
In antwoord op het verzoek van 31-3-2023, deel ik u mede dat er ingevolge artikel 2:25 van de Algemene Plaatselijke Verordening van Rotterdam een vergunning verleend wordt voor:
Evenement
:  Project Raamwerk II
Categorie
:  A-evenement
Datum en tijd(en) evenement
:   Zondag 25-6-2023 van 13.00 uur tot 18.00 uur
Locatie
:  Prins Hendrikstraat 5
Gebied
:  Feijenoord
Data en tijden op- en afbouw
:  Opbouw:
Zondag 25-6-2023 van 09.00 uur tot 12.00 uur
## Afbouw:
Zondag 25-6-2023 van 18.00 uur tot 19.30 uur
Bezoekersaantal
:  100 tegelijkertijd
## Zondagswet
Tevens verleen ik u ontheffing van het bepaalde in artikel 3, eerste lid van de Zondagswet om gedurende de tijd na 13:00 uur gerucht te verwekken dat op een afstand van meer dan 200 meter van het punt van de geluidsbron hoorbaar is.
Ook verleen ik u op grond van artikel 4, derde lid van de Zondagswet ontheffing van het in artikel 4, eerste lid van de Zondagswet gestelde verbod: 'het is verboden op zondag voor 13:00 uur openbare vermakelijkheden te houden, daartoe gelegenheid te geven of daaraan deel te nemen'.
In dit verband breng ik u onder de aandacht dat ongeacht deze ontheffing onverminderd van kracht blijft artikel 2, eerste lid van de Zondagswet luidende: 'het is verboden op zondag in de nabijheid van kerken of andere gebouwen voor de openbare eredienst in gebruik, zonder strikte noodzaak gerucht te verwekken, waardoor de godsdienstoefening wordt gehinderd'
U dient zorg voor te dragen dat het gaan naar en het huiswaarts keren van kerkdiensten als gevolg van genoemd evenement niet of nagenoeg niet wordt belemmerd.
Ik behoud mij te allen tijde het recht voor om op grond van de openbare orde en veiligheid of omwille van de gezondheid van bezoekers alsnog te besluiten deze vergunning in te trekken c.q. aanvullende voorschriften aan de vergunning te verbinden.
Aan deze vergunning zijn de in de bijlage opgenomen voorschriften verbonden. De in de bijlage opgenomen voorschriften laten verplichtingen van vergunninghouder voortvloeiende uit andere wet- en regelgeving onverlet.
Postadres:
Postbus 70012
3000 KP Rotterdam
## Directie Veiligheid, Evenementen
Website:
www.rotterdam.nl
E-mail:
Telefoon:
Inlichtingen bij
:
Kenmerk:
222974-2023
Betreft:
Evenementenvergunning
Datum:
3-5-2023
&lt;!-- image --&gt;
Tot slot wijs ik u erop, dat u aansprakelijk bent voor alle schade die door het gebruik van deze vergunning aan eigendommen van de gemeente of van anderen mocht worden toegebracht.
Namens de burgemeester van Rotterdam, Voor deze,
&lt;!-- image --&gt;
D
D. Cevik Teamleider Horecavergunningen
| Bijlage(n) behorende bij de evenementenvergunning   | Bijlage(n) behorende bij de evenementenvergunning   |
|-----------------------------------------------------|-----------------------------------------------------|
| Bijlage I                                           | : Voorschriften                                     |
| Bijlage II                                          | : Geluidsvoorschriften                              |
| Bijlage III                                         | : Artikelen BBGBOP                                  |
| Bijlage III                                         | : Situatietekening (niet ter publicatie)            |
| Bijlage IV                                          | : Veiligheidsplan (niet ter publicatie)             |
| Bijlage V                                           | : Draaiboek (niet ter publicatie)                   |
## Niet eens met deze beslissing?
Dan kunt u, of een andere belanghebbende, een bezwaarschrift indienen. Dit moet binnen zes weken na de bekendmaking van het besluit. U stuurt het bezwaarschrift naar:
## De Burgemeester
t.a.v. de Algemene Bezwaarschriftencommissie Postbus 1011, 3000 BA te ROTTERDAM Faxnummer Algemene Bezwaarschriftencommissie: (010) 267 63 00.
In het bezwaarschrift moet in ieder geval staan:
- uw naam, adres en handtekening;
- uw telefoonnummer zodat contact met u opgenomen kan worden om samen met u te bespreken wat de beste aanpak van uw bezwaarschrift is;
- de datum waarop u bezwaar maakt;
- een omschrijving van het besluit waartegen u bezwaar maakt;
- de reden(en) van uw bezwaar.
U wordt verzocht tevens een kopie van dit besluit mee te zenden.
U kunt uw bezwaarschrift ook digitaal indienen op Rotterdam.nl/pdc:bezwaar indienen, m.b.v. het webformulier (zie 'mijn loket'). Hiervoor is nodig een DigiD-code, of voor bedrijven een E-herkenning, die kan worden aangevraagd via digid.nl, respectievelijk eherkenning.nl. U kunt het bezwaarschrift niet op een andere digitale wijze, bijvoorbeeld per e-mail, indienen. Zie voor meer informatie www.rechtspraak.nl.
## Bijlage I; Voorschriften behorende bij de evenementenvergunning van:
Organisatie :
Naam contactpersoon :
Telefoonnummer contactpersoon
## Aanvullende voorwaarden
- Alle toegangswegen naar het evenemententerrein inclusief de calamiteitenroute volgens de voorwaarden vanuit bijlage 3 dienen beschikbaar te zijn voor hulpdiensten.
- Op het terrein zijn passende blusmiddelen aanwezig.
- Let op met het plaatsen van fietsen dat de in- en uitgangen en nooduitgangen vrij en bereikbaar blijven. Plaats de fietsen in de daarvoor aangewezen plaatsen.
- Op het terrein zijn de vluchtroutes duidelijk aangegeven.
- De bouwsels, waaronder tenten en podia, worden op adequate wijze gezekerd om wegwaaien en/of losschieten tegen te gaan. Zie verder de bijlagen.
## Openbare Orde en Veiligheid
- Een vertegenwoordiger van de organisator moet beschikbaar zijn als aanspreekpunt voor de politie. Diens naam en (mobiel) nummer dienen te worden doorgegeven aan de coördinator evenementen van het district Rijnmond Rotterdam, telefoon 09008844.
- De vergunninghouder is verplicht deze vergunning op verzoek van een ambtenaar (belast met de zorg voor de naleving van de voorschriften) te laten zien.
- Het parcours/terrein wordt aanvaard in de staat waarin het zich bevindt; de gemeente kan niet aansprakelijk worden gesteld voor eventuele gevolgen voortvloeiende uit genoemde staat.
- Iedereen is verplicht om op en rond het evenemententerrein alle aanwijzingen, gegeven door (hulp-)diensten in het belang van de openbare orde of veiligheid van personen en goederen, stipt op te volgen.
- Eventueel inzet van particulier toezicht (ook toegangscontrole) op het evenemententerrein moet door een erkend beveiligingsbedrijf worden uitgevoerd met gediplomeerd personeel voorzien van een geldig beveiligingslegitimatiebewijs.
- Beveiligingswerkzaamheden dienen tijdig schriftelijk te worden gemeld bij Bijzondere Wetten afdeling EXO via mailbox: korpscheftaken.rotterdam@politie.nl.
- Indien alcohol wordt geschonken zal de locatie waar de activiteit/festiviteit wordt gehouden als evenemententerrein worden aangemerkt.
- Een evenemententerrein dient duidelijk herkenbaar te zijn afgescheiden van de openbare weg.
- Er dient op te worden toegezien dat er geen alcoholhoudende drank wordt meegenomen naar de openbare weg, zijnde buiten het evenemententerrein of anders bepaald met betrekking tot het alcoholverstrekkingspunt of de locatie.
- De verstrekking van drinkwaren, zowel zwak alcoholisch als niet alcoholhoudende drank, dient uitsluitend te geschieden in zachte plastic bekers, zachte petflessen of kartons. Het gebruik van glaswerk is verboden.
- Het is alleen toegestaan voorverpakte, c.q. fabrieksmatig voorbereide, alcoholhoudende mixdrank te verkopen c.q. aanwezig te hebben. Ter plaatse gemixte alcoholhoudende drank zullen worden aangemerkt als sterk alcoholhoudende drank en worden in beslag genomen.
- De vergunninghouder moet om het evenemententerrein te creëren een afscheiding met aanduidingsborden plaatsen met de tekst: 'VANAF HIER IS HET NUTTIGEN VAN ALCOHOL TOEGESTAAN.' Bij het verlaten van het evenemententerrein dienen aanduidingsborden te worden geplaatst met de tekst: 'VANAF HIER GEEN ALCOHOL TOEGESTAAN.'
:
&lt;!-- image --&gt;
## Inrichting evenemententerrein
- De diverse objecten, podium ed. dienen zodanig geplaatst te worden dat er voldoende ruimte overblijft voor de deelnemers om bij calamiteiten vluchtwegen te hebben.
- Het evenemententerrein dient te allen tijde bereikbaar te zijn voor hulpdiensten.
## Verkeer
- De vrije doorgang van openbaar vervoersdiensten mag op geen enkele wijze worden belemmerd.
- Het evenement of de activiteiten mogen de bereikbaarheid van woningen, winkels of (horeca)bedrijven niet belemmeren.
- Alle verkeersmaatregelen (redactieborden, etc.) worden uiterlijk 72 uur voorafgaand aan het evenement geplaatst en uiterlijk 48 uur na afloop van het evenement verwijderd.
- Begeleidende voertuigen (belast met de aanvoer van het eventueel benodigde materialen) mogen op het terrein aanwezig zijn als desbetreffend voertuig actief wordt gelost of geladen.
- Voertuigen van medewerkers mogen niet op het terrein geparkeerd worden en dienen gebruik te maken van de bestaande voorzieningen zoals parkeergarages en andere parkeervoorzieningen.
- Voor eventuele benodigde parkeervergunningen en/of ontheffingen kan men mailen naar apostz@rotterdam.nl of bellen naar 14010.
- De verkeersregelaars moeten 1 week voor aanvang van het evenement bij het team Verkeersregie worden aangemeld om toestemming te verkrijgen (teamverkeersregie@rotterdam.nl). Ook verkeersregelaars met een landelijke aanstelling of evenementenverkeersregelaars met een jaaraanstelling moeten zich bij het Team Verkeersregie aanmelden.
## Plaatsen van podia, tenten, kramen en andere voorwerpen
- Het is verboden eigendommen van de gemeente te verwijderen; alle voorwerpen dienen in principe los op de ondergrond te worden geplaatst.
- Aan eigendommen van de gemeente, zoals hekken, bomen en lantarenpalen mag niets worden bevestigd.
- Eventueel ter plaatse aanwezige brandkranen en -putten voor de brandweer direct toegankelijk blijven.
&lt;!-- image --&gt;
## Afval en milieu
- De organisator/vergunninghouder is verantwoordelijk voor het veegschoon houden van het evenementengebied.
- Tijdens het evenement dient de organisator/vergunninghouder afvalbakken te plaatsen op het evenemententerrein en langs de aan en aflooproute. De containers/ afvalbakken moeten afsluitbaar zijn doormiddel van een deksel. De organisator/ vergunninghouder dient de afvalbakken regelmatig te legen.
- De organisator/vergunninghouder dient direct na afloop het evenementen terrein en de buitenruimte vanaf de grens buitenkant plus 250 meter veegschoon op te leveren. Indien het verwijderen van het afval niet in eigen beheer kan geschieden, dient tijdig contact met Stadsbeheer Schone Stad (e-mail: schonestadverkoopsb@rotterdam.nl) te worden opgenomen.
- Gemeentelijke afvalkorven, die als gevolg van het evenement, overlopen dienen door de organisator/vergunninghouder te worden "afgeroomd".
- Het is de organisator/ vergunninghouder niet toegestaan afval te deponeren in de gemeentelijke, voor publieke en huishoudens bedoelde, afvalinzameling faciliteiten.
- Bij eetkramen of foodtrucks moet de organisator/ vergunninghouder voorzieningen treffen die voorkomen dat de ondergrond vervuild of beschadigd raakt.
- Eventuele extra kosten die gemaakt worden om de buitenruimte weer op het oorspronkelijke schoonniveau te brengen kunnen achteraf worden doorbelast aan de organisatie.
- De organisator dient rekening te houden met het te verwachten aantal bezoekers zorg te dragen voor voldoende sanitaire voorzieningen.
## Bewonersinformatie
Bewoners van nabijgelegen woningen en bedrijven moeten vooraf worden geïnformeerd over het evenement en de te organiseren activiteiten, door middel van een bewonersbrief. Deze bewonersbrief bevat tenminste de volgende informatie:
- Datum(s) en tijd(en) evenement.
- Datum(s) en tijd(en) op- en afbouw.
- Verkeersmaatregelen (locaties en tijden van o.a. afsluitingen).
- Parkeerbeperkingen (locaties en tijden).
- Regeling doorlaatbewijzen en regeling voor bewoners met parkeervergunningen.
- Consequenties voor het openbaar vervoer.
- Bereikbaarheid van het evenement per openbaar vervoer.
- P+R terreinen die voor het evenement van belang zijn.
- Internetsite waar extra informatie te vinden is.
- Telefoonnummer van de organisatie waarop informatie verkrijgbaar is (ook op de dag zelf).
- Telefoonnummer van de Meldkamer van de DCMR Milieudienst Rijnmond (0888333555, 24 uur per dag bereikbaar) waar contact mee kan worden gezocht bij geluidsoverlast.
- De organisatie levert uiterlijk 7 dagen van tevoren een kopie van bovengenoemde bewonersbrief (incl. de locaties waar deze brief is verspreid door middel van opgave postcodegebieden) aan Team Evenementen (Postbus 70012, 3000 KP Rotterdam) en DCMR Milieudienst Rijnmond (t.a.v. de Meldkamer en Bureau Geluid, Postbus 843, 3100 AV Schiedam).
## Aansprakelijkheid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&lt;!-- image --&gt;
&lt;!-- image --&gt;
## Bijlage II: geluidsvoorschriften bij de evenementenvergunning voor Project Raamwerk II d.d. zondag 25-6-2023 Prins Hendrikstraat 5
Om overmatige geluidsoverlast te voorkomen zijn aan deze evenementenvergunning krachtens de APV-geluidsvoorwaarden verbonden voor de duur van het evenement:
1. Muziek en ander geluid, al dan niet mechanisch/elektronisch versterkt, mogen geen ernstige geluidsoverlast voor de omgeving veroorzaken; indien van dergelijke geluidsoverlast mocht blijken, is de politie bevoegd de geluidsuitzending te doen onderbreken en een verminderd geluidsniveau aan te geven; dan wel - in geval van herhaling - voortijdig te doen beëindigen. Bovendien is de politie bevoegd bij overtreding van de voorschriften strafrechtelijk op te treden.
2. Het equivalente geluidsniveau gedurende 1 minuut (Leq,1 min) veroorzaakt door de aangevraagde activiteiten en de bij de aangevraagde activiteiten betrokken toestellen en installaties, te weten:
3. Levende muziek met geluidsinstallatie
4. Geluid door middel van een geluidsinstallatie
5. Muziek door middel van een geluidsinstallatie
mag op 10 meter afstand van de bron niet meer bedragen dan:
95
dB(A) in de uren, waarin het evenement plaatsvindt.
3. Het meten en berekenen van de geluidniveaus, en het beoordelen van de meetresultaten moet plaatsvinden overeenkomstig de Meet- en rekenvoorschriften industrielawaai.
4. In afwijking van de Meet- en rekenvoorschriften industrielawaai hoeft voor de beoordeling van het equivalente geluidsniveau gedurende 1 minuut (Leq,1 min) van muziekgeluid geen verhoging van 10 dB toegepast te worden, voordat getoetst wordt aan de normwaarde uit voorschrift 2.
5. De luidsprekers dienen dusdanig opgesteld te worden, zodat de geluidproductie zoveel mogelijk naar het bedoelde publiek op het evenemententerrein gericht is. Ten behoeve van de doorstroming van verkeer op de stoep of de rijbaan dienen tevens de aanwijzingen van de politie met betrekking tot de opstelling van de luidsprekers opgevolgd te worden.
6. Het opbouwen en het afbreken van het evenement dient zoveel mogelijk plaats te vinden in de uren gelegen tussen 08.00 en 23.00 uur. In ieder geval mogen tussen 23.00 en 08.00 uur geen overlast veroorzakende opbouw- of afbreekactiviteiten uitgevoerd worden.
7. De plaatsing van het podium dient op een dusdanig manier te geschieden dat omwonenden zo min mogelijk worden belast met de 'geluidsstraling'.
&lt;!-- image --&gt;</t>
  </si>
  <si>
    <t>ROT_2653e_ijsselmonde_Vergunning.txt</t>
  </si>
  <si>
    <t>[...] van zal uitgaan om KPN alsmede andere potentiële overtreders effectief van nieuwe, soortgelijke overtredingen in de toekomst te weerhouden. ## Besluit Openbaar ## 10. Dictum 84. Gelet op al het voorgaande legt de Autoriteit Consument en Markt aan Koninklijke KPN N.V. en KPN B.V. gezamenlijk een boete op van € 2.000.000,- waarvoor zij hoofdelijk aansprakelijk zijn. Autoriteit Consument en Markt namens deze, W.g. mr. J.G. Vegter bestuurslid ## Bezw [...]</t>
  </si>
  <si>
    <t>ACM__sanctie_14519_boete-kpn-voor-sdf-backhaul.txt::Rechtshandeling</t>
  </si>
  <si>
    <t>legt [52902:52907]</t>
  </si>
  <si>
    <t>legt [52902:52906]</t>
  </si>
  <si>
    <t>[...] king van zal uitgaan om KPN alsmede andere potentiële overtreders effectief van nieuwe, soortgelijke overtredingen in de toekomst te weerhouden. ## Besluit Openbaar ## 10. Dictum 84. Gelet op al het voorgaande legt de Autoriteit Consument en Markt aan Koninklijke KPN N.V. en KPN B.V. gezamenlijk een boete op van € 2.000.000,- waarvoor zij hoofdelijk aansprakelijk zijn. Autoriteit Consument en Markt namens deze, W.g. mr. J.G. [...]</t>
  </si>
  <si>
    <t>ACM__sanctie_14519_boete-kpn-voor-sdf-backhaul.txt::Rechtsobject</t>
  </si>
  <si>
    <t>ROT_2694e_kralingen-crooswijk_Vergunning.txt</t>
  </si>
  <si>
    <t>boete [52993:52999]</t>
  </si>
  <si>
    <t>boete [52993:52998]</t>
  </si>
  <si>
    <t>[...] rtgelijke overtredingen in de toekomst te weerhouden. ## Besluit Openbaar ## 10. Dictum 84. Gelet op al het voorgaande legt de Autoriteit Consument en Markt aan Koninklijke KPN N.V. en KPN B.V. gezamenlijk een boete op van € 2.000.000,- waarvoor zij hoofdelijk aansprakelijk zijn. Autoriteit Consument en Markt namens deze, W.g. mr. J.G. Vegter bestuurslid ## Bezwaar Belanghebbenden die zich met dit besluit niet kunnen [...]</t>
  </si>
  <si>
    <t>ACM__sanctie_14603_boete-leidinggevende-burg-heer-d-voor-kartelafspraken-2015-06-25.txt::Ontvanger</t>
  </si>
  <si>
    <t>de heer [VERTROUWELIJK]</t>
  </si>
  <si>
    <t>de heer [vertrouwelijk]</t>
  </si>
  <si>
    <t>de heer [VERTROUWELIJK] [15867:15890]</t>
  </si>
  <si>
    <t>[...] gelet op artikel 1.3 van de Boetebeleidsregels 2013 resulteert het voorgaande in een boetebedrag van EUR 54.000. &lt;!-- image --&gt; ## Besluit Openbaar ## 8 Besluit De Autoriteit Consument en Markt: legt aan de heer [VERTROUWELIJK], geboren op [VERTROUWELIJK] te [VERTROUWELIJK], een boete op van EUR 54.000. Den Haag, 25 juni 2015 De Autoriteit Consument en Markt, namens deze, w.g. mr. J.G. Vegter bestuurslid ## Bezwaar Belanghebb [...]</t>
  </si>
  <si>
    <t>ACM__sanctie_14603_boete-leidinggevende-burg-heer-d-voor-kartelafspraken-2015-06-25.txt::Besluitvormend Orgaan</t>
  </si>
  <si>
    <t>De Autoriteit Consument en Markt [15821:15853]</t>
  </si>
  <si>
    <t>&lt;!-- image --&gt;
Geachte ,
In antwoord op het verzoek van 5 februari 2025, deel ik u mede dat er ingevolge artikel 2:25 van de Algemene Plaatselijke Verordening van Rotterdam een vergunning verleend wordt voor:
| Evenement                    | :   | EUR-Campusrun                                                                                                   |
|------------------------------|-----|-----------------------------------------------------------------------------------------------------------------|
| Categorie                    | :   | A-evenement                                                                                                     |
| Datum en tijd(en) evenement  | :   | Zaterdag 17 mei 2025 van 12:00 uur tot 15:00 uur                                                                |
| Locatie                      | :   | Erasmus sport gebouw, Burgemeester Oudlaan + route                                                              |
| Gebied                       | :   | Kralingen-Crooswijk, Rotterdam                                                                                  |
| Data en tijden op- en afbouw | :   | Opbouw Zaterdag 17 mei 2025 van 07:00 uur tot 10:30 uur Afbouw Zaterdag 17 mei 2025 van 15:00 uur tot 16:00 uur |
| Bezoekersaantal              | :   | Maximaal 600 deelnemers en 100 bezoekers gelijktijdig                                                           |
Ik behoud mij te allen tijde het recht voor om op grond van de openbare orde en veiligheid of omwille van de gezondheid van bezoekers alsnog te besluiten deze vergunning in te trekken c.q. aanvullende voorschriften aan de vergunning te verbinden.
Aan deze vergunning zijn de in de bijlage opgenomen voorschriften verbonden. De in de bijlage opgenomen voorschriften laten verplichtingen van vergunninghouder voortvloeiende uit andere weten regelgeving onverlet.
Tot slot wijs ik u erop, dat u aansprakelijk bent voor alle schade die door het gebruik van deze vergunning aan eigendommen van de gemeente of van anderen mocht worden toegebracht.
De burgemeester van Rotterdam, Voor deze,
M.B.T. Heijmink Teamleider Horeca en Evenementen
Postadres:
Postbus 70012
3000 KP Rotterdam
Directie Veiligheid, Horeca &amp;amp; Evenementen
Website:
www.rotterdam.nl
E-mail:
Telefoon:
Inlichtingen bij:
Kenmerk:
87443-2025
Betreft:
Evenementenvergunning
Datum:
2 april 2025
## Bijlagen behorende bij de evenementenvergunning
Bijlage I
: Voorschriften
Bijlage II
: Geluidsvoorschriften
Bijlage III
: Artikelen BBGBOP (niet ter publicatie)
Bijlage IV
: Veiligheidsplan + situatieschets + routes V2 (niet ter publicatie)
Bijlage V
: Draaiboek (niet ter publicatie)
Bijlage VI
: Verkeersplan (niet ter publicatie)
## Zo maakt u bezwaar
Bezwaar maken kan binnen 6 weken na de datum dat dit besluit bekend is gemaakt. U maakt digitaal bezwaar op www.rotterdam.nl/bezwaar.
## Of stuur een brief naar:
Burgemeester van Rotterdam T.a.v. Algemene Bezwaarschriften Commissie Postbus 1011 3000 BA Rotterdam
## Zet in uw brief:
- tegen welk besluit u bezwaar maakt, inclusief het kenmerk van dit besluit. Dit staat rechtsboven op de eerste pagina. Of stuur een kopie van het besluit mee;
- waarom u bezwaar maakt;
- de datum waarop u bezwaar maakt.;
- uw naam, adres en handtekening;
- uw telefoonnummer.
## Direct in de problemen door dit besluit?
Als u bezwaar maakt, kan het besluit nog wel worden uitgevoerd. Hebt u daardoor direct een ernstig probleem of kunt u de uitkomst van het bezwaar niet afwachten?
U kunt dan een voorlopige beslissing aan de rechter vragen. Dat kan alleen als er sprake is van een spoedeisende situatie. Deze beslissing heet voorlopige voorziening. De rechter beslist hierover. De kosten van een voorlopige voorziening moet u meestal zelf betalen.
Krijgt u een voorlopige voorziening van de rechter? Dan voert de gemeente het besluit niet uit, tot u een beslissing op uw ingediende bezwaar hebt gekregen.
U kunt een voorlopige voorziening aanvragen op www.rechtspraak.nl. Zoek op 'voorlopige voorziening bestuursrecht aanvragen'.
## Of stuur een brief naar:
Rechtbank Rotterdam Sector Bestuursrecht Postbus 50951 3007 BM Rotterdam
&lt;!-- image --&gt;
&lt;!-- image --&gt;
Bijlage I; Voorschriften behorende bij de evenementenvergunning voor 'EUR-Campusrun' d.d. zaterdag 17 mei 2025 bij Erasmus sport gebouw, Burgemeester Oudlaan + route in gebied Kralingen-Crooswijk:
Naam contactpersoon :
Telefoonnummer contactpersoon :
## Openbare Orde en Veiligheid
- Een vertegenwoordiger van de organisator moet beschikbaar zijn als aanspreekpunt voor de politie. Diens naam en (mobiel) nummer dienen te worden doorgegeven aan de coördinator evenementen van het district Rijnmond Rotterdam, telefoon 0900-8844.
- De vergunninghouder is verplicht deze vergunning op verzoek van een ambtenaar (belast met de zorg voor de naleving van de voorschriften) te laten zien.
- Het parcours/terrein wordt aanvaard in de staat waarin het zich bevindt; de gemeente kan niet aansprakelijk worden gesteld voor eventuele gevolgen voortvloeiende uit genoemde staat.
- Iedereen is verplicht om op en rond het evenemententerrein alle aanwijzingen, gegeven door (hulp-)diensten in het belang van de openbare orde of veiligheid van personen en goederen, stipt op te volgen.
- Eventueel inzet van particulier toezicht (ook toegangscontrole) op het evenemententerrein moet door een erkend beveiligingsbedrijf worden uitgevoerd met gediplomeerd personeel voorzien van een geldig beveiligingslegitimatiebewijs.
- Beveiligingswerkzaamheden dienen tijdig schriftelijk te worden gemeld bij Bijzondere Wetten afdeling EXO via mailbox: korpscheftaken.rotterdam@politie.nl.
- Zorgverleners worden ingezet door een zogenaamde 'Evenementen-Zorg- Organisatie (EZO). Dit betekent dat de EZO de verantwoordelijkheid accepteert en draagt voor de te leveren zorg tijdens het evenement. De EZO en organisatie accepteren daarmee ook de hierbij behorende regelgeving in de Veldnorm Evenementenzorg. Zie ook: https://www.evenementenz.org/wp/.
- De organisatie dient te voldoen aan de veldnorm evenementen zorg, https://www.evenementenz.org/wp/ en de richtlijnen van het RIVM, https://www.rivm.nl/hygienerichtlijnen/evenementen.
- Ten behoeve van de EHBO-ruimte dient er voldoende signing te zijn zodat deze goed zichtbaar is.
- De EHBO-ruimte is continu bemand.
- Hulpverleners kunnen mobiel zijn over het parcours.
- Er bevinden zich te allen tijde hulpverleners in het start/finishgebied.
- Bij het plaatsen van bijv. voertuigen &amp;amp; fietsen blijven de in-/(nood)uitgangen en calamiteitenroute vrij en bereikbaar.
## Verkeer
- Alle toegangswegen naar het evenemententerrein inclusief de calamiteitenroute volgens de voorwaarden vanuit bijlage 3 (Artikelen BBGBOP) dienen beschikbaar te zijn voor hulpdiensten.
- De vrije doorgang van openbaar vervoersdiensten mag op geen enkele wijze worden belemmerd.
- Het evenement of de activiteiten mogen de bereikbaarheid van woningen, winkels of (horeca)bedrijven niet belemmeren.
- Er worden voor (de op- en afbouw van) dit evenement geen wegen of delen ervan afgesloten.
- De voorgenomen activiteiten mogen geen gevaar of hinder opleveren voor voetgangers, omwonenden en het verkeer.
- Alle verkeersmaatregelen (redactieborden, etc.) worden uiterlijk 72 uur voorafgaand aan het evenement geplaatst en uiterlijk 48 uur na afloop van het evenement verwijderd.
- Begeleidende voertuigen (belast met de aanvoer van het eventueel benodigde materialen) mogen op het terrein aanwezig zijn als desbetreffend voertuig actief wordt gelost of geladen.
- Voertuigen van medewerkers mogen niet op het terrein geparkeerd worden en dienen gebruik te maken van de bestaande voorzieningen zoals parkeergarages en andere parkeervoorzieningen.
- Voor eventuele benodigde parkeervergunningen en/of ontheffingen kan men mailen naar apostz@rotterdam.nl of bellen naar 14010.
- De organisator dient minimaal 12 evenementenverkeersregelaars in te zetten (conform het verkeersplan) om de aangegeven verkeersposten (kruisende wegen/ fietspaden) te bemensen. De evenementenverkeersregelaars dienen de voorgeschreven kleding (hesje) te dragen. De vergunninghouder dient er zorg voor te dragen dat deze evenementenverkeersregelaars voor het evenement, door of namens de Burgemeester van de Rotterdam zijn aangesteld als
&lt;!-- image --&gt;
evenementenverkeersregelaars, gelet op het Besluit administratieve bepalingen inzake het wegverkeer en de Regeling Verkeersregelaars. Voor nadere informatie kan informatie worden ingewonnen bij de Stichting Verkeersbrigadier, telefoon 035-5248855 of via http://www.verkeersregelaarsexamen.nl/.
- De verkeersregelaars moeten 1 week voor aanvang van het evenement bij het team Verkeersregie worden aangemeld om toestemming te verkrijgen
(teamverkeersregie@rotterdam.nl). Ook verkeersregelaars met een landelijke aanstelling of evenementenverkeersregelaars met een jaaraanstelling moeten zich bij het Team Verkeersregie aanmelden.
- De deelnemers dienen zich op te houden of te verzamelen op het terrein van de Erasmus sportgebouw te Rotterdam.
- De organisatie is zelf verantwoordelijk om vast te stellen of de route nog realiseerbaar is op 17 mei 2025. Dit i.v.m. eventuele werkzaamheden en andere belemmeringen.
- Men dient de wettelijke voorgeschreven verkeersregels in acht te nemen.
- Men dient op het voor voetgangers bestemde weggedeelte te lopen. Bij ontbreken van voetpaden, uiterst rechts op het fietspad en bij ontbreken van een fietspad, uiterst links op de rijbaan. Vooropgesteld dat het overige verkeer geen hiervan geen hinder van ondervindt.
- Er dient niet afgeweken te worden van de afgesproken tijden en route.
- Voorafgaande aan de start deelt een lid van de organisatie de deelnemers mede wat de spelregels en afspraken zijn.
## Plaatsen van podia, tenten, kramen en andere voorwerpen
- Het is verboden eigendommen van de gemeente te verwijderen; alle voorwerpen dienen in principe los op de ondergrond te worden geplaatst.
- Aan eigendommen van de gemeente, zoals hekken, bomen, borden, banken en lantaarnpalen mag niets worden bevestigd behoudens in bijzondere gevallen, waarvoor door of vanwege de directeur Openbare Werken gemeente Rotterdam schriftelijk is verklaard dat daartegen geen bezwaren zijn.
- Eventueel ter plaatse aanwezige brandkranen en -putten voor de brandweer direct toegankelijk blijven.
- Bouwsels worden op een adequate wijze gezekerd om wegwaaien en/of losschieten te voorkomen.
- Tenten, podia, kramen en andere voorwerpen moeten worden opgesteld in overleg met Openbare Werken Rayon Noord-Oost. Verankering in verharding en gazon, middels haringen is niet toegestaan.
- Indien er toestemming is om tenten met grondpennen te verankeren, dient er te allen tijde een Klic melding gemaakt te worden (www.kadaster.nl/-/graafmelding).
- Afsluiters en ruimtes voor gas, elektra, water en stadsverwarming dienen toegankelijk te blijven.
- Tijdelijke leidingen moeten in kokers gelegd worden of worden afgedekt. Het leggen van kabels dient afgestemd te worden met de Stadsbeheer.
## Afval en milieu
- De organisator/vergunninghouder is verantwoordelijk voor het veegschoon houden van het evenementengebied.
- Tijdens het evenement dient de organisator/vergunninghouder afvalbakken te plaatsen op het evenemententerrein en langs de aan en aflooproute. De containers/ afvalbakken moeten afsluitbaar zijn doormiddel van een deksel. De organisator/ vergunninghouder dient de afvalbakken regelmatig te legen.
- De organisator/vergunninghouder dient direct na afloop het evenementen terrein en de buitenruimte vanaf de grens buitenkant plus 250 meter veegschoon op te leveren. Indien het verwijderen van het afval niet in eigen beheer kan geschieden, dient tijdig contact met Stadsbeheer Schone Stad (e-mail: schonestadverkoopsb@rotterdam.nl) te worden opgenomen.
- Gemeentelijke afvalkorven, die als gevolg van het evenement, overlopen dienen door de organisator/vergunninghouder te worden "afgeroomd".
- Het is de organisator/ vergunninghouder niet toegestaan afval te deponeren in de gemeentelijke, voor publieke en huishoudens bedoelde, afvalinzameling faciliteiten.
- Bij eetkramen of foodtrucks moet de organisator/ vergunninghouder voorzieningen treffen die voorkomen dat de ondergrond vervuild of beschadigd raakt.
&lt;!-- image --&gt;
- Eventuele extra kosten die gemaakt worden om de buitenruimte weer op het oorspronkelijke schoonniveau te brengen kunnen achteraf worden doorbelast aan de organisatie.
- De organisator dient rekening te houden met het te verwachten aantal bezoekers zorg te dragen voor voldoende sanitaire voorzieningen.
## Aansprakelijkheid
- De vergunninghouder dient een wettelijke aansprakelijkheidsverzekering af te sluiten die zowel de materiële als de letselschade dekt die voortvloeit uit het evenement, waar deze vergunning voor is afgegeven. Het is aan de vergunninghouder om aan te tonen dat de door de gemeente gevorderde schade niet is veroorzaakt door het evenement waar de vergunning voor is verleend.
&lt;!-- image --&gt;
## Bijlage II: geluidsvoorschriften bij de evenementenvergunning voor 'EUR-Campusrun' d.d. zaterdag 17 mei 2025 bij Erasmus sport gebouw, Burgemeester Oudlaan + route in gebied Kralingen-Crooswijk:
Om overmatige geluidoverlast te voorkomen zijn aan de voorliggende evenementenvergunning krachtens de APV de volgende geluidvoorschriften verbonden voor de duur van het evenement:
## Algemene zorgplicht
1. Muziek en ander geluid, al dan niet elektronisch versterkt, mogen geen ernstige of onnodige geluidoverlast voor de omgeving veroorzaken; indien van dergelijke geluidoverlast mocht blijken, is de politie bevoegd de geluiduitzending te doen onderbreken en een verminderd geluidniveau aan te geven, dan wel - in geval van herhaling - voortijdig te doen beëindigen. Bovendien is de politie bevoegd bij overtreding van de voorschriften strafrechtelijk op te treden.
## Grenswaarden geluidniveaus
2. Het equivalente geluidniveau gedurende 1 minuut (Leq,1 min) veroorzaakt door de versterkte weergave van muziek en stemgeluid mag ter plaatse van de gevel (invallend geluid) van de omliggende woningen en andere geluidgevoelige gebouwen en terreinen in de omgeving niet meer bedragen dan:
70 dB(A) en 80 dB(C) in de uren, waarin het evenement plaatsvindt.
## Meet- en beoordelingsmethode
3. Het meten en berekenen van de geluidniveaus en het beoordelen van de meetresultaten moet plaatsvinden overeenkomstig de Handleiding meten en rekenen Industrielawaai 1999.
4. In afwijking van de Handleiding meten en rekenen Industrielawaai hoeft voor de beoordeling van het equivalente geluidniveau van muziekgeluid geen toeslag van 10 dB toegepast te worden, voordat getoetst wordt aan de grenswaarden uit voorschrift 2.
## Eindtijd
5. Het versterkt ten gehore brengen van muziek en ander geluid moet om uiterlijk 15:00 uur worden beëindigd.
## Muziekinstallatie en monitoring
6. De luidsprekers moeten zodanig opgesteld worden, dat de geluidproductie zoveel mogelijk van de gevels van de dichtstbij gelegen woningen en andere geluidgevoelige gebouwen en terreinen (ziekenhuizen, bejaardentehuizen etc.) af gericht is en gericht is naar het publiek op het evenemententerrein.
7. Een geluidwagen of omroepinstallatie mag geen geluid voortbrengen in de directe nabijheid van kerken of andere gebouwen voor de openbare eredienst in gebruik, evenals ziekenhuizen, verpleeginrichtingen of begraafplaatsen.
## Aggregaten en koelcontainers/koelmachines
8. Voor de aggregaten en koelcontainers/koelmachines moet van geluidarme of geluidgedempte typen gebruik gemaakt worden, in overeenstemming met de huidige stand der techniek. De aggregaten en koelcontainers/koelmachines moeten op zo groot mogelijke afstand van de woningen en andere geluidgevoelige gebouwen en terreinen opgesteld worden. Dit geldt in het bijzonder voor aggregaten en koelcontainers/koelmachines, die in bedrijf zijn buiten de uren waarin de evenementsactiviteiten plaatsvinden.
## Op- en afbouw
9. Het opbouwen en het afbreken van het evenement moet zoveel mogelijk plaatsvinden in de uren gelegen tussen 08:00 en 23:00 uur. In ieder geval mogen tussen 23:00 en 08:00 uur geen overlastveroorzakende opbouw- of afbreekactiviteiten uitgevoerd worden in de nabijheid van woningen en andere geluidgevoelige gebouwen en terreinen.
## Bewonersbrief
10. Bewoners van nabijgelegen woningen en andere geluidgevoelige gebouwen en terreinen en werknemers van omliggende bedrijven moeten tenminste een week voordat het evenement plaatsvindt schriftelijk geïnformeerd worden door de vergunninghouder over de te ondernemen activiteiten.
Hierbij moeten de tijdstippen van het evenement, evenals mogelijke overlast veroorzakende activiteiten of beperkingen kenbaar gemaakt worden.
Tevens moet minimaal één telefoonnummer worden vermeld, waarop aanvullende informatie te verkrijgen is.
Verder moet vermeld worden dat bij geluidoverlast contact gezocht kan worden met de Meldkamer van DCMR Milieudienst Rijnmond, telefoonnummer 0888-333 555 (24 uur per dag bereikbaar) of via https://www.dcmr.nl/melding-maken.
De informatiebrief moet tenminste verspreid worden naar de woningen, andere geluidgevoelige gebouwen en terreinen en bedrijven in het nabijgelegen gebied van het evenemententerrein. Een afschrift van de informatiebrief moet gestuurd worden naar DCMR Milieudienst Rijnmond, t.a.v. de Meldkamer via info@dcmr.nl.
De informatiebrief moet tenminste verspreid worden naar de woningen, andere geluidgevoelige gebouwen en terreinen en bedrijven in een straal van 50 meter van het evenement.
## Toelichting:
Onder 'andere geluidgevoelige gebouwen en terreinen' vallen onderwijsgebouwen, ziekenhuizen en verpleeghuizen, verzorgingstehuizen, psychiatrische inrichtingen, kinderdagverblijven, woonwagenstandplaatsen en bestemde ligplaatsen voor woonschepen.
Bij een groot aantal woningen in een flatgebouw is het wellicht aan te bevelen gebruik te maken van posters die in de entreehal nabij de brievenbussen goed zichtbaar worden opgehangen.
&lt;!-- image --&gt;</t>
  </si>
  <si>
    <t>[...] een boetevermindering van 10% gepast is. Mede gelet op artikel 1.3 van de Boetebeleidsregels 2013 resulteert het voorgaande in een boetebedrag van EUR 54.000. &lt;!-- image --&gt; ## Besluit Openbaar ## 8 Besluit De Autoriteit Consument en Markt: legt aan de heer [VERTROUWELIJK], geboren op [VERTROUWELIJK] te [VERTROUWELIJK], een boete op van EUR 54.000. Den Haag, 25 juni 2015 De Autoriteit Consument en Markt, namens deze, w.g. mr. J.G. Vegter be [...]</t>
  </si>
  <si>
    <t>ACM__sanctie_14603_boete-leidinggevende-burg-heer-d-voor-kartelafspraken-2015-06-25.txt::Rechtshandeling</t>
  </si>
  <si>
    <t>legt [15858:15863]</t>
  </si>
  <si>
    <t>legt [15858:15862]</t>
  </si>
  <si>
    <t>[...] is. Mede gelet op artikel 1.3 van de Boetebeleidsregels 2013 resulteert het voorgaande in een boetebedrag van EUR 54.000. &lt;!-- image --&gt; ## Besluit Openbaar ## 8 Besluit De Autoriteit Consument en Markt: legt aan de heer [VERTROUWELIJK], geboren op [VERTROUWELIJK] te [VERTROUWELIJK], een boete op van EUR 54.000. Den Haag, 25 juni 2015 De Autoriteit Consument en Markt, namens deze, w.g. mr. J.G. Vegter bestuurslid [...]</t>
  </si>
  <si>
    <t>ACM__sanctie_14603_boete-leidinggevende-burg-heer-d-voor-kartelafspraken-2015-06-25.txt::Rechtsobject</t>
  </si>
  <si>
    <t>boete [15943:15949]</t>
  </si>
  <si>
    <t>boete [15943:15948]</t>
  </si>
  <si>
    <t>[...] de in een boetebedrag van EUR 54.000. &lt;!-- image --&gt; ## Besluit Openbaar ## 8 Besluit De Autoriteit Consument en Markt: legt aan de heer [VERTROUWELIJK], geboren op [VERTROUWELIJK] te [VERTROUWELIJK], een boete op van EUR 54.000. Den Haag, 25 juni 2015 De Autoriteit Consument en Markt, namens deze, w.g. mr. J.G. Vegter bestuurslid ## Bezwaar Belanghebbenden die zich met dit besluit niet kunnen verenigen, kunne [...]</t>
  </si>
  <si>
    <t>Autoriteit_Persoonsgegevens__https___www.autoriteitpersoonsgegevens.nl_system_files_file=2024-05_Besluit%20vergunning%20collectief%20horecaverbod%20Brede%20Bossche%20Binnenstad.txt::Ontvanger</t>
  </si>
  <si>
    <t>Koninklijke Horeca Nederland [434:462]</t>
  </si>
  <si>
    <t>[...] 'Collectieve Horecaontzegging' door de in de bijlage genoemde horecaondernemers van het horecagebied Brede Bossche Binnenstad - 2024-001529 ## 1 Inleiding: aanleiding vergunningaanvraag 1. Op 17 januari 2024 heeft Koninklijke Horeca Nederland (hierna: KHN) - ingevolge artikel 33, vierde lid, aanhef en onder c, van de Uitvoeringswet Algemene verordening gegevensbescherming (UAVG) - bij de Autoriteit Persoonsgegevens (AP) een bulkvergunningaanvraag ingediend n [...]</t>
  </si>
  <si>
    <t>Autoriteit_Persoonsgegevens__https___www.autoriteitpersoonsgegevens.nl_system_files_file=2024-05_Besluit%20vergunning%20collectief%20horecaverbod%20Brede%20Bossche%20Binnenstad.txt::Besluitvormend Orgaan</t>
  </si>
  <si>
    <t>Autoriteit Persoonsgegevens [17702:17729]</t>
  </si>
  <si>
    <t>[...] waarschrift indienen, zie www.autoriteitpersoonsgegevens.nl. onder het kopje 'Bezwaar maken tegen een besluit'. Het indienen van een bezwaarschrift schort de werking van dit besluit niet op. Den Haag, 8 april 2024 Autoriteit Persoonsgegevens, Overeenkomstig het door de Autoriteit Persoonsgegevens genomen besluit, Middenmanager Systeemtoezicht ## Ons kenmerk 2024-001529 &lt;!-- image --&gt; Datum 8 april 2024 ## Ons kenmerk 2024-001529 [...]</t>
  </si>
  <si>
    <t>Autoriteit_Persoonsgegevens__https___www.autoriteitpersoonsgegevens.nl_system_files_file=2024-05_Besluit%20vergunning%20collectief%20horecaverbod%20Brede%20Bossche%20Binnenstad.txt::Rechtshandeling</t>
  </si>
  <si>
    <t>verlening [16171:16181]</t>
  </si>
  <si>
    <t>verlening [16171:16180]</t>
  </si>
  <si>
    <t>Autoriteit_Persoonsgegevens__https___www.autoriteitpersoonsgegevens.nl_system_files_file=2024-05_Besluit%20vergunning%20collectief%20horecaverbod%20Brede%20Bossche%20Binnenstad.txt::Rechtsobject</t>
  </si>
  <si>
    <t>vergunning [16189:16200]</t>
  </si>
  <si>
    <t>vergunning [16189:16199]</t>
  </si>
  <si>
    <t>KSA_https___kansspelautoriteit.nl_sites_default_files_00_082_720_openbare_versie_last_onder_bestuursdwang.pdf.txt::Ontvanger</t>
  </si>
  <si>
    <t>de heer [XXX]</t>
  </si>
  <si>
    <t>de heer [XXX] [4542:4555]</t>
  </si>
  <si>
    <t>[...] autoriteit vast dat de heer [XXX] artikel 30h, eerste lid, van de Wok heeft overtreden. ## Zienswijze 10. Hiervan is geen gebruik gemaakt. ## Besluit 11. Namens de raad van bestuur legt de Kansspelautoriteit de heer [XXX] de volgende last onder bestuursdwang op: 2. De heer [XXX] dient binnen twee weken na dagtekening van dit besluit tot oplegging van de last onder bestuursdwang de exploitatie van speelautomaten te staken en gestaakt te [...]</t>
  </si>
  <si>
    <t>KSA_https___kansspelautoriteit.nl_sites_default_files_00_082_720_openbare_versie_last_onder_bestuursdwang.pdf.txt::Besluitvormend Orgaan</t>
  </si>
  <si>
    <t>De raad van bestuur van de Kansspelautoriteit [5794:5839]</t>
  </si>
  <si>
    <t>## OPENBAAR Besluit van de Raad van Bestuur van de Kansspelautoriteit als bedoeld in artikel 35 van de Wet op de kansspelen. Zaak: 399 Kenmerk:00.080.089 Openbaarmaking onder kenmerk: 00.082.720 ## Besluit ## Samenvatting 1. De Kansspelautoriteit heeft vastgesteld dat de heer [XXX] (eenmanszaak handelend onder de naam "M-automaten exploitatie") speelautomaten exploiteert zonder daarvoor een vergunning te hebben. Daarmee handelt de heer [XXX] in strijd met de Wet op de Kansspelen (hierna: Wok). De Kansspelautoriteit draagt de heer [XXX] op de exploitatie van speelautomaten te staken en gestaakt te houden door middel van het opleggen van een last onder bestuursdwang. ## Handhaving van de Wet op de kansspelen 2. De Kansspelautoriteit is belast met het toezicht op de naleving van het bepaalde in de Wok. In de Wok is onder andere bepaald dat het in Nederland verboden is om zonder vergunning van de raad van bestuur van de Kansspelautoriteit één of meerdere speelautomaten te exploiteren (artikel 30h, eerste lid Wok). 3. Op 20 september 2011 is aan de heer [XXX] een vergunning verleend om één of meerdere speelautomaten te exploiteren. Deze exploitatievergunning is op 23 december 2014 wegens het niet betalen van toezichtskosten ingetrokken. De heer [XXX] mag daarom vanaf die datum geen speelautomaten meer exploiteren, nu daar geen grondslag meer voor is. 4. De Kansspelautoriteit acht het exploiteren van speelautomaten zonder daartoe strekkende vergunning als zeer ernstig. De doelstellingen van het kansspelbeleid worden – door het zonder vergunning exploiteren van speelautomaten – omzeild. De kansspelsector is bovendien geen gewone economische sector maar extra gevoelig voor fraude, bedrog en verslaving waarvan de consument de dupe kan worden. &lt;!-- image --&gt; ## Kansspelautoriteit OPENBAAR ## Juridisch kader Juridisch kader 5. Op grond van artikel 30h, eerste lid, van de Wok is het verboden om zonder vergunning van de raad van bestuur van de Kansspelautoriteit één of meerdere speelautomaten te exploiteren. 6. Op grond van artikel 33b van de Wok heeft de Kansspelautoriteit onder meer tot taak het toezicht op de naleving van de toepasselijke wet- en regelgeving en de vergunningen, alsmede de handhaving daarvan. De Kansspelautoriteit is op grond van artikel 35 van de Wok bevoegd tot het opleggen van een last onder bestuursdwang, als bedoeld in artikel 5:21 Algemene wet bestuursrecht, wegens overtreding van de voorschriften van de Wok. ## Bevindingen 7. Gelet op de navolgende bevindingen is geconstateerd dat u in ieder geval één speelautomaat, te weten een behendigheidsautomaat genaamd photoplay, exploiteert op het adres Mathenesserweg 15/a te Rotterdam: 2. Op de opstellijst van 2014 geeft [XXX] zelf aan dat er een photoplay is geplaatst op het adres Mathenesserweg 15/a te Rotterdam; 3. Op verzoek van de Kansspelautoriteit heeft een politieambtenaar op 12 augustus 2016 een controle ingesteld op het adres Mathenesserweg 15/a te Rotterdam. Aldaar heeft hij geconstateerd dat er een in werking zijnde photoplay stond opgesteld; 4. De beheerder van deze locatie vertelde tegenover de betreffende politieman dat deze photoplay door [XXX] is geplaatst. 5. Op 25 augustus 2016 is aan [XXX] per e-mail het voornemen gestuurd om hem een last onder bestuursdwang op te leggen tot beëindiging van de overtreding. 6. [XXX] heeft weliswaar telefonisch contact opgenomen met de Kansspelautoriteit maar heeft nimmer de desbetreffende inspecteurs van de Kansspelautoriteit gesproken. Er is zodoende nimmer een telefonische &lt;!-- image --&gt; Kansspelautoriteit Datum 12 oktober 2016 Ons kenmerk 00.082.720 ## OPENBAAR &lt;!-- image --&gt; - zienswijze opgenomen dan wel ontvangen – hoewel hij daartoe ruim in de gelegenheid is gesteld. - Eveneens heeft [XXX]- hoewel hij daartoe ruim in de gelegenheid is gesteld – geen nieuwe exploitatievergunning aangevraagd. ## Overtreding van de Wet op de kansspelen 8. Op grond van het voorgaande staat naar het oordeel van de Kansspelautoriteit vast dat de heer [XXX] speelautomaten exploiteert zonder dat de heer [XXX]daarvoor beschikt over een rechtsgeldige vergunning afgegeven door de raad van bestuur van de Kansspelautoriteit. 9. Op grond van het voorgaande stelt de Kansspelautoriteit vast dat de heer [XXX] artikel 30h, eerste lid, van de Wok heeft overtreden. ## Zienswijze 10. Hiervan is geen gebruik gemaakt. ## Besluit 11. Namens de raad van bestuur legt de Kansspelautoriteit de heer [XXX] de volgende last onder bestuursdwang op: 2. De heer [XXX] dient binnen twee weken na dagtekening van dit besluit tot oplegging van de last onder bestuursdwang de exploitatie van speelautomaten te staken en gestaakt te houden zolang de heer [XXX] niet beschikt over een exploitatievergunning als bedoeld in artikel 30h, eerste lid, van de Wet op de kansspelen. 3. Het staken van de exploitatie betekent dat de heer [XXX] moet stoppen met het bedrijfsmatig gebruiken of aan iemand anders (zoals bijvoorbeeld een uitbater van een horecabedrijf) in gebruik geven van zijn speelautomaten. 4. Als deze last niet wordt opgevolgd, zal de raad van bestuur bestuursdwang (laten) toepassen. Dat betekent dat namens de raad van bestuur het bedrijfsmatige gebruik Kansspelautoriteit Datum 12 oktober 2016 Ons kenmerk 00.082.720 ## OPENBAAR van de speelautomaten van de heer [XXX] zal worden beëindigd. 12. De eventuele kosten die de Kansspelautoriteit moet maken bij het effectueren van de bestuursdwang worden op de heer [XXX] verhaald. 2. iz i [x εen door het overleggen van documentatie (die de verkoop van de speelautomaten aantonen en de beëindiging van de bedrijfsactiviteiten). 3. s-Gravenhage, 12oktober 2016 De raad van bestuur van de Kansspelautoriteit, namens deze, w.g. J.J.H. Suyver Voorzitter raad van bestuur van de Kansspelautoriteit Kansspelautoriteit &lt;!-- image --&gt; Datum 12 oktober 2016 Ons kenmerk 00.082.720 ## OPENBAAR ## Bezwaar mak [...]</t>
  </si>
  <si>
    <t>KSA_https___kansspelautoriteit.nl_sites_default_files_00_082_720_openbare_versie_last_onder_bestuursdwang.pdf.txt::Rechtshandeling</t>
  </si>
  <si>
    <t>legt [4515:4520]</t>
  </si>
  <si>
    <t>legt [4515:4519]</t>
  </si>
  <si>
    <t>[...] oorgaande stelt de Kansspelautoriteit vast dat de heer [XXX] artikel 30h, eerste lid, van de Wok heeft overtreden. ## Zienswijze 10. Hiervan is geen gebruik gemaakt. ## Besluit 11. Namens de raad van bestuur legt de Kansspelautoriteit de heer [XXX] de volgende last onder bestuursdwang op: 2. De heer [XXX] dient binnen twee weken na dagtekening van dit besluit tot oplegging van de last onder bestuursdwang de exploitatie van speel [...]</t>
  </si>
  <si>
    <t>KSA_https___kansspelautoriteit.nl_sites_default_files_00_082_720_openbare_versie_last_onder_bestuursdwang.pdf.txt::Rechtsobject</t>
  </si>
  <si>
    <t>last onder bestuursdwang</t>
  </si>
  <si>
    <t>last onder bestuursdwang [4568:4592]</t>
  </si>
  <si>
    <t>[...] r [XXX] artikel 30h, eerste lid, van de Wok heeft overtreden. ## Zienswijze 10. Hiervan is geen gebruik gemaakt. ## Besluit 11. Namens de raad van bestuur legt de Kansspelautoriteit de heer [XXX] de volgende last onder bestuursdwang op: 2. De heer [XXX] dient binnen twee weken na dagtekening van dit besluit tot oplegging van de last onder bestuursdwang de exploitatie van speelautomaten te staken en gestaakt te houden zolang de heer [XXX] niet besc [...]</t>
  </si>
  <si>
    <t>ROT_552e_rotterdam-centrum_Vergunning.txt::Ontvanger</t>
  </si>
  <si>
    <t>ROT_552e_rotterdam-centrum_Vergunning.txt::Besluitvormend Orgaan</t>
  </si>
  <si>
    <t>De burgemeester van Rotterdam [1302:1331]</t>
  </si>
  <si>
    <t>[...] re wet- en regelgeving onverlet. Tot slot wijs ik u erop, dat u aansprakelijk bent voor alle schade die door het gebruik van deze vergunning aan eigendommen van de gemeente of van anderen mocht worden toegebracht. De burgemeester van Rotterdam, Voor deze, M. van Wageningen-Bouaddi Teamleider Evenementen &lt;!-- image --&gt; Postadres: Postbus 70012 3000 KP Rotterdam Directie Veiligheid, Evenementen Website: www.rotterdam.nl E-mail: Telefoon: [...]</t>
  </si>
  <si>
    <t>ROT_552e_rotterdam-centrum_Vergunning.txt::Rechtshandeling</t>
  </si>
  <si>
    <t>&lt;!-- image --&gt; Geachte, In antwoord op het verzoek van 6 maart 2023, deel ik u mede dat er ingevolge artikel 2:25 van de Algemene Plaatselijke Verordening van Rotterdam een vergunning verleend wordt voor: Evenement Categorie Datum en tijd(en) evenement Locatie : Gebied Data en tijden op- en afbouw : Koningsdag Café Beurs &amp;amp; George 2023 : A-evenement : Donderdag 27 april 2023 van 12.00-20.00 [...]</t>
  </si>
  <si>
    <t>ROT_552e_rotterdam-centrum_Vergunning.txt::Rechtsobject</t>
  </si>
  <si>
    <t>&lt;!-- image --&gt; Geachte, In antwoord op het verzoek van 6 maart 2023, deel ik u mede dat er ingevolge artikel 2:25 van de Algemene Plaatselijke Verordening van Rotterdam een vergunning verleend wordt voor: Evenement Categorie Datum en tijd(en) evenement Locatie : Gebied Data en tijden op- en afbouw : Koningsdag Café Beurs &amp;amp; George 2023 : A-evenement : Donderdag 27 april 2023 van 12. [...]</t>
  </si>
  <si>
    <t>ROT_788e_rotterdam-centrum_Vergunning.txt::Ontvanger</t>
  </si>
  <si>
    <t>ROT_788e_rotterdam-centrum_Vergunning.txt::Besluitvormend Orgaan</t>
  </si>
  <si>
    <t>De burgemeester van Rotterdam [2616:2645]</t>
  </si>
  <si>
    <t>[...] 012 3000 KP Rotterdam Directie Veiligheid, Evenementen Website: www.rotterdam.nl E-mail: Telefoon: Inlichtingen bij: Kenmerk: 767550-2022 Betreft: Evenementenvergunning Datum: 24-11-2022 De burgemeester van Rotterdam, Namens deze, D. Cevik Plaatsvervangend teamleider Evenementen &lt;!-- image --&gt; ## Bijlage(n) behorende bij de evenementenvergunning Bijlage I : Voorschriften Bijlage II : Geluidsvoorschriften Bijl [...]</t>
  </si>
  <si>
    <t>ROT_788e_rotterdam-centrum_Vergunning.txt::Rechtshandeling</t>
  </si>
  <si>
    <t>&lt;!-- image --&gt; ## Geachte heer , In antwoord op het verzoek van 08-11-2022, deel ik u mede dat er ingevolge artikel 2:25 van de Algemene Plaatselijke Verordening van Rotterdam een vergunning verleend wordt voor: Evenement : Chanoeka viering Categorie : A-evenement Datum en tijd(en) evenement : Dinsdag 20 december 2022 van 19:00 tot 20:30 uur Locatie : Schouwburgplein Gebied : Centr [...]</t>
  </si>
  <si>
    <t>ROT_788e_rotterdam-centrum_Vergunning.txt::Rechtsobject</t>
  </si>
  <si>
    <t>&lt;!-- image --&gt; ## Geachte heer , In antwoord op het verzoek van 08-11-2022, deel ik u mede dat er ingevolge artikel 2:25 van de Algemene Plaatselijke Verordening van Rotterdam een vergunning verleend wordt voor: Evenement : Chanoeka viering Categorie : A-evenement Datum en tijd(en) evenement : Dinsdag 20 december 2022 van 19:00 tot 20:30 uur Locatie : Schouwburgplein Gebied [...]</t>
  </si>
  <si>
    <t>ROT_925e_charlois_Vergunning.txt::Ontvanger</t>
  </si>
  <si>
    <t>ROT_925e_charlois_Vergunning.txt::Besluitvormend Orgaan</t>
  </si>
  <si>
    <t>De burgemeester van Rotterdam [1296:1325]</t>
  </si>
  <si>
    <t>[...] dere weten regelgeving onverlet. Tot slot wijs ik u erop, dat u aansprakelijk bent voor alle schade die door het gebruik van deze vergunning aan eigendommen van de gemeente of van anderen mocht worden toegebracht. De burgemeester van Rotterdam, Voor deze, M.B.T. Heijmink Teamleider Horeca en Evenementen ## Bijlage(n) behorende bij de evenementenvergunning Bijlage I : Voorschriften Bijlage II : Geluidsvoorschriften Bijlage III : Artikel [...]</t>
  </si>
  <si>
    <t>ROT_925e_charlois_Vergunning.txt::Rechtshandeling</t>
  </si>
  <si>
    <t>&lt;!-- image --&gt; ## Geachte In antwoord op het verzoek van 2 oktober 2024, deel ik u mede dat er ingevolge artikel 2:25 van de Algemene Plaatselijke Verordening van Rotterdam een vergunning verleend wordt voor: Evenement : Intocht Sint Nicolaas 2024 Categorie : A-evenement Datum en tijd(en) evenement : Zaterdag 23 november 2024 van 09.30 tot 11.30 uur Locatie : Charloisse Hoofd Gebied : [...]</t>
  </si>
  <si>
    <t>ROT_925e_charlois_Vergunning.txt::Rechtsobject</t>
  </si>
  <si>
    <t>&lt;!-- image --&gt; ## Geachte In antwoord op het verzoek van 2 oktober 2024, deel ik u mede dat er ingevolge artikel 2:25 van de Algemene Plaatselijke Verordening van Rotterdam een vergunning verleend wordt voor: Evenement : Intocht Sint Nicolaas 2024 Categorie : A-evenement Datum en tijd(en) evenement : Zaterdag 23 november 2024 van 09.30 tot 11.30 uur Locatie : Charloisse Hoofd [...]</t>
  </si>
  <si>
    <t>ROT_1828e_feijenoord_Vergunning.txt::Ontvanger</t>
  </si>
  <si>
    <t>ROT_1828e_feijenoord_Vergunning.txt::Besluitvormend Orgaan</t>
  </si>
  <si>
    <t>de burgemeester van Rotterdam [2633:2662]</t>
  </si>
  <si>
    <t>[...] -5-2023 &lt;!-- image --&gt; Tot slot wijs ik u erop, dat u aansprakelijk bent voor alle schade die door het gebruik van deze vergunning aan eigendommen van de gemeente of van anderen mocht worden toegebracht. Namens de burgemeester van Rotterdam, Voor deze, &lt;!-- image --&gt; D D. Cevik Teamleider Horecavergunningen | Bijlage(n) behorende bij de evenementenvergunning | Bijlage(n) behorende bij de evenementenvergunning | |--------------------------- [...]</t>
  </si>
  <si>
    <t>ROT_1828e_feijenoord_Vergunning.txt::Rechtshandeling</t>
  </si>
  <si>
    <t>&lt;!-- image --&gt; ## Geachte, In antwoord op het verzoek van 31-3-2023, deel ik u mede dat er ingevolge artikel 2:25 van de Algemene Plaatselijke Verordening van Rotterdam een vergunning verleend wordt voor: Evenement : Project Raamwerk II Categorie : A-evenement Datum en tijd(en) evenement : Zondag 25-6-2023 van 13.00 uur tot 18.00 uur Locatie : Prins Hendrikstraat 5 Gebied : [...]</t>
  </si>
  <si>
    <t>ROT_1828e_feijenoord_Vergunning.txt::Rechtsobject</t>
  </si>
  <si>
    <t>&lt;!-- image --&gt; ## Geachte, In antwoord op het verzoek van 31-3-2023, deel ik u mede dat er ingevolge artikel 2:25 van de Algemene Plaatselijke Verordening van Rotterdam een vergunning verleend wordt voor: Evenement : Project Raamwerk II Categorie : A-evenement Datum en tijd(en) evenement : Zondag 25-6-2023 van 13.00 uur tot 18.00 uur Locatie : Prins Hendrikstraat 5 Gebi [...]</t>
  </si>
  <si>
    <t>ROT_2653e_ijsselmonde_Vergunning.txt::Ontvanger</t>
  </si>
  <si>
    <t>ROT_2653e_ijsselmonde_Vergunning.txt::Besluitvormend Orgaan</t>
  </si>
  <si>
    <t>ROT_2653e_ijsselmonde_Vergunning.txt::Rechtshandeling</t>
  </si>
  <si>
    <t>ROT_2653e_ijsselmonde_Vergunning.txt::Rechtsobject</t>
  </si>
  <si>
    <t>ROT_2694e_kralingen-crooswijk_Vergunning.txt::Ontvanger</t>
  </si>
  <si>
    <t>ROT_2694e_kralingen-crooswijk_Vergunning.txt::Besluitvormend Orgaan</t>
  </si>
  <si>
    <t>De burgemeester van Rotterdam [2103:2132]</t>
  </si>
  <si>
    <t>[...] dere weten regelgeving onverlet. Tot slot wijs ik u erop, dat u aansprakelijk bent voor alle schade die door het gebruik van deze vergunning aan eigendommen van de gemeente of van anderen mocht worden toegebracht. De burgemeester van Rotterdam, Voor deze, M.B.T. Heijmink Teamleider Horeca en Evenementen Postadres: Postbus 70012 3000 KP Rotterdam Directie Veiligheid, Horeca &amp;amp; Evenementen Website: www.rotterdam.nl E-mail: Telefoon [...]</t>
  </si>
  <si>
    <t>ROT_2694e_kralingen-crooswijk_Vergunning.txt::Rechtshandeling</t>
  </si>
  <si>
    <t>&lt;!-- image --&gt; Geachte , In antwoord op het verzoek van 5 februari 2025, deel ik u mede dat er ingevolge artikel 2:25 van de Algemene Plaatselijke Verordening van Rotterdam een vergunning verleend wordt voor: | Evenement | : | EUR-Campusrun | |------------------------------|-----|------------- [...]</t>
  </si>
  <si>
    <t>ROT_2694e_kralingen-crooswijk_Vergunning.txt::Rechtsobject</t>
  </si>
  <si>
    <t>&lt;!-- image --&gt; Geachte , In antwoord op het verzoek van 5 februari 2025, deel ik u mede dat er ingevolge artikel 2:25 van de Algemene Plaatselijke Verordening van Rotterdam een vergunning verleend wordt voor: | Evenement | : | EUR-Campusrun | |------------------------------|-----|----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</si>
</sst>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
    <font>
      <sz val="11.0"/>
      <color theme="1"/>
      <name val="Calibri"/>
      <scheme val="minor"/>
    </font>
    <font>
      <b/>
      <color rgb="FFFFFFFF"/>
      <name val="Calibri"/>
      <scheme val="minor"/>
    </font>
    <font>
      <sz val="11.0"/>
      <color theme="1"/>
      <name val="Calibri"/>
    </font>
  </fonts>
  <fills count="5">
    <fill>
      <patternFill patternType="none"/>
    </fill>
    <fill>
      <patternFill patternType="lightGray"/>
    </fill>
    <fill>
      <patternFill patternType="solid">
        <fgColor rgb="FF1F4E78"/>
        <bgColor rgb="FF1F4E78"/>
      </patternFill>
    </fill>
    <fill>
      <patternFill patternType="solid">
        <fgColor rgb="FFFFF2CC"/>
        <bgColor rgb="FFFFF2CC"/>
      </patternFill>
    </fill>
    <fill>
      <patternFill patternType="solid">
        <fgColor rgb="FFE7E6E6"/>
        <bgColor rgb="FFE7E6E6"/>
      </patternFill>
    </fill>
  </fills>
  <borders count="2">
    <border/>
    <border>
      <bottom style="thin">
        <color rgb="FFD9D9D9"/>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0" fontId="2" numFmtId="0" xfId="0" applyAlignment="1" applyBorder="1" applyFont="1">
      <alignment shrinkToFit="0" vertical="top" wrapText="1"/>
    </xf>
    <xf borderId="1" fillId="3" fontId="2" numFmtId="0" xfId="0" applyAlignment="1" applyBorder="1" applyFill="1" applyFont="1">
      <alignment shrinkToFit="0" vertical="top" wrapText="1"/>
    </xf>
    <xf borderId="1" fillId="3" fontId="2" numFmtId="0" xfId="0" applyAlignment="1" applyBorder="1" applyFill="1" applyFont="1">
      <alignment readingOrder="0" shrinkToFit="0" vertical="top" wrapText="1"/>
    </xf>
    <xf borderId="1" fillId="4" fontId="2" numFmtId="0" xfId="0" applyAlignment="1" applyBorder="1" applyFill="1" applyFont="1">
      <alignment shrinkToFit="0" vertical="top" wrapText="1"/>
    </xf>
    <xf borderId="1" fillId="0" fontId="2" numFmtId="164" xfId="0" applyAlignment="1" applyBorder="1" applyFont="1" applyNumberFormat="1">
      <alignment shrinkToFit="0" vertical="top" wrapText="1"/>
    </xf>
    <xf borderId="1"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2" width="100.0"/>
    <col customWidth="1" min="3" max="26" width="8.71"/>
  </cols>
  <sheetData>
    <row r="1">
      <c r="A1" s="1" t="s">
        <v>0</v>
      </c>
      <c r="B1" s="1" t="s">
        <v>4</v>
      </c>
    </row>
    <row r="2">
      <c r="A2" s="2" t="s">
        <v>5</v>
      </c>
      <c r="B2" s="2"/>
    </row>
    <row r="3">
      <c r="A3" s="2" t="s">
        <v>6</v>
      </c>
      <c r="B3" s="2" t="s">
        <v>7</v>
      </c>
    </row>
    <row r="4">
      <c r="A4" s="2" t="s">
        <v>9</v>
      </c>
      <c r="B4" s="2" t="s">
        <v>11</v>
      </c>
    </row>
    <row r="5">
      <c r="A5" s="2" t="s">
        <v>13</v>
      </c>
      <c r="B5" s="2" t="s">
        <v>14</v>
      </c>
    </row>
    <row r="6">
      <c r="A6" s="2" t="s">
        <v>17</v>
      </c>
      <c r="B6" s="2" t="s">
        <v>18</v>
      </c>
    </row>
    <row r="7">
      <c r="A7" s="2" t="s">
        <v>20</v>
      </c>
      <c r="B7" s="2" t="s">
        <v>21</v>
      </c>
    </row>
    <row r="8">
      <c r="A8" s="2"/>
      <c r="B8" s="2"/>
    </row>
    <row r="9">
      <c r="A9" s="2" t="s">
        <v>24</v>
      </c>
      <c r="B9" s="2" t="s">
        <v>26</v>
      </c>
    </row>
    <row r="10">
      <c r="A10" s="2" t="s">
        <v>29</v>
      </c>
      <c r="B10" s="2" t="s">
        <v>31</v>
      </c>
    </row>
    <row r="11">
      <c r="A11" s="2" t="s">
        <v>34</v>
      </c>
      <c r="B11" s="2" t="s">
        <v>35</v>
      </c>
    </row>
    <row r="12">
      <c r="A12" s="2" t="s">
        <v>36</v>
      </c>
      <c r="B12" s="2" t="s">
        <v>38</v>
      </c>
    </row>
    <row r="13">
      <c r="A13" s="2" t="s">
        <v>40</v>
      </c>
      <c r="B13" s="2" t="s">
        <v>42</v>
      </c>
    </row>
    <row r="14">
      <c r="A14" s="2" t="s">
        <v>45</v>
      </c>
      <c r="B14" s="2" t="s">
        <v>47</v>
      </c>
    </row>
    <row r="15">
      <c r="A15" s="2" t="s">
        <v>49</v>
      </c>
      <c r="B15" s="2" t="s">
        <v>51</v>
      </c>
    </row>
    <row r="16">
      <c r="A16" s="2" t="s">
        <v>53</v>
      </c>
      <c r="B16" s="2" t="s">
        <v>54</v>
      </c>
    </row>
    <row r="17">
      <c r="A17" s="2" t="s">
        <v>78</v>
      </c>
      <c r="B17" s="2" t="s">
        <v>81</v>
      </c>
    </row>
    <row r="18">
      <c r="A18" s="2" t="s">
        <v>84</v>
      </c>
      <c r="B18" s="2" t="s">
        <v>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0"/>
    <col customWidth="1" min="2" max="3" width="42.0"/>
    <col customWidth="1" min="4" max="4" width="19.0"/>
    <col customWidth="1" min="5" max="7" width="42.0"/>
    <col customWidth="1" min="8" max="9" width="24.0"/>
    <col customWidth="1" min="10" max="10" width="29.0"/>
    <col customWidth="1" min="11" max="12" width="42.0"/>
    <col customWidth="1" min="13" max="26" width="8.71"/>
  </cols>
  <sheetData>
    <row r="1">
      <c r="A1" s="1" t="s">
        <v>2</v>
      </c>
      <c r="B1" s="1" t="s">
        <v>32</v>
      </c>
      <c r="C1" s="1" t="s">
        <v>37</v>
      </c>
      <c r="D1" s="1" t="s">
        <v>43</v>
      </c>
      <c r="E1" s="1" t="s">
        <v>29</v>
      </c>
      <c r="F1" s="1" t="s">
        <v>34</v>
      </c>
      <c r="G1" s="1" t="s">
        <v>36</v>
      </c>
      <c r="H1" s="1" t="s">
        <v>57</v>
      </c>
      <c r="I1" s="1" t="s">
        <v>60</v>
      </c>
      <c r="J1" s="1" t="s">
        <v>62</v>
      </c>
      <c r="K1" s="1" t="s">
        <v>65</v>
      </c>
      <c r="L1" s="1" t="s">
        <v>67</v>
      </c>
    </row>
    <row r="2">
      <c r="A2" s="2" t="s">
        <v>71</v>
      </c>
      <c r="B2" s="2">
        <f>COUNTIFS('All Comparisons'!$D$2:$D$561,$A2)-COUNTIFS('Review Queue'!$D$2:$D$64,$A2,'Review Queue'!$X$2:$X$64,"Yes")</f>
        <v>140</v>
      </c>
      <c r="C2" s="2">
        <f>SUMIFS('All Comparisons'!$R$2:$R$561,'All Comparisons'!$D$2:$D$561,$A2)+SUMIFS('Review Queue'!$AE$2:$AE$64,'Review Queue'!$D$2:$D$64,$A2)-SUMIFS('Review Queue'!$R$2:$R$64,'Review Queue'!$D$2:$D$64,$A2)</f>
        <v>119</v>
      </c>
      <c r="D2" s="6">
        <f t="shared" ref="D2:D6" si="1">IFERROR(C2/B2,0)</f>
        <v>0.85</v>
      </c>
      <c r="E2" s="2">
        <f>SUMIFS('All Comparisons'!$O$2:$O$561,'All Comparisons'!$D$2:$D$561,$A2)+SUMIFS('Review Queue'!$AB$2:$AB$64,'Review Queue'!$D$2:$D$64,$A2)-SUMIFS('Review Queue'!$O$2:$O$64,'Review Queue'!$D$2:$D$64,$A2)</f>
        <v>115</v>
      </c>
      <c r="F2" s="2">
        <f>SUMIFS('All Comparisons'!$P$2:$P$561,'All Comparisons'!$D$2:$D$561,$A2)+SUMIFS('Review Queue'!$AC$2:$AC$64,'Review Queue'!$D$2:$D$64,$A2)-SUMIFS('Review Queue'!$P$2:$P$64,'Review Queue'!$D$2:$D$64,$A2)</f>
        <v>6</v>
      </c>
      <c r="G2" s="2">
        <f>SUMIFS('All Comparisons'!$Q$2:$Q$561,'All Comparisons'!$D$2:$D$561,$A2)+SUMIFS('Review Queue'!$AD$2:$AD$64,'Review Queue'!$D$2:$D$64,$A2)-SUMIFS('Review Queue'!$Q$2:$Q$64,'Review Queue'!$D$2:$D$64,$A2)</f>
        <v>21</v>
      </c>
      <c r="H2" s="6">
        <f t="shared" ref="H2:H6" si="2">IFERROR(E2/(E2+F2),0)</f>
        <v>0.9504132231</v>
      </c>
      <c r="I2" s="6">
        <f t="shared" ref="I2:I6" si="3">IFERROR(E2/(E2+G2),0)</f>
        <v>0.8455882353</v>
      </c>
      <c r="J2" s="6">
        <f t="shared" ref="J2:J6" si="4">IFERROR(2*H2*I2/(H2+I2),0)</f>
        <v>0.8949416342</v>
      </c>
      <c r="K2" s="2">
        <f>COUNTIFS('Review Queue'!$D$2:$D$64,$A2,'Review Queue'!$Y$2:$Y$64,"&lt;&gt;Reviewed",'Review Queue'!$X$2:$X$64,"&lt;&gt;Yes")</f>
        <v>40</v>
      </c>
      <c r="L2" s="2">
        <f>COUNTIFS('Review Queue'!$D$2:$D$64,$A2,'Review Queue'!$AA$2:$AA$64,"INCOMPLETE")</f>
        <v>0</v>
      </c>
    </row>
    <row r="3">
      <c r="A3" s="2" t="s">
        <v>75</v>
      </c>
      <c r="B3" s="2">
        <f>COUNTIFS('All Comparisons'!$D$2:$D$561,$A3)-COUNTIFS('Review Queue'!$D$2:$D$64,$A3,'Review Queue'!$X$2:$X$64,"Yes")</f>
        <v>140</v>
      </c>
      <c r="C3" s="2">
        <f>SUMIFS('All Comparisons'!$R$2:$R$561,'All Comparisons'!$D$2:$D$561,$A3)+SUMIFS('Review Queue'!$AE$2:$AE$64,'Review Queue'!$D$2:$D$64,$A3)-SUMIFS('Review Queue'!$R$2:$R$64,'Review Queue'!$D$2:$D$64,$A3)</f>
        <v>136</v>
      </c>
      <c r="D3" s="6">
        <f t="shared" si="1"/>
        <v>0.9714285714</v>
      </c>
      <c r="E3" s="2">
        <f>SUMIFS('All Comparisons'!$O$2:$O$561,'All Comparisons'!$D$2:$D$561,$A3)+SUMIFS('Review Queue'!$AB$2:$AB$64,'Review Queue'!$D$2:$D$64,$A3)-SUMIFS('Review Queue'!$O$2:$O$64,'Review Queue'!$D$2:$D$64,$A3)</f>
        <v>136</v>
      </c>
      <c r="F3" s="2">
        <f>SUMIFS('All Comparisons'!$P$2:$P$561,'All Comparisons'!$D$2:$D$561,$A3)+SUMIFS('Review Queue'!$AC$2:$AC$64,'Review Queue'!$D$2:$D$64,$A3)-SUMIFS('Review Queue'!$P$2:$P$64,'Review Queue'!$D$2:$D$64,$A3)</f>
        <v>2</v>
      </c>
      <c r="G3" s="2">
        <f>SUMIFS('All Comparisons'!$Q$2:$Q$561,'All Comparisons'!$D$2:$D$561,$A3)+SUMIFS('Review Queue'!$AD$2:$AD$64,'Review Queue'!$D$2:$D$64,$A3)-SUMIFS('Review Queue'!$Q$2:$Q$64,'Review Queue'!$D$2:$D$64,$A3)</f>
        <v>4</v>
      </c>
      <c r="H3" s="6">
        <f t="shared" si="2"/>
        <v>0.9855072464</v>
      </c>
      <c r="I3" s="6">
        <f t="shared" si="3"/>
        <v>0.9714285714</v>
      </c>
      <c r="J3" s="6">
        <f t="shared" si="4"/>
        <v>0.9784172662</v>
      </c>
      <c r="K3" s="2">
        <f>COUNTIFS('Review Queue'!$D$2:$D$64,$A3,'Review Queue'!$Y$2:$Y$64,"&lt;&gt;Reviewed",'Review Queue'!$X$2:$X$64,"&lt;&gt;Yes")</f>
        <v>8</v>
      </c>
      <c r="L3" s="2">
        <f>COUNTIFS('Review Queue'!$D$2:$D$64,$A3,'Review Queue'!$AA$2:$AA$64,"INCOMPLETE")</f>
        <v>0</v>
      </c>
    </row>
    <row r="4">
      <c r="A4" s="2" t="s">
        <v>118</v>
      </c>
      <c r="B4" s="2">
        <f>COUNTIFS('All Comparisons'!$D$2:$D$561,$A4)-COUNTIFS('Review Queue'!$D$2:$D$64,$A4,'Review Queue'!$X$2:$X$64,"Yes")</f>
        <v>140</v>
      </c>
      <c r="C4" s="2">
        <f>SUMIFS('All Comparisons'!$R$2:$R$561,'All Comparisons'!$D$2:$D$561,$A4)+SUMIFS('Review Queue'!$AE$2:$AE$64,'Review Queue'!$D$2:$D$64,$A4)-SUMIFS('Review Queue'!$R$2:$R$64,'Review Queue'!$D$2:$D$64,$A4)</f>
        <v>138</v>
      </c>
      <c r="D4" s="6">
        <f t="shared" si="1"/>
        <v>0.9857142857</v>
      </c>
      <c r="E4" s="2">
        <f>SUMIFS('All Comparisons'!$O$2:$O$561,'All Comparisons'!$D$2:$D$561,$A4)+SUMIFS('Review Queue'!$AB$2:$AB$64,'Review Queue'!$D$2:$D$64,$A4)-SUMIFS('Review Queue'!$O$2:$O$64,'Review Queue'!$D$2:$D$64,$A4)</f>
        <v>139</v>
      </c>
      <c r="F4" s="2">
        <f>SUMIFS('All Comparisons'!$P$2:$P$561,'All Comparisons'!$D$2:$D$561,$A4)+SUMIFS('Review Queue'!$AC$2:$AC$64,'Review Queue'!$D$2:$D$64,$A4)-SUMIFS('Review Queue'!$P$2:$P$64,'Review Queue'!$D$2:$D$64,$A4)</f>
        <v>2</v>
      </c>
      <c r="G4" s="2">
        <f>SUMIFS('All Comparisons'!$Q$2:$Q$561,'All Comparisons'!$D$2:$D$561,$A4)+SUMIFS('Review Queue'!$AD$2:$AD$64,'Review Queue'!$D$2:$D$64,$A4)-SUMIFS('Review Queue'!$Q$2:$Q$64,'Review Queue'!$D$2:$D$64,$A4)</f>
        <v>2</v>
      </c>
      <c r="H4" s="6">
        <f t="shared" si="2"/>
        <v>0.9858156028</v>
      </c>
      <c r="I4" s="6">
        <f t="shared" si="3"/>
        <v>0.9858156028</v>
      </c>
      <c r="J4" s="6">
        <f t="shared" si="4"/>
        <v>0.9858156028</v>
      </c>
      <c r="K4" s="2">
        <f>COUNTIFS('Review Queue'!$D$2:$D$64,$A4,'Review Queue'!$Y$2:$Y$64,"&lt;&gt;Reviewed",'Review Queue'!$X$2:$X$64,"&lt;&gt;Yes")</f>
        <v>9</v>
      </c>
      <c r="L4" s="2">
        <f>COUNTIFS('Review Queue'!$D$2:$D$64,$A4,'Review Queue'!$AA$2:$AA$64,"INCOMPLETE")</f>
        <v>0</v>
      </c>
    </row>
    <row r="5">
      <c r="A5" s="2" t="s">
        <v>149</v>
      </c>
      <c r="B5" s="2">
        <f>COUNTIFS('All Comparisons'!$D$2:$D$561,$A5)-COUNTIFS('Review Queue'!$D$2:$D$64,$A5,'Review Queue'!$X$2:$X$64,"Yes")</f>
        <v>140</v>
      </c>
      <c r="C5" s="2">
        <f>SUMIFS('All Comparisons'!$R$2:$R$561,'All Comparisons'!$D$2:$D$561,$A5)+SUMIFS('Review Queue'!$AE$2:$AE$64,'Review Queue'!$D$2:$D$64,$A5)-SUMIFS('Review Queue'!$R$2:$R$64,'Review Queue'!$D$2:$D$64,$A5)</f>
        <v>139</v>
      </c>
      <c r="D5" s="6">
        <f t="shared" si="1"/>
        <v>0.9928571429</v>
      </c>
      <c r="E5" s="2">
        <f>SUMIFS('All Comparisons'!$O$2:$O$561,'All Comparisons'!$D$2:$D$561,$A5)+SUMIFS('Review Queue'!$AB$2:$AB$64,'Review Queue'!$D$2:$D$64,$A5)-SUMIFS('Review Queue'!$O$2:$O$64,'Review Queue'!$D$2:$D$64,$A5)</f>
        <v>140</v>
      </c>
      <c r="F5" s="2">
        <f>SUMIFS('All Comparisons'!$P$2:$P$561,'All Comparisons'!$D$2:$D$561,$A5)+SUMIFS('Review Queue'!$AC$2:$AC$64,'Review Queue'!$D$2:$D$64,$A5)-SUMIFS('Review Queue'!$P$2:$P$64,'Review Queue'!$D$2:$D$64,$A5)</f>
        <v>1</v>
      </c>
      <c r="G5" s="2">
        <f>SUMIFS('All Comparisons'!$Q$2:$Q$561,'All Comparisons'!$D$2:$D$561,$A5)+SUMIFS('Review Queue'!$AD$2:$AD$64,'Review Queue'!$D$2:$D$64,$A5)-SUMIFS('Review Queue'!$Q$2:$Q$64,'Review Queue'!$D$2:$D$64,$A5)</f>
        <v>0</v>
      </c>
      <c r="H5" s="6">
        <f t="shared" si="2"/>
        <v>0.9929078014</v>
      </c>
      <c r="I5" s="6">
        <f t="shared" si="3"/>
        <v>1</v>
      </c>
      <c r="J5" s="6">
        <f t="shared" si="4"/>
        <v>0.9964412811</v>
      </c>
      <c r="K5" s="2">
        <f>COUNTIFS('Review Queue'!$D$2:$D$64,$A5,'Review Queue'!$Y$2:$Y$64,"&lt;&gt;Reviewed",'Review Queue'!$X$2:$X$64,"&lt;&gt;Yes")</f>
        <v>6</v>
      </c>
      <c r="L5" s="2">
        <f>COUNTIFS('Review Queue'!$D$2:$D$64,$A5,'Review Queue'!$AA$2:$AA$64,"INCOMPLETE")</f>
        <v>0</v>
      </c>
    </row>
    <row r="6">
      <c r="A6" s="2" t="s">
        <v>426</v>
      </c>
      <c r="B6" s="2">
        <f>560-COUNTIFS('Review Queue'!$X$2:$X$64,"Yes")</f>
        <v>560</v>
      </c>
      <c r="C6" s="2">
        <f>SUM('All Comparisons'!$R$2:$R$561)+SUM('Review Queue'!$AE$2:$AE$64)-SUM('Review Queue'!$R$2:$R$64)</f>
        <v>532</v>
      </c>
      <c r="D6" s="6">
        <f t="shared" si="1"/>
        <v>0.95</v>
      </c>
      <c r="E6" s="2">
        <f>SUM('All Comparisons'!$O$2:$O$561)+SUM('Review Queue'!$AB$2:$AB$64)-SUM('Review Queue'!$O$2:$O$64)</f>
        <v>530</v>
      </c>
      <c r="F6" s="2">
        <f>SUM('All Comparisons'!$P$2:$P$561)+SUM('Review Queue'!$AC$2:$AC$64)-SUM('Review Queue'!$P$2:$P$64)</f>
        <v>11</v>
      </c>
      <c r="G6" s="2">
        <f>SUM('All Comparisons'!$Q$2:$Q$561)+SUM('Review Queue'!$AD$2:$AD$64)-SUM('Review Queue'!$Q$2:$Q$64)</f>
        <v>27</v>
      </c>
      <c r="H6" s="6">
        <f t="shared" si="2"/>
        <v>0.9796672828</v>
      </c>
      <c r="I6" s="6">
        <f t="shared" si="3"/>
        <v>0.9515260323</v>
      </c>
      <c r="J6" s="6">
        <f t="shared" si="4"/>
        <v>0.9653916211</v>
      </c>
      <c r="K6" s="2">
        <f>COUNTIFS('Review Queue'!$Y$2:$Y$64,"&lt;&gt;Reviewed",'Review Queue'!$X$2:$X$64,"&lt;&gt;Yes")</f>
        <v>63</v>
      </c>
      <c r="L6" s="2">
        <f>COUNTIFS('Review Queue'!$AA$2:$AA$64,"INCOMPLETE")</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6"/>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0"/>
    <col customWidth="1" min="2" max="2" width="23.0"/>
    <col customWidth="1" min="3" max="4" width="42.0"/>
    <col customWidth="1" min="5" max="5" width="21.0"/>
    <col customWidth="1" min="6" max="8" width="42.0"/>
    <col customWidth="1" min="9" max="10" width="27.0"/>
    <col customWidth="1" min="11" max="11" width="33.0"/>
    <col customWidth="1" min="12" max="13" width="42.0"/>
    <col customWidth="1" min="14" max="26" width="8.71"/>
  </cols>
  <sheetData>
    <row r="1">
      <c r="A1" s="1" t="s">
        <v>3</v>
      </c>
      <c r="B1" s="1" t="s">
        <v>2</v>
      </c>
      <c r="C1" s="1" t="s">
        <v>32</v>
      </c>
      <c r="D1" s="1" t="s">
        <v>37</v>
      </c>
      <c r="E1" s="1" t="s">
        <v>43</v>
      </c>
      <c r="F1" s="1" t="s">
        <v>29</v>
      </c>
      <c r="G1" s="1" t="s">
        <v>34</v>
      </c>
      <c r="H1" s="1" t="s">
        <v>36</v>
      </c>
      <c r="I1" s="1" t="s">
        <v>57</v>
      </c>
      <c r="J1" s="1" t="s">
        <v>60</v>
      </c>
      <c r="K1" s="1" t="s">
        <v>62</v>
      </c>
      <c r="L1" s="1" t="s">
        <v>65</v>
      </c>
      <c r="M1" s="1" t="s">
        <v>67</v>
      </c>
    </row>
    <row r="2">
      <c r="A2" s="2" t="s">
        <v>74</v>
      </c>
      <c r="B2" s="2" t="s">
        <v>71</v>
      </c>
      <c r="C2" s="2">
        <f>COUNTIFS('All Comparisons'!$C$2:$C$561,$A2,'All Comparisons'!$D$2:$D$561,$B2)-COUNTIFS('Review Queue'!$C$2:$C$64,$A2,'Review Queue'!$D$2:$D$64,$B2,'Review Queue'!$X$2:$X$64,"Yes")</f>
        <v>20</v>
      </c>
      <c r="D2" s="2">
        <f>SUMIFS('All Comparisons'!$R$2:$R$561,'All Comparisons'!$C$2:$C$561,$A2,'All Comparisons'!$D$2:$D$561,$B2)+SUMIFS('Review Queue'!$AE$2:$AE$64,'Review Queue'!$C$2:$C$64,$A2,'Review Queue'!$D$2:$D$64,$B2)-SUMIFS('Review Queue'!$R$2:$R$64,'Review Queue'!$C$2:$C$64,$A2,'Review Queue'!$D$2:$D$64,$B2)</f>
        <v>20</v>
      </c>
      <c r="E2" s="6">
        <f t="shared" ref="E2:E36" si="1">IFERROR(D2/C2,0)</f>
        <v>1</v>
      </c>
      <c r="F2" s="2">
        <f>SUMIFS('All Comparisons'!$O$2:$O$561,'All Comparisons'!$C$2:$C$561,$A2,'All Comparisons'!$D$2:$D$561,$B2)+SUMIFS('Review Queue'!$AB$2:$AB$64,'Review Queue'!$C$2:$C$64,$A2,'Review Queue'!$D$2:$D$64,$B2)-SUMIFS('Review Queue'!$O$2:$O$64,'Review Queue'!$C$2:$C$64,$A2,'Review Queue'!$D$2:$D$64,$B2)</f>
        <v>22</v>
      </c>
      <c r="G2" s="2">
        <f>SUMIFS('All Comparisons'!$P$2:$P$561,'All Comparisons'!$C$2:$C$561,$A2,'All Comparisons'!$D$2:$D$561,$B2)+SUMIFS('Review Queue'!$AC$2:$AC$64,'Review Queue'!$C$2:$C$64,$A2,'Review Queue'!$D$2:$D$64,$B2)-SUMIFS('Review Queue'!$P$2:$P$64,'Review Queue'!$C$2:$C$64,$A2,'Review Queue'!$D$2:$D$64,$B2)</f>
        <v>0</v>
      </c>
      <c r="H2" s="2">
        <f>SUMIFS('All Comparisons'!$Q$2:$Q$561,'All Comparisons'!$C$2:$C$561,$A2,'All Comparisons'!$D$2:$D$561,$B2)+SUMIFS('Review Queue'!$AD$2:$AD$64,'Review Queue'!$C$2:$C$64,$A2,'Review Queue'!$D$2:$D$64,$B2)-SUMIFS('Review Queue'!$Q$2:$Q$64,'Review Queue'!$C$2:$C$64,$A2,'Review Queue'!$D$2:$D$64,$B2)</f>
        <v>0</v>
      </c>
      <c r="I2" s="6">
        <f t="shared" ref="I2:I36" si="2">IFERROR(F2/(F2+G2),0)</f>
        <v>1</v>
      </c>
      <c r="J2" s="6">
        <f t="shared" ref="J2:J36" si="3">IFERROR(F2/(F2+H2),0)</f>
        <v>1</v>
      </c>
      <c r="K2" s="6">
        <f t="shared" ref="K2:K36" si="4">IFERROR(2*I2*J2/(I2+J2),0)</f>
        <v>1</v>
      </c>
      <c r="L2" s="2">
        <f>COUNTIFS('Review Queue'!$C$2:$C$64,$A2,'Review Queue'!$D$2:$D$64,$B2,'Review Queue'!$Y$2:$Y$64,"&lt;&gt;Reviewed",'Review Queue'!$X$2:$X$64,"&lt;&gt;Yes")</f>
        <v>2</v>
      </c>
      <c r="M2" s="2">
        <f>COUNTIFS('Review Queue'!$C$2:$C$64,$A2,'Review Queue'!$D$2:$D$64,$B2,'Review Queue'!$AA$2:$AA$64,"INCOMPLETE")</f>
        <v>0</v>
      </c>
    </row>
    <row r="3">
      <c r="A3" s="2" t="s">
        <v>74</v>
      </c>
      <c r="B3" s="2" t="s">
        <v>75</v>
      </c>
      <c r="C3" s="2">
        <f>COUNTIFS('All Comparisons'!$C$2:$C$561,$A3,'All Comparisons'!$D$2:$D$561,$B3)-COUNTIFS('Review Queue'!$C$2:$C$64,$A3,'Review Queue'!$D$2:$D$64,$B3,'Review Queue'!$X$2:$X$64,"Yes")</f>
        <v>20</v>
      </c>
      <c r="D3" s="2">
        <f>SUMIFS('All Comparisons'!$R$2:$R$561,'All Comparisons'!$C$2:$C$561,$A3,'All Comparisons'!$D$2:$D$561,$B3)+SUMIFS('Review Queue'!$AE$2:$AE$64,'Review Queue'!$C$2:$C$64,$A3,'Review Queue'!$D$2:$D$64,$B3)-SUMIFS('Review Queue'!$R$2:$R$64,'Review Queue'!$C$2:$C$64,$A3,'Review Queue'!$D$2:$D$64,$B3)</f>
        <v>20</v>
      </c>
      <c r="E3" s="6">
        <f t="shared" si="1"/>
        <v>1</v>
      </c>
      <c r="F3" s="2">
        <f>SUMIFS('All Comparisons'!$O$2:$O$561,'All Comparisons'!$C$2:$C$561,$A3,'All Comparisons'!$D$2:$D$561,$B3)+SUMIFS('Review Queue'!$AB$2:$AB$64,'Review Queue'!$C$2:$C$64,$A3,'Review Queue'!$D$2:$D$64,$B3)-SUMIFS('Review Queue'!$O$2:$O$64,'Review Queue'!$C$2:$C$64,$A3,'Review Queue'!$D$2:$D$64,$B3)</f>
        <v>20</v>
      </c>
      <c r="G3" s="2">
        <f>SUMIFS('All Comparisons'!$P$2:$P$561,'All Comparisons'!$C$2:$C$561,$A3,'All Comparisons'!$D$2:$D$561,$B3)+SUMIFS('Review Queue'!$AC$2:$AC$64,'Review Queue'!$C$2:$C$64,$A3,'Review Queue'!$D$2:$D$64,$B3)-SUMIFS('Review Queue'!$P$2:$P$64,'Review Queue'!$C$2:$C$64,$A3,'Review Queue'!$D$2:$D$64,$B3)</f>
        <v>0</v>
      </c>
      <c r="H3" s="2">
        <f>SUMIFS('All Comparisons'!$Q$2:$Q$561,'All Comparisons'!$C$2:$C$561,$A3,'All Comparisons'!$D$2:$D$561,$B3)+SUMIFS('Review Queue'!$AD$2:$AD$64,'Review Queue'!$C$2:$C$64,$A3,'Review Queue'!$D$2:$D$64,$B3)-SUMIFS('Review Queue'!$Q$2:$Q$64,'Review Queue'!$C$2:$C$64,$A3,'Review Queue'!$D$2:$D$64,$B3)</f>
        <v>0</v>
      </c>
      <c r="I3" s="6">
        <f t="shared" si="2"/>
        <v>1</v>
      </c>
      <c r="J3" s="6">
        <f t="shared" si="3"/>
        <v>1</v>
      </c>
      <c r="K3" s="6">
        <f t="shared" si="4"/>
        <v>1</v>
      </c>
      <c r="L3" s="2">
        <f>COUNTIFS('Review Queue'!$C$2:$C$64,$A3,'Review Queue'!$D$2:$D$64,$B3,'Review Queue'!$Y$2:$Y$64,"&lt;&gt;Reviewed",'Review Queue'!$X$2:$X$64,"&lt;&gt;Yes")</f>
        <v>2</v>
      </c>
      <c r="M3" s="2">
        <f>COUNTIFS('Review Queue'!$C$2:$C$64,$A3,'Review Queue'!$D$2:$D$64,$B3,'Review Queue'!$AA$2:$AA$64,"INCOMPLETE")</f>
        <v>0</v>
      </c>
    </row>
    <row r="4">
      <c r="A4" s="2" t="s">
        <v>74</v>
      </c>
      <c r="B4" s="2" t="s">
        <v>118</v>
      </c>
      <c r="C4" s="2">
        <f>COUNTIFS('All Comparisons'!$C$2:$C$561,$A4,'All Comparisons'!$D$2:$D$561,$B4)-COUNTIFS('Review Queue'!$C$2:$C$64,$A4,'Review Queue'!$D$2:$D$64,$B4,'Review Queue'!$X$2:$X$64,"Yes")</f>
        <v>20</v>
      </c>
      <c r="D4" s="2">
        <f>SUMIFS('All Comparisons'!$R$2:$R$561,'All Comparisons'!$C$2:$C$561,$A4,'All Comparisons'!$D$2:$D$561,$B4)+SUMIFS('Review Queue'!$AE$2:$AE$64,'Review Queue'!$C$2:$C$64,$A4,'Review Queue'!$D$2:$D$64,$B4)-SUMIFS('Review Queue'!$R$2:$R$64,'Review Queue'!$C$2:$C$64,$A4,'Review Queue'!$D$2:$D$64,$B4)</f>
        <v>19</v>
      </c>
      <c r="E4" s="6">
        <f t="shared" si="1"/>
        <v>0.95</v>
      </c>
      <c r="F4" s="2">
        <f>SUMIFS('All Comparisons'!$O$2:$O$561,'All Comparisons'!$C$2:$C$561,$A4,'All Comparisons'!$D$2:$D$561,$B4)+SUMIFS('Review Queue'!$AB$2:$AB$64,'Review Queue'!$C$2:$C$64,$A4,'Review Queue'!$D$2:$D$64,$B4)-SUMIFS('Review Queue'!$O$2:$O$64,'Review Queue'!$C$2:$C$64,$A4,'Review Queue'!$D$2:$D$64,$B4)</f>
        <v>19</v>
      </c>
      <c r="G4" s="2">
        <f>SUMIFS('All Comparisons'!$P$2:$P$561,'All Comparisons'!$C$2:$C$561,$A4,'All Comparisons'!$D$2:$D$561,$B4)+SUMIFS('Review Queue'!$AC$2:$AC$64,'Review Queue'!$C$2:$C$64,$A4,'Review Queue'!$D$2:$D$64,$B4)-SUMIFS('Review Queue'!$P$2:$P$64,'Review Queue'!$C$2:$C$64,$A4,'Review Queue'!$D$2:$D$64,$B4)</f>
        <v>1</v>
      </c>
      <c r="H4" s="2">
        <f>SUMIFS('All Comparisons'!$Q$2:$Q$561,'All Comparisons'!$C$2:$C$561,$A4,'All Comparisons'!$D$2:$D$561,$B4)+SUMIFS('Review Queue'!$AD$2:$AD$64,'Review Queue'!$C$2:$C$64,$A4,'Review Queue'!$D$2:$D$64,$B4)-SUMIFS('Review Queue'!$Q$2:$Q$64,'Review Queue'!$C$2:$C$64,$A4,'Review Queue'!$D$2:$D$64,$B4)</f>
        <v>1</v>
      </c>
      <c r="I4" s="6">
        <f t="shared" si="2"/>
        <v>0.95</v>
      </c>
      <c r="J4" s="6">
        <f t="shared" si="3"/>
        <v>0.95</v>
      </c>
      <c r="K4" s="6">
        <f t="shared" si="4"/>
        <v>0.95</v>
      </c>
      <c r="L4" s="2">
        <f>COUNTIFS('Review Queue'!$C$2:$C$64,$A4,'Review Queue'!$D$2:$D$64,$B4,'Review Queue'!$Y$2:$Y$64,"&lt;&gt;Reviewed",'Review Queue'!$X$2:$X$64,"&lt;&gt;Yes")</f>
        <v>3</v>
      </c>
      <c r="M4" s="2">
        <f>COUNTIFS('Review Queue'!$C$2:$C$64,$A4,'Review Queue'!$D$2:$D$64,$B4,'Review Queue'!$AA$2:$AA$64,"INCOMPLETE")</f>
        <v>0</v>
      </c>
    </row>
    <row r="5">
      <c r="A5" s="2" t="s">
        <v>74</v>
      </c>
      <c r="B5" s="2" t="s">
        <v>149</v>
      </c>
      <c r="C5" s="2">
        <f>COUNTIFS('All Comparisons'!$C$2:$C$561,$A5,'All Comparisons'!$D$2:$D$561,$B5)-COUNTIFS('Review Queue'!$C$2:$C$64,$A5,'Review Queue'!$D$2:$D$64,$B5,'Review Queue'!$X$2:$X$64,"Yes")</f>
        <v>20</v>
      </c>
      <c r="D5" s="2">
        <f>SUMIFS('All Comparisons'!$R$2:$R$561,'All Comparisons'!$C$2:$C$561,$A5,'All Comparisons'!$D$2:$D$561,$B5)+SUMIFS('Review Queue'!$AE$2:$AE$64,'Review Queue'!$C$2:$C$64,$A5,'Review Queue'!$D$2:$D$64,$B5)-SUMIFS('Review Queue'!$R$2:$R$64,'Review Queue'!$C$2:$C$64,$A5,'Review Queue'!$D$2:$D$64,$B5)</f>
        <v>20</v>
      </c>
      <c r="E5" s="6">
        <f t="shared" si="1"/>
        <v>1</v>
      </c>
      <c r="F5" s="2">
        <f>SUMIFS('All Comparisons'!$O$2:$O$561,'All Comparisons'!$C$2:$C$561,$A5,'All Comparisons'!$D$2:$D$561,$B5)+SUMIFS('Review Queue'!$AB$2:$AB$64,'Review Queue'!$C$2:$C$64,$A5,'Review Queue'!$D$2:$D$64,$B5)-SUMIFS('Review Queue'!$O$2:$O$64,'Review Queue'!$C$2:$C$64,$A5,'Review Queue'!$D$2:$D$64,$B5)</f>
        <v>21</v>
      </c>
      <c r="G5" s="2">
        <f>SUMIFS('All Comparisons'!$P$2:$P$561,'All Comparisons'!$C$2:$C$561,$A5,'All Comparisons'!$D$2:$D$561,$B5)+SUMIFS('Review Queue'!$AC$2:$AC$64,'Review Queue'!$C$2:$C$64,$A5,'Review Queue'!$D$2:$D$64,$B5)-SUMIFS('Review Queue'!$P$2:$P$64,'Review Queue'!$C$2:$C$64,$A5,'Review Queue'!$D$2:$D$64,$B5)</f>
        <v>0</v>
      </c>
      <c r="H5" s="2">
        <f>SUMIFS('All Comparisons'!$Q$2:$Q$561,'All Comparisons'!$C$2:$C$561,$A5,'All Comparisons'!$D$2:$D$561,$B5)+SUMIFS('Review Queue'!$AD$2:$AD$64,'Review Queue'!$C$2:$C$64,$A5,'Review Queue'!$D$2:$D$64,$B5)-SUMIFS('Review Queue'!$Q$2:$Q$64,'Review Queue'!$C$2:$C$64,$A5,'Review Queue'!$D$2:$D$64,$B5)</f>
        <v>0</v>
      </c>
      <c r="I5" s="6">
        <f t="shared" si="2"/>
        <v>1</v>
      </c>
      <c r="J5" s="6">
        <f t="shared" si="3"/>
        <v>1</v>
      </c>
      <c r="K5" s="6">
        <f t="shared" si="4"/>
        <v>1</v>
      </c>
      <c r="L5" s="2">
        <f>COUNTIFS('Review Queue'!$C$2:$C$64,$A5,'Review Queue'!$D$2:$D$64,$B5,'Review Queue'!$Y$2:$Y$64,"&lt;&gt;Reviewed",'Review Queue'!$X$2:$X$64,"&lt;&gt;Yes")</f>
        <v>1</v>
      </c>
      <c r="M5" s="2">
        <f>COUNTIFS('Review Queue'!$C$2:$C$64,$A5,'Review Queue'!$D$2:$D$64,$B5,'Review Queue'!$AA$2:$AA$64,"INCOMPLETE")</f>
        <v>0</v>
      </c>
    </row>
    <row r="6">
      <c r="A6" s="2" t="s">
        <v>74</v>
      </c>
      <c r="B6" s="2" t="s">
        <v>426</v>
      </c>
      <c r="C6" s="2">
        <f>COUNTIFS('All Comparisons'!$C$2:$C$561,$A6)-COUNTIFS('Review Queue'!$C$2:$C$64,$A6,'Review Queue'!$X$2:$X$64,"Yes")</f>
        <v>80</v>
      </c>
      <c r="D6" s="2">
        <f>SUMIFS('All Comparisons'!$R$2:$R$561,'All Comparisons'!$C$2:$C$561,$A6)+SUMIFS('Review Queue'!$AE$2:$AE$64,'Review Queue'!$C$2:$C$64,$A6)-SUMIFS('Review Queue'!$R$2:$R$64,'Review Queue'!$C$2:$C$64,$A6)</f>
        <v>79</v>
      </c>
      <c r="E6" s="6">
        <f t="shared" si="1"/>
        <v>0.9875</v>
      </c>
      <c r="F6" s="2">
        <f>SUMIFS('All Comparisons'!$O$2:$O$561,'All Comparisons'!$C$2:$C$561,$A6)+SUMIFS('Review Queue'!$AB$2:$AB$64,'Review Queue'!$C$2:$C$64,$A6)-SUMIFS('Review Queue'!$O$2:$O$64,'Review Queue'!$C$2:$C$64,$A6)</f>
        <v>82</v>
      </c>
      <c r="G6" s="2">
        <f>SUMIFS('All Comparisons'!$P$2:$P$561,'All Comparisons'!$C$2:$C$561,$A6)+SUMIFS('Review Queue'!$AC$2:$AC$64,'Review Queue'!$C$2:$C$64,$A6)-SUMIFS('Review Queue'!$P$2:$P$64,'Review Queue'!$C$2:$C$64,$A6)</f>
        <v>1</v>
      </c>
      <c r="H6" s="2">
        <f>SUMIFS('All Comparisons'!$Q$2:$Q$561,'All Comparisons'!$C$2:$C$561,$A6)+SUMIFS('Review Queue'!$AD$2:$AD$64,'Review Queue'!$C$2:$C$64,$A6)-SUMIFS('Review Queue'!$Q$2:$Q$64,'Review Queue'!$C$2:$C$64,$A6)</f>
        <v>1</v>
      </c>
      <c r="I6" s="6">
        <f t="shared" si="2"/>
        <v>0.9879518072</v>
      </c>
      <c r="J6" s="6">
        <f t="shared" si="3"/>
        <v>0.9879518072</v>
      </c>
      <c r="K6" s="6">
        <f t="shared" si="4"/>
        <v>0.9879518072</v>
      </c>
      <c r="L6" s="2">
        <f>COUNTIFS('Review Queue'!$C$2:$C$64,$A6,'Review Queue'!$Y$2:$Y$64,"&lt;&gt;Reviewed",'Review Queue'!$X$2:$X$64,"&lt;&gt;Yes")</f>
        <v>8</v>
      </c>
      <c r="M6" s="2">
        <f>COUNTIFS('Review Queue'!$C$2:$C$64,$A6,'Review Queue'!$AA$2:$AA$64,"INCOMPLETE")</f>
        <v>0</v>
      </c>
    </row>
    <row r="7">
      <c r="A7" s="2" t="s">
        <v>157</v>
      </c>
      <c r="B7" s="2" t="s">
        <v>71</v>
      </c>
      <c r="C7" s="2">
        <f>COUNTIFS('All Comparisons'!$C$2:$C$561,$A7,'All Comparisons'!$D$2:$D$561,$B7)-COUNTIFS('Review Queue'!$C$2:$C$64,$A7,'Review Queue'!$D$2:$D$64,$B7,'Review Queue'!$X$2:$X$64,"Yes")</f>
        <v>20</v>
      </c>
      <c r="D7" s="2">
        <f>SUMIFS('All Comparisons'!$R$2:$R$561,'All Comparisons'!$C$2:$C$561,$A7,'All Comparisons'!$D$2:$D$561,$B7)+SUMIFS('Review Queue'!$AE$2:$AE$64,'Review Queue'!$C$2:$C$64,$A7,'Review Queue'!$D$2:$D$64,$B7)-SUMIFS('Review Queue'!$R$2:$R$64,'Review Queue'!$C$2:$C$64,$A7,'Review Queue'!$D$2:$D$64,$B7)</f>
        <v>20</v>
      </c>
      <c r="E7" s="6">
        <f t="shared" si="1"/>
        <v>1</v>
      </c>
      <c r="F7" s="2">
        <f>SUMIFS('All Comparisons'!$O$2:$O$561,'All Comparisons'!$C$2:$C$561,$A7,'All Comparisons'!$D$2:$D$561,$B7)+SUMIFS('Review Queue'!$AB$2:$AB$64,'Review Queue'!$C$2:$C$64,$A7,'Review Queue'!$D$2:$D$64,$B7)-SUMIFS('Review Queue'!$O$2:$O$64,'Review Queue'!$C$2:$C$64,$A7,'Review Queue'!$D$2:$D$64,$B7)</f>
        <v>20</v>
      </c>
      <c r="G7" s="2">
        <f>SUMIFS('All Comparisons'!$P$2:$P$561,'All Comparisons'!$C$2:$C$561,$A7,'All Comparisons'!$D$2:$D$561,$B7)+SUMIFS('Review Queue'!$AC$2:$AC$64,'Review Queue'!$C$2:$C$64,$A7,'Review Queue'!$D$2:$D$64,$B7)-SUMIFS('Review Queue'!$P$2:$P$64,'Review Queue'!$C$2:$C$64,$A7,'Review Queue'!$D$2:$D$64,$B7)</f>
        <v>0</v>
      </c>
      <c r="H7" s="2">
        <f>SUMIFS('All Comparisons'!$Q$2:$Q$561,'All Comparisons'!$C$2:$C$561,$A7,'All Comparisons'!$D$2:$D$561,$B7)+SUMIFS('Review Queue'!$AD$2:$AD$64,'Review Queue'!$C$2:$C$64,$A7,'Review Queue'!$D$2:$D$64,$B7)-SUMIFS('Review Queue'!$Q$2:$Q$64,'Review Queue'!$C$2:$C$64,$A7,'Review Queue'!$D$2:$D$64,$B7)</f>
        <v>0</v>
      </c>
      <c r="I7" s="6">
        <f t="shared" si="2"/>
        <v>1</v>
      </c>
      <c r="J7" s="6">
        <f t="shared" si="3"/>
        <v>1</v>
      </c>
      <c r="K7" s="6">
        <f t="shared" si="4"/>
        <v>1</v>
      </c>
      <c r="L7" s="2">
        <f>COUNTIFS('Review Queue'!$C$2:$C$64,$A7,'Review Queue'!$D$2:$D$64,$B7,'Review Queue'!$Y$2:$Y$64,"&lt;&gt;Reviewed",'Review Queue'!$X$2:$X$64,"&lt;&gt;Yes")</f>
        <v>4</v>
      </c>
      <c r="M7" s="2">
        <f>COUNTIFS('Review Queue'!$C$2:$C$64,$A7,'Review Queue'!$D$2:$D$64,$B7,'Review Queue'!$AA$2:$AA$64,"INCOMPLETE")</f>
        <v>0</v>
      </c>
    </row>
    <row r="8">
      <c r="A8" s="2" t="s">
        <v>157</v>
      </c>
      <c r="B8" s="2" t="s">
        <v>75</v>
      </c>
      <c r="C8" s="2">
        <f>COUNTIFS('All Comparisons'!$C$2:$C$561,$A8,'All Comparisons'!$D$2:$D$561,$B8)-COUNTIFS('Review Queue'!$C$2:$C$64,$A8,'Review Queue'!$D$2:$D$64,$B8,'Review Queue'!$X$2:$X$64,"Yes")</f>
        <v>20</v>
      </c>
      <c r="D8" s="2">
        <f>SUMIFS('All Comparisons'!$R$2:$R$561,'All Comparisons'!$C$2:$C$561,$A8,'All Comparisons'!$D$2:$D$561,$B8)+SUMIFS('Review Queue'!$AE$2:$AE$64,'Review Queue'!$C$2:$C$64,$A8,'Review Queue'!$D$2:$D$64,$B8)-SUMIFS('Review Queue'!$R$2:$R$64,'Review Queue'!$C$2:$C$64,$A8,'Review Queue'!$D$2:$D$64,$B8)</f>
        <v>20</v>
      </c>
      <c r="E8" s="6">
        <f t="shared" si="1"/>
        <v>1</v>
      </c>
      <c r="F8" s="2">
        <f>SUMIFS('All Comparisons'!$O$2:$O$561,'All Comparisons'!$C$2:$C$561,$A8,'All Comparisons'!$D$2:$D$561,$B8)+SUMIFS('Review Queue'!$AB$2:$AB$64,'Review Queue'!$C$2:$C$64,$A8,'Review Queue'!$D$2:$D$64,$B8)-SUMIFS('Review Queue'!$O$2:$O$64,'Review Queue'!$C$2:$C$64,$A8,'Review Queue'!$D$2:$D$64,$B8)</f>
        <v>20</v>
      </c>
      <c r="G8" s="2">
        <f>SUMIFS('All Comparisons'!$P$2:$P$561,'All Comparisons'!$C$2:$C$561,$A8,'All Comparisons'!$D$2:$D$561,$B8)+SUMIFS('Review Queue'!$AC$2:$AC$64,'Review Queue'!$C$2:$C$64,$A8,'Review Queue'!$D$2:$D$64,$B8)-SUMIFS('Review Queue'!$P$2:$P$64,'Review Queue'!$C$2:$C$64,$A8,'Review Queue'!$D$2:$D$64,$B8)</f>
        <v>0</v>
      </c>
      <c r="H8" s="2">
        <f>SUMIFS('All Comparisons'!$Q$2:$Q$561,'All Comparisons'!$C$2:$C$561,$A8,'All Comparisons'!$D$2:$D$561,$B8)+SUMIFS('Review Queue'!$AD$2:$AD$64,'Review Queue'!$C$2:$C$64,$A8,'Review Queue'!$D$2:$D$64,$B8)-SUMIFS('Review Queue'!$Q$2:$Q$64,'Review Queue'!$C$2:$C$64,$A8,'Review Queue'!$D$2:$D$64,$B8)</f>
        <v>0</v>
      </c>
      <c r="I8" s="6">
        <f t="shared" si="2"/>
        <v>1</v>
      </c>
      <c r="J8" s="6">
        <f t="shared" si="3"/>
        <v>1</v>
      </c>
      <c r="K8" s="6">
        <f t="shared" si="4"/>
        <v>1</v>
      </c>
      <c r="L8" s="2">
        <f>COUNTIFS('Review Queue'!$C$2:$C$64,$A8,'Review Queue'!$D$2:$D$64,$B8,'Review Queue'!$Y$2:$Y$64,"&lt;&gt;Reviewed",'Review Queue'!$X$2:$X$64,"&lt;&gt;Yes")</f>
        <v>0</v>
      </c>
      <c r="M8" s="2">
        <f>COUNTIFS('Review Queue'!$C$2:$C$64,$A8,'Review Queue'!$D$2:$D$64,$B8,'Review Queue'!$AA$2:$AA$64,"INCOMPLETE")</f>
        <v>0</v>
      </c>
    </row>
    <row r="9">
      <c r="A9" s="2" t="s">
        <v>157</v>
      </c>
      <c r="B9" s="2" t="s">
        <v>118</v>
      </c>
      <c r="C9" s="2">
        <f>COUNTIFS('All Comparisons'!$C$2:$C$561,$A9,'All Comparisons'!$D$2:$D$561,$B9)-COUNTIFS('Review Queue'!$C$2:$C$64,$A9,'Review Queue'!$D$2:$D$64,$B9,'Review Queue'!$X$2:$X$64,"Yes")</f>
        <v>20</v>
      </c>
      <c r="D9" s="2">
        <f>SUMIFS('All Comparisons'!$R$2:$R$561,'All Comparisons'!$C$2:$C$561,$A9,'All Comparisons'!$D$2:$D$561,$B9)+SUMIFS('Review Queue'!$AE$2:$AE$64,'Review Queue'!$C$2:$C$64,$A9,'Review Queue'!$D$2:$D$64,$B9)-SUMIFS('Review Queue'!$R$2:$R$64,'Review Queue'!$C$2:$C$64,$A9,'Review Queue'!$D$2:$D$64,$B9)</f>
        <v>19</v>
      </c>
      <c r="E9" s="6">
        <f t="shared" si="1"/>
        <v>0.95</v>
      </c>
      <c r="F9" s="2">
        <f>SUMIFS('All Comparisons'!$O$2:$O$561,'All Comparisons'!$C$2:$C$561,$A9,'All Comparisons'!$D$2:$D$561,$B9)+SUMIFS('Review Queue'!$AB$2:$AB$64,'Review Queue'!$C$2:$C$64,$A9,'Review Queue'!$D$2:$D$64,$B9)-SUMIFS('Review Queue'!$O$2:$O$64,'Review Queue'!$C$2:$C$64,$A9,'Review Queue'!$D$2:$D$64,$B9)</f>
        <v>20</v>
      </c>
      <c r="G9" s="2">
        <f>SUMIFS('All Comparisons'!$P$2:$P$561,'All Comparisons'!$C$2:$C$561,$A9,'All Comparisons'!$D$2:$D$561,$B9)+SUMIFS('Review Queue'!$AC$2:$AC$64,'Review Queue'!$C$2:$C$64,$A9,'Review Queue'!$D$2:$D$64,$B9)-SUMIFS('Review Queue'!$P$2:$P$64,'Review Queue'!$C$2:$C$64,$A9,'Review Queue'!$D$2:$D$64,$B9)</f>
        <v>1</v>
      </c>
      <c r="H9" s="2">
        <f>SUMIFS('All Comparisons'!$Q$2:$Q$561,'All Comparisons'!$C$2:$C$561,$A9,'All Comparisons'!$D$2:$D$561,$B9)+SUMIFS('Review Queue'!$AD$2:$AD$64,'Review Queue'!$C$2:$C$64,$A9,'Review Queue'!$D$2:$D$64,$B9)-SUMIFS('Review Queue'!$Q$2:$Q$64,'Review Queue'!$C$2:$C$64,$A9,'Review Queue'!$D$2:$D$64,$B9)</f>
        <v>1</v>
      </c>
      <c r="I9" s="6">
        <f t="shared" si="2"/>
        <v>0.9523809524</v>
      </c>
      <c r="J9" s="6">
        <f t="shared" si="3"/>
        <v>0.9523809524</v>
      </c>
      <c r="K9" s="6">
        <f t="shared" si="4"/>
        <v>0.9523809524</v>
      </c>
      <c r="L9" s="2">
        <f>COUNTIFS('Review Queue'!$C$2:$C$64,$A9,'Review Queue'!$D$2:$D$64,$B9,'Review Queue'!$Y$2:$Y$64,"&lt;&gt;Reviewed",'Review Queue'!$X$2:$X$64,"&lt;&gt;Yes")</f>
        <v>3</v>
      </c>
      <c r="M9" s="2">
        <f>COUNTIFS('Review Queue'!$C$2:$C$64,$A9,'Review Queue'!$D$2:$D$64,$B9,'Review Queue'!$AA$2:$AA$64,"INCOMPLETE")</f>
        <v>0</v>
      </c>
    </row>
    <row r="10">
      <c r="A10" s="2" t="s">
        <v>157</v>
      </c>
      <c r="B10" s="2" t="s">
        <v>149</v>
      </c>
      <c r="C10" s="2">
        <f>COUNTIFS('All Comparisons'!$C$2:$C$561,$A10,'All Comparisons'!$D$2:$D$561,$B10)-COUNTIFS('Review Queue'!$C$2:$C$64,$A10,'Review Queue'!$D$2:$D$64,$B10,'Review Queue'!$X$2:$X$64,"Yes")</f>
        <v>20</v>
      </c>
      <c r="D10" s="2">
        <f>SUMIFS('All Comparisons'!$R$2:$R$561,'All Comparisons'!$C$2:$C$561,$A10,'All Comparisons'!$D$2:$D$561,$B10)+SUMIFS('Review Queue'!$AE$2:$AE$64,'Review Queue'!$C$2:$C$64,$A10,'Review Queue'!$D$2:$D$64,$B10)-SUMIFS('Review Queue'!$R$2:$R$64,'Review Queue'!$C$2:$C$64,$A10,'Review Queue'!$D$2:$D$64,$B10)</f>
        <v>20</v>
      </c>
      <c r="E10" s="6">
        <f t="shared" si="1"/>
        <v>1</v>
      </c>
      <c r="F10" s="2">
        <f>SUMIFS('All Comparisons'!$O$2:$O$561,'All Comparisons'!$C$2:$C$561,$A10,'All Comparisons'!$D$2:$D$561,$B10)+SUMIFS('Review Queue'!$AB$2:$AB$64,'Review Queue'!$C$2:$C$64,$A10,'Review Queue'!$D$2:$D$64,$B10)-SUMIFS('Review Queue'!$O$2:$O$64,'Review Queue'!$C$2:$C$64,$A10,'Review Queue'!$D$2:$D$64,$B10)</f>
        <v>20</v>
      </c>
      <c r="G10" s="2">
        <f>SUMIFS('All Comparisons'!$P$2:$P$561,'All Comparisons'!$C$2:$C$561,$A10,'All Comparisons'!$D$2:$D$561,$B10)+SUMIFS('Review Queue'!$AC$2:$AC$64,'Review Queue'!$C$2:$C$64,$A10,'Review Queue'!$D$2:$D$64,$B10)-SUMIFS('Review Queue'!$P$2:$P$64,'Review Queue'!$C$2:$C$64,$A10,'Review Queue'!$D$2:$D$64,$B10)</f>
        <v>0</v>
      </c>
      <c r="H10" s="2">
        <f>SUMIFS('All Comparisons'!$Q$2:$Q$561,'All Comparisons'!$C$2:$C$561,$A10,'All Comparisons'!$D$2:$D$561,$B10)+SUMIFS('Review Queue'!$AD$2:$AD$64,'Review Queue'!$C$2:$C$64,$A10,'Review Queue'!$D$2:$D$64,$B10)-SUMIFS('Review Queue'!$Q$2:$Q$64,'Review Queue'!$C$2:$C$64,$A10,'Review Queue'!$D$2:$D$64,$B10)</f>
        <v>0</v>
      </c>
      <c r="I10" s="6">
        <f t="shared" si="2"/>
        <v>1</v>
      </c>
      <c r="J10" s="6">
        <f t="shared" si="3"/>
        <v>1</v>
      </c>
      <c r="K10" s="6">
        <f t="shared" si="4"/>
        <v>1</v>
      </c>
      <c r="L10" s="2">
        <f>COUNTIFS('Review Queue'!$C$2:$C$64,$A10,'Review Queue'!$D$2:$D$64,$B10,'Review Queue'!$Y$2:$Y$64,"&lt;&gt;Reviewed",'Review Queue'!$X$2:$X$64,"&lt;&gt;Yes")</f>
        <v>0</v>
      </c>
      <c r="M10" s="2">
        <f>COUNTIFS('Review Queue'!$C$2:$C$64,$A10,'Review Queue'!$D$2:$D$64,$B10,'Review Queue'!$AA$2:$AA$64,"INCOMPLETE")</f>
        <v>0</v>
      </c>
    </row>
    <row r="11">
      <c r="A11" s="2" t="s">
        <v>157</v>
      </c>
      <c r="B11" s="2" t="s">
        <v>426</v>
      </c>
      <c r="C11" s="2">
        <f>COUNTIFS('All Comparisons'!$C$2:$C$561,$A11)-COUNTIFS('Review Queue'!$C$2:$C$64,$A11,'Review Queue'!$X$2:$X$64,"Yes")</f>
        <v>80</v>
      </c>
      <c r="D11" s="2">
        <f>SUMIFS('All Comparisons'!$R$2:$R$561,'All Comparisons'!$C$2:$C$561,$A11)+SUMIFS('Review Queue'!$AE$2:$AE$64,'Review Queue'!$C$2:$C$64,$A11)-SUMIFS('Review Queue'!$R$2:$R$64,'Review Queue'!$C$2:$C$64,$A11)</f>
        <v>79</v>
      </c>
      <c r="E11" s="6">
        <f t="shared" si="1"/>
        <v>0.9875</v>
      </c>
      <c r="F11" s="2">
        <f>SUMIFS('All Comparisons'!$O$2:$O$561,'All Comparisons'!$C$2:$C$561,$A11)+SUMIFS('Review Queue'!$AB$2:$AB$64,'Review Queue'!$C$2:$C$64,$A11)-SUMIFS('Review Queue'!$O$2:$O$64,'Review Queue'!$C$2:$C$64,$A11)</f>
        <v>80</v>
      </c>
      <c r="G11" s="2">
        <f>SUMIFS('All Comparisons'!$P$2:$P$561,'All Comparisons'!$C$2:$C$561,$A11)+SUMIFS('Review Queue'!$AC$2:$AC$64,'Review Queue'!$C$2:$C$64,$A11)-SUMIFS('Review Queue'!$P$2:$P$64,'Review Queue'!$C$2:$C$64,$A11)</f>
        <v>1</v>
      </c>
      <c r="H11" s="2">
        <f>SUMIFS('All Comparisons'!$Q$2:$Q$561,'All Comparisons'!$C$2:$C$561,$A11)+SUMIFS('Review Queue'!$AD$2:$AD$64,'Review Queue'!$C$2:$C$64,$A11)-SUMIFS('Review Queue'!$Q$2:$Q$64,'Review Queue'!$C$2:$C$64,$A11)</f>
        <v>1</v>
      </c>
      <c r="I11" s="6">
        <f t="shared" si="2"/>
        <v>0.987654321</v>
      </c>
      <c r="J11" s="6">
        <f t="shared" si="3"/>
        <v>0.987654321</v>
      </c>
      <c r="K11" s="6">
        <f t="shared" si="4"/>
        <v>0.987654321</v>
      </c>
      <c r="L11" s="2">
        <f>COUNTIFS('Review Queue'!$C$2:$C$64,$A11,'Review Queue'!$Y$2:$Y$64,"&lt;&gt;Reviewed",'Review Queue'!$X$2:$X$64,"&lt;&gt;Yes")</f>
        <v>7</v>
      </c>
      <c r="M11" s="2">
        <f>COUNTIFS('Review Queue'!$C$2:$C$64,$A11,'Review Queue'!$AA$2:$AA$64,"INCOMPLETE")</f>
        <v>0</v>
      </c>
    </row>
    <row r="12">
      <c r="A12" s="2" t="s">
        <v>270</v>
      </c>
      <c r="B12" s="2" t="s">
        <v>71</v>
      </c>
      <c r="C12" s="2">
        <f>COUNTIFS('All Comparisons'!$C$2:$C$561,$A12,'All Comparisons'!$D$2:$D$561,$B12)-COUNTIFS('Review Queue'!$C$2:$C$64,$A12,'Review Queue'!$D$2:$D$64,$B12,'Review Queue'!$X$2:$X$64,"Yes")</f>
        <v>20</v>
      </c>
      <c r="D12" s="2">
        <f>SUMIFS('All Comparisons'!$R$2:$R$561,'All Comparisons'!$C$2:$C$561,$A12,'All Comparisons'!$D$2:$D$561,$B12)+SUMIFS('Review Queue'!$AE$2:$AE$64,'Review Queue'!$C$2:$C$64,$A12,'Review Queue'!$D$2:$D$64,$B12)-SUMIFS('Review Queue'!$R$2:$R$64,'Review Queue'!$C$2:$C$64,$A12,'Review Queue'!$D$2:$D$64,$B12)</f>
        <v>20</v>
      </c>
      <c r="E12" s="6">
        <f t="shared" si="1"/>
        <v>1</v>
      </c>
      <c r="F12" s="2">
        <f>SUMIFS('All Comparisons'!$O$2:$O$561,'All Comparisons'!$C$2:$C$561,$A12,'All Comparisons'!$D$2:$D$561,$B12)+SUMIFS('Review Queue'!$AB$2:$AB$64,'Review Queue'!$C$2:$C$64,$A12,'Review Queue'!$D$2:$D$64,$B12)-SUMIFS('Review Queue'!$O$2:$O$64,'Review Queue'!$C$2:$C$64,$A12,'Review Queue'!$D$2:$D$64,$B12)</f>
        <v>20</v>
      </c>
      <c r="G12" s="2">
        <f>SUMIFS('All Comparisons'!$P$2:$P$561,'All Comparisons'!$C$2:$C$561,$A12,'All Comparisons'!$D$2:$D$561,$B12)+SUMIFS('Review Queue'!$AC$2:$AC$64,'Review Queue'!$C$2:$C$64,$A12,'Review Queue'!$D$2:$D$64,$B12)-SUMIFS('Review Queue'!$P$2:$P$64,'Review Queue'!$C$2:$C$64,$A12,'Review Queue'!$D$2:$D$64,$B12)</f>
        <v>0</v>
      </c>
      <c r="H12" s="2">
        <f>SUMIFS('All Comparisons'!$Q$2:$Q$561,'All Comparisons'!$C$2:$C$561,$A12,'All Comparisons'!$D$2:$D$561,$B12)+SUMIFS('Review Queue'!$AD$2:$AD$64,'Review Queue'!$C$2:$C$64,$A12,'Review Queue'!$D$2:$D$64,$B12)-SUMIFS('Review Queue'!$Q$2:$Q$64,'Review Queue'!$C$2:$C$64,$A12,'Review Queue'!$D$2:$D$64,$B12)</f>
        <v>0</v>
      </c>
      <c r="I12" s="6">
        <f t="shared" si="2"/>
        <v>1</v>
      </c>
      <c r="J12" s="6">
        <f t="shared" si="3"/>
        <v>1</v>
      </c>
      <c r="K12" s="6">
        <f t="shared" si="4"/>
        <v>1</v>
      </c>
      <c r="L12" s="2">
        <f>COUNTIFS('Review Queue'!$C$2:$C$64,$A12,'Review Queue'!$D$2:$D$64,$B12,'Review Queue'!$Y$2:$Y$64,"&lt;&gt;Reviewed",'Review Queue'!$X$2:$X$64,"&lt;&gt;Yes")</f>
        <v>9</v>
      </c>
      <c r="M12" s="2">
        <f>COUNTIFS('Review Queue'!$C$2:$C$64,$A12,'Review Queue'!$D$2:$D$64,$B12,'Review Queue'!$AA$2:$AA$64,"INCOMPLETE")</f>
        <v>0</v>
      </c>
    </row>
    <row r="13">
      <c r="A13" s="2" t="s">
        <v>270</v>
      </c>
      <c r="B13" s="2" t="s">
        <v>75</v>
      </c>
      <c r="C13" s="2">
        <f>COUNTIFS('All Comparisons'!$C$2:$C$561,$A13,'All Comparisons'!$D$2:$D$561,$B13)-COUNTIFS('Review Queue'!$C$2:$C$64,$A13,'Review Queue'!$D$2:$D$64,$B13,'Review Queue'!$X$2:$X$64,"Yes")</f>
        <v>20</v>
      </c>
      <c r="D13" s="2">
        <f>SUMIFS('All Comparisons'!$R$2:$R$561,'All Comparisons'!$C$2:$C$561,$A13,'All Comparisons'!$D$2:$D$561,$B13)+SUMIFS('Review Queue'!$AE$2:$AE$64,'Review Queue'!$C$2:$C$64,$A13,'Review Queue'!$D$2:$D$64,$B13)-SUMIFS('Review Queue'!$R$2:$R$64,'Review Queue'!$C$2:$C$64,$A13,'Review Queue'!$D$2:$D$64,$B13)</f>
        <v>20</v>
      </c>
      <c r="E13" s="6">
        <f t="shared" si="1"/>
        <v>1</v>
      </c>
      <c r="F13" s="2">
        <f>SUMIFS('All Comparisons'!$O$2:$O$561,'All Comparisons'!$C$2:$C$561,$A13,'All Comparisons'!$D$2:$D$561,$B13)+SUMIFS('Review Queue'!$AB$2:$AB$64,'Review Queue'!$C$2:$C$64,$A13,'Review Queue'!$D$2:$D$64,$B13)-SUMIFS('Review Queue'!$O$2:$O$64,'Review Queue'!$C$2:$C$64,$A13,'Review Queue'!$D$2:$D$64,$B13)</f>
        <v>20</v>
      </c>
      <c r="G13" s="2">
        <f>SUMIFS('All Comparisons'!$P$2:$P$561,'All Comparisons'!$C$2:$C$561,$A13,'All Comparisons'!$D$2:$D$561,$B13)+SUMIFS('Review Queue'!$AC$2:$AC$64,'Review Queue'!$C$2:$C$64,$A13,'Review Queue'!$D$2:$D$64,$B13)-SUMIFS('Review Queue'!$P$2:$P$64,'Review Queue'!$C$2:$C$64,$A13,'Review Queue'!$D$2:$D$64,$B13)</f>
        <v>0</v>
      </c>
      <c r="H13" s="2">
        <f>SUMIFS('All Comparisons'!$Q$2:$Q$561,'All Comparisons'!$C$2:$C$561,$A13,'All Comparisons'!$D$2:$D$561,$B13)+SUMIFS('Review Queue'!$AD$2:$AD$64,'Review Queue'!$C$2:$C$64,$A13,'Review Queue'!$D$2:$D$64,$B13)-SUMIFS('Review Queue'!$Q$2:$Q$64,'Review Queue'!$C$2:$C$64,$A13,'Review Queue'!$D$2:$D$64,$B13)</f>
        <v>0</v>
      </c>
      <c r="I13" s="6">
        <f t="shared" si="2"/>
        <v>1</v>
      </c>
      <c r="J13" s="6">
        <f t="shared" si="3"/>
        <v>1</v>
      </c>
      <c r="K13" s="6">
        <f t="shared" si="4"/>
        <v>1</v>
      </c>
      <c r="L13" s="2">
        <f>COUNTIFS('Review Queue'!$C$2:$C$64,$A13,'Review Queue'!$D$2:$D$64,$B13,'Review Queue'!$Y$2:$Y$64,"&lt;&gt;Reviewed",'Review Queue'!$X$2:$X$64,"&lt;&gt;Yes")</f>
        <v>1</v>
      </c>
      <c r="M13" s="2">
        <f>COUNTIFS('Review Queue'!$C$2:$C$64,$A13,'Review Queue'!$D$2:$D$64,$B13,'Review Queue'!$AA$2:$AA$64,"INCOMPLETE")</f>
        <v>0</v>
      </c>
    </row>
    <row r="14">
      <c r="A14" s="2" t="s">
        <v>270</v>
      </c>
      <c r="B14" s="2" t="s">
        <v>118</v>
      </c>
      <c r="C14" s="2">
        <f>COUNTIFS('All Comparisons'!$C$2:$C$561,$A14,'All Comparisons'!$D$2:$D$561,$B14)-COUNTIFS('Review Queue'!$C$2:$C$64,$A14,'Review Queue'!$D$2:$D$64,$B14,'Review Queue'!$X$2:$X$64,"Yes")</f>
        <v>20</v>
      </c>
      <c r="D14" s="2">
        <f>SUMIFS('All Comparisons'!$R$2:$R$561,'All Comparisons'!$C$2:$C$561,$A14,'All Comparisons'!$D$2:$D$561,$B14)+SUMIFS('Review Queue'!$AE$2:$AE$64,'Review Queue'!$C$2:$C$64,$A14,'Review Queue'!$D$2:$D$64,$B14)-SUMIFS('Review Queue'!$R$2:$R$64,'Review Queue'!$C$2:$C$64,$A14,'Review Queue'!$D$2:$D$64,$B14)</f>
        <v>20</v>
      </c>
      <c r="E14" s="6">
        <f t="shared" si="1"/>
        <v>1</v>
      </c>
      <c r="F14" s="2">
        <f>SUMIFS('All Comparisons'!$O$2:$O$561,'All Comparisons'!$C$2:$C$561,$A14,'All Comparisons'!$D$2:$D$561,$B14)+SUMIFS('Review Queue'!$AB$2:$AB$64,'Review Queue'!$C$2:$C$64,$A14,'Review Queue'!$D$2:$D$64,$B14)-SUMIFS('Review Queue'!$O$2:$O$64,'Review Queue'!$C$2:$C$64,$A14,'Review Queue'!$D$2:$D$64,$B14)</f>
        <v>20</v>
      </c>
      <c r="G14" s="2">
        <f>SUMIFS('All Comparisons'!$P$2:$P$561,'All Comparisons'!$C$2:$C$561,$A14,'All Comparisons'!$D$2:$D$561,$B14)+SUMIFS('Review Queue'!$AC$2:$AC$64,'Review Queue'!$C$2:$C$64,$A14,'Review Queue'!$D$2:$D$64,$B14)-SUMIFS('Review Queue'!$P$2:$P$64,'Review Queue'!$C$2:$C$64,$A14,'Review Queue'!$D$2:$D$64,$B14)</f>
        <v>0</v>
      </c>
      <c r="H14" s="2">
        <f>SUMIFS('All Comparisons'!$Q$2:$Q$561,'All Comparisons'!$C$2:$C$561,$A14,'All Comparisons'!$D$2:$D$561,$B14)+SUMIFS('Review Queue'!$AD$2:$AD$64,'Review Queue'!$C$2:$C$64,$A14,'Review Queue'!$D$2:$D$64,$B14)-SUMIFS('Review Queue'!$Q$2:$Q$64,'Review Queue'!$C$2:$C$64,$A14,'Review Queue'!$D$2:$D$64,$B14)</f>
        <v>0</v>
      </c>
      <c r="I14" s="6">
        <f t="shared" si="2"/>
        <v>1</v>
      </c>
      <c r="J14" s="6">
        <f t="shared" si="3"/>
        <v>1</v>
      </c>
      <c r="K14" s="6">
        <f t="shared" si="4"/>
        <v>1</v>
      </c>
      <c r="L14" s="2">
        <f>COUNTIFS('Review Queue'!$C$2:$C$64,$A14,'Review Queue'!$D$2:$D$64,$B14,'Review Queue'!$Y$2:$Y$64,"&lt;&gt;Reviewed",'Review Queue'!$X$2:$X$64,"&lt;&gt;Yes")</f>
        <v>1</v>
      </c>
      <c r="M14" s="2">
        <f>COUNTIFS('Review Queue'!$C$2:$C$64,$A14,'Review Queue'!$D$2:$D$64,$B14,'Review Queue'!$AA$2:$AA$64,"INCOMPLETE")</f>
        <v>0</v>
      </c>
    </row>
    <row r="15">
      <c r="A15" s="2" t="s">
        <v>270</v>
      </c>
      <c r="B15" s="2" t="s">
        <v>149</v>
      </c>
      <c r="C15" s="2">
        <f>COUNTIFS('All Comparisons'!$C$2:$C$561,$A15,'All Comparisons'!$D$2:$D$561,$B15)-COUNTIFS('Review Queue'!$C$2:$C$64,$A15,'Review Queue'!$D$2:$D$64,$B15,'Review Queue'!$X$2:$X$64,"Yes")</f>
        <v>20</v>
      </c>
      <c r="D15" s="2">
        <f>SUMIFS('All Comparisons'!$R$2:$R$561,'All Comparisons'!$C$2:$C$561,$A15,'All Comparisons'!$D$2:$D$561,$B15)+SUMIFS('Review Queue'!$AE$2:$AE$64,'Review Queue'!$C$2:$C$64,$A15,'Review Queue'!$D$2:$D$64,$B15)-SUMIFS('Review Queue'!$R$2:$R$64,'Review Queue'!$C$2:$C$64,$A15,'Review Queue'!$D$2:$D$64,$B15)</f>
        <v>19</v>
      </c>
      <c r="E15" s="6">
        <f t="shared" si="1"/>
        <v>0.95</v>
      </c>
      <c r="F15" s="2">
        <f>SUMIFS('All Comparisons'!$O$2:$O$561,'All Comparisons'!$C$2:$C$561,$A15,'All Comparisons'!$D$2:$D$561,$B15)+SUMIFS('Review Queue'!$AB$2:$AB$64,'Review Queue'!$C$2:$C$64,$A15,'Review Queue'!$D$2:$D$64,$B15)-SUMIFS('Review Queue'!$O$2:$O$64,'Review Queue'!$C$2:$C$64,$A15,'Review Queue'!$D$2:$D$64,$B15)</f>
        <v>19</v>
      </c>
      <c r="G15" s="2">
        <f>SUMIFS('All Comparisons'!$P$2:$P$561,'All Comparisons'!$C$2:$C$561,$A15,'All Comparisons'!$D$2:$D$561,$B15)+SUMIFS('Review Queue'!$AC$2:$AC$64,'Review Queue'!$C$2:$C$64,$A15,'Review Queue'!$D$2:$D$64,$B15)-SUMIFS('Review Queue'!$P$2:$P$64,'Review Queue'!$C$2:$C$64,$A15,'Review Queue'!$D$2:$D$64,$B15)</f>
        <v>1</v>
      </c>
      <c r="H15" s="2">
        <f>SUMIFS('All Comparisons'!$Q$2:$Q$561,'All Comparisons'!$C$2:$C$561,$A15,'All Comparisons'!$D$2:$D$561,$B15)+SUMIFS('Review Queue'!$AD$2:$AD$64,'Review Queue'!$C$2:$C$64,$A15,'Review Queue'!$D$2:$D$64,$B15)-SUMIFS('Review Queue'!$Q$2:$Q$64,'Review Queue'!$C$2:$C$64,$A15,'Review Queue'!$D$2:$D$64,$B15)</f>
        <v>0</v>
      </c>
      <c r="I15" s="6">
        <f t="shared" si="2"/>
        <v>0.95</v>
      </c>
      <c r="J15" s="6">
        <f t="shared" si="3"/>
        <v>1</v>
      </c>
      <c r="K15" s="6">
        <f t="shared" si="4"/>
        <v>0.9743589744</v>
      </c>
      <c r="L15" s="2">
        <f>COUNTIFS('Review Queue'!$C$2:$C$64,$A15,'Review Queue'!$D$2:$D$64,$B15,'Review Queue'!$Y$2:$Y$64,"&lt;&gt;Reviewed",'Review Queue'!$X$2:$X$64,"&lt;&gt;Yes")</f>
        <v>1</v>
      </c>
      <c r="M15" s="2">
        <f>COUNTIFS('Review Queue'!$C$2:$C$64,$A15,'Review Queue'!$D$2:$D$64,$B15,'Review Queue'!$AA$2:$AA$64,"INCOMPLETE")</f>
        <v>0</v>
      </c>
    </row>
    <row r="16">
      <c r="A16" s="2" t="s">
        <v>270</v>
      </c>
      <c r="B16" s="2" t="s">
        <v>426</v>
      </c>
      <c r="C16" s="2">
        <f>COUNTIFS('All Comparisons'!$C$2:$C$561,$A16)-COUNTIFS('Review Queue'!$C$2:$C$64,$A16,'Review Queue'!$X$2:$X$64,"Yes")</f>
        <v>80</v>
      </c>
      <c r="D16" s="2">
        <f>SUMIFS('All Comparisons'!$R$2:$R$561,'All Comparisons'!$C$2:$C$561,$A16)+SUMIFS('Review Queue'!$AE$2:$AE$64,'Review Queue'!$C$2:$C$64,$A16)-SUMIFS('Review Queue'!$R$2:$R$64,'Review Queue'!$C$2:$C$64,$A16)</f>
        <v>79</v>
      </c>
      <c r="E16" s="6">
        <f t="shared" si="1"/>
        <v>0.9875</v>
      </c>
      <c r="F16" s="2">
        <f>SUMIFS('All Comparisons'!$O$2:$O$561,'All Comparisons'!$C$2:$C$561,$A16)+SUMIFS('Review Queue'!$AB$2:$AB$64,'Review Queue'!$C$2:$C$64,$A16)-SUMIFS('Review Queue'!$O$2:$O$64,'Review Queue'!$C$2:$C$64,$A16)</f>
        <v>79</v>
      </c>
      <c r="G16" s="2">
        <f>SUMIFS('All Comparisons'!$P$2:$P$561,'All Comparisons'!$C$2:$C$561,$A16)+SUMIFS('Review Queue'!$AC$2:$AC$64,'Review Queue'!$C$2:$C$64,$A16)-SUMIFS('Review Queue'!$P$2:$P$64,'Review Queue'!$C$2:$C$64,$A16)</f>
        <v>1</v>
      </c>
      <c r="H16" s="2">
        <f>SUMIFS('All Comparisons'!$Q$2:$Q$561,'All Comparisons'!$C$2:$C$561,$A16)+SUMIFS('Review Queue'!$AD$2:$AD$64,'Review Queue'!$C$2:$C$64,$A16)-SUMIFS('Review Queue'!$Q$2:$Q$64,'Review Queue'!$C$2:$C$64,$A16)</f>
        <v>0</v>
      </c>
      <c r="I16" s="6">
        <f t="shared" si="2"/>
        <v>0.9875</v>
      </c>
      <c r="J16" s="6">
        <f t="shared" si="3"/>
        <v>1</v>
      </c>
      <c r="K16" s="6">
        <f t="shared" si="4"/>
        <v>0.9937106918</v>
      </c>
      <c r="L16" s="2">
        <f>COUNTIFS('Review Queue'!$C$2:$C$64,$A16,'Review Queue'!$Y$2:$Y$64,"&lt;&gt;Reviewed",'Review Queue'!$X$2:$X$64,"&lt;&gt;Yes")</f>
        <v>12</v>
      </c>
      <c r="M16" s="2">
        <f>COUNTIFS('Review Queue'!$C$2:$C$64,$A16,'Review Queue'!$AA$2:$AA$64,"INCOMPLETE")</f>
        <v>0</v>
      </c>
    </row>
    <row r="17">
      <c r="A17" s="2" t="s">
        <v>444</v>
      </c>
      <c r="B17" s="2" t="s">
        <v>71</v>
      </c>
      <c r="C17" s="2">
        <f>COUNTIFS('All Comparisons'!$C$2:$C$561,$A17,'All Comparisons'!$D$2:$D$561,$B17)-COUNTIFS('Review Queue'!$C$2:$C$64,$A17,'Review Queue'!$D$2:$D$64,$B17,'Review Queue'!$X$2:$X$64,"Yes")</f>
        <v>20</v>
      </c>
      <c r="D17" s="2">
        <f>SUMIFS('All Comparisons'!$R$2:$R$561,'All Comparisons'!$C$2:$C$561,$A17,'All Comparisons'!$D$2:$D$561,$B17)+SUMIFS('Review Queue'!$AE$2:$AE$64,'Review Queue'!$C$2:$C$64,$A17,'Review Queue'!$D$2:$D$64,$B17)-SUMIFS('Review Queue'!$R$2:$R$64,'Review Queue'!$C$2:$C$64,$A17,'Review Queue'!$D$2:$D$64,$B17)</f>
        <v>18</v>
      </c>
      <c r="E17" s="6">
        <f t="shared" si="1"/>
        <v>0.9</v>
      </c>
      <c r="F17" s="2">
        <f>SUMIFS('All Comparisons'!$O$2:$O$561,'All Comparisons'!$C$2:$C$561,$A17,'All Comparisons'!$D$2:$D$561,$B17)+SUMIFS('Review Queue'!$AB$2:$AB$64,'Review Queue'!$C$2:$C$64,$A17,'Review Queue'!$D$2:$D$64,$B17)-SUMIFS('Review Queue'!$O$2:$O$64,'Review Queue'!$C$2:$C$64,$A17,'Review Queue'!$D$2:$D$64,$B17)</f>
        <v>18</v>
      </c>
      <c r="G17" s="2">
        <f>SUMIFS('All Comparisons'!$P$2:$P$561,'All Comparisons'!$C$2:$C$561,$A17,'All Comparisons'!$D$2:$D$561,$B17)+SUMIFS('Review Queue'!$AC$2:$AC$64,'Review Queue'!$C$2:$C$64,$A17,'Review Queue'!$D$2:$D$64,$B17)-SUMIFS('Review Queue'!$P$2:$P$64,'Review Queue'!$C$2:$C$64,$A17,'Review Queue'!$D$2:$D$64,$B17)</f>
        <v>1</v>
      </c>
      <c r="H17" s="2">
        <f>SUMIFS('All Comparisons'!$Q$2:$Q$561,'All Comparisons'!$C$2:$C$561,$A17,'All Comparisons'!$D$2:$D$561,$B17)+SUMIFS('Review Queue'!$AD$2:$AD$64,'Review Queue'!$C$2:$C$64,$A17,'Review Queue'!$D$2:$D$64,$B17)-SUMIFS('Review Queue'!$Q$2:$Q$64,'Review Queue'!$C$2:$C$64,$A17,'Review Queue'!$D$2:$D$64,$B17)</f>
        <v>2</v>
      </c>
      <c r="I17" s="6">
        <f t="shared" si="2"/>
        <v>0.9473684211</v>
      </c>
      <c r="J17" s="6">
        <f t="shared" si="3"/>
        <v>0.9</v>
      </c>
      <c r="K17" s="6">
        <f t="shared" si="4"/>
        <v>0.9230769231</v>
      </c>
      <c r="L17" s="2">
        <f>COUNTIFS('Review Queue'!$C$2:$C$64,$A17,'Review Queue'!$D$2:$D$64,$B17,'Review Queue'!$Y$2:$Y$64,"&lt;&gt;Reviewed",'Review Queue'!$X$2:$X$64,"&lt;&gt;Yes")</f>
        <v>3</v>
      </c>
      <c r="M17" s="2">
        <f>COUNTIFS('Review Queue'!$C$2:$C$64,$A17,'Review Queue'!$D$2:$D$64,$B17,'Review Queue'!$AA$2:$AA$64,"INCOMPLETE")</f>
        <v>0</v>
      </c>
    </row>
    <row r="18">
      <c r="A18" s="2" t="s">
        <v>444</v>
      </c>
      <c r="B18" s="2" t="s">
        <v>75</v>
      </c>
      <c r="C18" s="2">
        <f>COUNTIFS('All Comparisons'!$C$2:$C$561,$A18,'All Comparisons'!$D$2:$D$561,$B18)-COUNTIFS('Review Queue'!$C$2:$C$64,$A18,'Review Queue'!$D$2:$D$64,$B18,'Review Queue'!$X$2:$X$64,"Yes")</f>
        <v>20</v>
      </c>
      <c r="D18" s="2">
        <f>SUMIFS('All Comparisons'!$R$2:$R$561,'All Comparisons'!$C$2:$C$561,$A18,'All Comparisons'!$D$2:$D$561,$B18)+SUMIFS('Review Queue'!$AE$2:$AE$64,'Review Queue'!$C$2:$C$64,$A18,'Review Queue'!$D$2:$D$64,$B18)-SUMIFS('Review Queue'!$R$2:$R$64,'Review Queue'!$C$2:$C$64,$A18,'Review Queue'!$D$2:$D$64,$B18)</f>
        <v>19</v>
      </c>
      <c r="E18" s="6">
        <f t="shared" si="1"/>
        <v>0.95</v>
      </c>
      <c r="F18" s="2">
        <f>SUMIFS('All Comparisons'!$O$2:$O$561,'All Comparisons'!$C$2:$C$561,$A18,'All Comparisons'!$D$2:$D$561,$B18)+SUMIFS('Review Queue'!$AB$2:$AB$64,'Review Queue'!$C$2:$C$64,$A18,'Review Queue'!$D$2:$D$64,$B18)-SUMIFS('Review Queue'!$O$2:$O$64,'Review Queue'!$C$2:$C$64,$A18,'Review Queue'!$D$2:$D$64,$B18)</f>
        <v>19</v>
      </c>
      <c r="G18" s="2">
        <f>SUMIFS('All Comparisons'!$P$2:$P$561,'All Comparisons'!$C$2:$C$561,$A18,'All Comparisons'!$D$2:$D$561,$B18)+SUMIFS('Review Queue'!$AC$2:$AC$64,'Review Queue'!$C$2:$C$64,$A18,'Review Queue'!$D$2:$D$64,$B18)-SUMIFS('Review Queue'!$P$2:$P$64,'Review Queue'!$C$2:$C$64,$A18,'Review Queue'!$D$2:$D$64,$B18)</f>
        <v>1</v>
      </c>
      <c r="H18" s="2">
        <f>SUMIFS('All Comparisons'!$Q$2:$Q$561,'All Comparisons'!$C$2:$C$561,$A18,'All Comparisons'!$D$2:$D$561,$B18)+SUMIFS('Review Queue'!$AD$2:$AD$64,'Review Queue'!$C$2:$C$64,$A18,'Review Queue'!$D$2:$D$64,$B18)-SUMIFS('Review Queue'!$Q$2:$Q$64,'Review Queue'!$C$2:$C$64,$A18,'Review Queue'!$D$2:$D$64,$B18)</f>
        <v>1</v>
      </c>
      <c r="I18" s="6">
        <f t="shared" si="2"/>
        <v>0.95</v>
      </c>
      <c r="J18" s="6">
        <f t="shared" si="3"/>
        <v>0.95</v>
      </c>
      <c r="K18" s="6">
        <f t="shared" si="4"/>
        <v>0.95</v>
      </c>
      <c r="L18" s="2">
        <f>COUNTIFS('Review Queue'!$C$2:$C$64,$A18,'Review Queue'!$D$2:$D$64,$B18,'Review Queue'!$Y$2:$Y$64,"&lt;&gt;Reviewed",'Review Queue'!$X$2:$X$64,"&lt;&gt;Yes")</f>
        <v>1</v>
      </c>
      <c r="M18" s="2">
        <f>COUNTIFS('Review Queue'!$C$2:$C$64,$A18,'Review Queue'!$D$2:$D$64,$B18,'Review Queue'!$AA$2:$AA$64,"INCOMPLETE")</f>
        <v>0</v>
      </c>
    </row>
    <row r="19">
      <c r="A19" s="2" t="s">
        <v>444</v>
      </c>
      <c r="B19" s="2" t="s">
        <v>118</v>
      </c>
      <c r="C19" s="2">
        <f>COUNTIFS('All Comparisons'!$C$2:$C$561,$A19,'All Comparisons'!$D$2:$D$561,$B19)-COUNTIFS('Review Queue'!$C$2:$C$64,$A19,'Review Queue'!$D$2:$D$64,$B19,'Review Queue'!$X$2:$X$64,"Yes")</f>
        <v>20</v>
      </c>
      <c r="D19" s="2">
        <f>SUMIFS('All Comparisons'!$R$2:$R$561,'All Comparisons'!$C$2:$C$561,$A19,'All Comparisons'!$D$2:$D$561,$B19)+SUMIFS('Review Queue'!$AE$2:$AE$64,'Review Queue'!$C$2:$C$64,$A19,'Review Queue'!$D$2:$D$64,$B19)-SUMIFS('Review Queue'!$R$2:$R$64,'Review Queue'!$C$2:$C$64,$A19,'Review Queue'!$D$2:$D$64,$B19)</f>
        <v>20</v>
      </c>
      <c r="E19" s="6">
        <f t="shared" si="1"/>
        <v>1</v>
      </c>
      <c r="F19" s="2">
        <f>SUMIFS('All Comparisons'!$O$2:$O$561,'All Comparisons'!$C$2:$C$561,$A19,'All Comparisons'!$D$2:$D$561,$B19)+SUMIFS('Review Queue'!$AB$2:$AB$64,'Review Queue'!$C$2:$C$64,$A19,'Review Queue'!$D$2:$D$64,$B19)-SUMIFS('Review Queue'!$O$2:$O$64,'Review Queue'!$C$2:$C$64,$A19,'Review Queue'!$D$2:$D$64,$B19)</f>
        <v>20</v>
      </c>
      <c r="G19" s="2">
        <f>SUMIFS('All Comparisons'!$P$2:$P$561,'All Comparisons'!$C$2:$C$561,$A19,'All Comparisons'!$D$2:$D$561,$B19)+SUMIFS('Review Queue'!$AC$2:$AC$64,'Review Queue'!$C$2:$C$64,$A19,'Review Queue'!$D$2:$D$64,$B19)-SUMIFS('Review Queue'!$P$2:$P$64,'Review Queue'!$C$2:$C$64,$A19,'Review Queue'!$D$2:$D$64,$B19)</f>
        <v>0</v>
      </c>
      <c r="H19" s="2">
        <f>SUMIFS('All Comparisons'!$Q$2:$Q$561,'All Comparisons'!$C$2:$C$561,$A19,'All Comparisons'!$D$2:$D$561,$B19)+SUMIFS('Review Queue'!$AD$2:$AD$64,'Review Queue'!$C$2:$C$64,$A19,'Review Queue'!$D$2:$D$64,$B19)-SUMIFS('Review Queue'!$Q$2:$Q$64,'Review Queue'!$C$2:$C$64,$A19,'Review Queue'!$D$2:$D$64,$B19)</f>
        <v>0</v>
      </c>
      <c r="I19" s="6">
        <f t="shared" si="2"/>
        <v>1</v>
      </c>
      <c r="J19" s="6">
        <f t="shared" si="3"/>
        <v>1</v>
      </c>
      <c r="K19" s="6">
        <f t="shared" si="4"/>
        <v>1</v>
      </c>
      <c r="L19" s="2">
        <f>COUNTIFS('Review Queue'!$C$2:$C$64,$A19,'Review Queue'!$D$2:$D$64,$B19,'Review Queue'!$Y$2:$Y$64,"&lt;&gt;Reviewed",'Review Queue'!$X$2:$X$64,"&lt;&gt;Yes")</f>
        <v>1</v>
      </c>
      <c r="M19" s="2">
        <f>COUNTIFS('Review Queue'!$C$2:$C$64,$A19,'Review Queue'!$D$2:$D$64,$B19,'Review Queue'!$AA$2:$AA$64,"INCOMPLETE")</f>
        <v>0</v>
      </c>
    </row>
    <row r="20">
      <c r="A20" s="2" t="s">
        <v>444</v>
      </c>
      <c r="B20" s="2" t="s">
        <v>149</v>
      </c>
      <c r="C20" s="2">
        <f>COUNTIFS('All Comparisons'!$C$2:$C$561,$A20,'All Comparisons'!$D$2:$D$561,$B20)-COUNTIFS('Review Queue'!$C$2:$C$64,$A20,'Review Queue'!$D$2:$D$64,$B20,'Review Queue'!$X$2:$X$64,"Yes")</f>
        <v>20</v>
      </c>
      <c r="D20" s="2">
        <f>SUMIFS('All Comparisons'!$R$2:$R$561,'All Comparisons'!$C$2:$C$561,$A20,'All Comparisons'!$D$2:$D$561,$B20)+SUMIFS('Review Queue'!$AE$2:$AE$64,'Review Queue'!$C$2:$C$64,$A20,'Review Queue'!$D$2:$D$64,$B20)-SUMIFS('Review Queue'!$R$2:$R$64,'Review Queue'!$C$2:$C$64,$A20,'Review Queue'!$D$2:$D$64,$B20)</f>
        <v>20</v>
      </c>
      <c r="E20" s="6">
        <f t="shared" si="1"/>
        <v>1</v>
      </c>
      <c r="F20" s="2">
        <f>SUMIFS('All Comparisons'!$O$2:$O$561,'All Comparisons'!$C$2:$C$561,$A20,'All Comparisons'!$D$2:$D$561,$B20)+SUMIFS('Review Queue'!$AB$2:$AB$64,'Review Queue'!$C$2:$C$64,$A20,'Review Queue'!$D$2:$D$64,$B20)-SUMIFS('Review Queue'!$O$2:$O$64,'Review Queue'!$C$2:$C$64,$A20,'Review Queue'!$D$2:$D$64,$B20)</f>
        <v>20</v>
      </c>
      <c r="G20" s="2">
        <f>SUMIFS('All Comparisons'!$P$2:$P$561,'All Comparisons'!$C$2:$C$561,$A20,'All Comparisons'!$D$2:$D$561,$B20)+SUMIFS('Review Queue'!$AC$2:$AC$64,'Review Queue'!$C$2:$C$64,$A20,'Review Queue'!$D$2:$D$64,$B20)-SUMIFS('Review Queue'!$P$2:$P$64,'Review Queue'!$C$2:$C$64,$A20,'Review Queue'!$D$2:$D$64,$B20)</f>
        <v>0</v>
      </c>
      <c r="H20" s="2">
        <f>SUMIFS('All Comparisons'!$Q$2:$Q$561,'All Comparisons'!$C$2:$C$561,$A20,'All Comparisons'!$D$2:$D$561,$B20)+SUMIFS('Review Queue'!$AD$2:$AD$64,'Review Queue'!$C$2:$C$64,$A20,'Review Queue'!$D$2:$D$64,$B20)-SUMIFS('Review Queue'!$Q$2:$Q$64,'Review Queue'!$C$2:$C$64,$A20,'Review Queue'!$D$2:$D$64,$B20)</f>
        <v>0</v>
      </c>
      <c r="I20" s="6">
        <f t="shared" si="2"/>
        <v>1</v>
      </c>
      <c r="J20" s="6">
        <f t="shared" si="3"/>
        <v>1</v>
      </c>
      <c r="K20" s="6">
        <f t="shared" si="4"/>
        <v>1</v>
      </c>
      <c r="L20" s="2">
        <f>COUNTIFS('Review Queue'!$C$2:$C$64,$A20,'Review Queue'!$D$2:$D$64,$B20,'Review Queue'!$Y$2:$Y$64,"&lt;&gt;Reviewed",'Review Queue'!$X$2:$X$64,"&lt;&gt;Yes")</f>
        <v>0</v>
      </c>
      <c r="M20" s="2">
        <f>COUNTIFS('Review Queue'!$C$2:$C$64,$A20,'Review Queue'!$D$2:$D$64,$B20,'Review Queue'!$AA$2:$AA$64,"INCOMPLETE")</f>
        <v>0</v>
      </c>
    </row>
    <row r="21" ht="15.75" customHeight="1">
      <c r="A21" s="2" t="s">
        <v>444</v>
      </c>
      <c r="B21" s="2" t="s">
        <v>426</v>
      </c>
      <c r="C21" s="2">
        <f>COUNTIFS('All Comparisons'!$C$2:$C$561,$A21)-COUNTIFS('Review Queue'!$C$2:$C$64,$A21,'Review Queue'!$X$2:$X$64,"Yes")</f>
        <v>80</v>
      </c>
      <c r="D21" s="2">
        <f>SUMIFS('All Comparisons'!$R$2:$R$561,'All Comparisons'!$C$2:$C$561,$A21)+SUMIFS('Review Queue'!$AE$2:$AE$64,'Review Queue'!$C$2:$C$64,$A21)-SUMIFS('Review Queue'!$R$2:$R$64,'Review Queue'!$C$2:$C$64,$A21)</f>
        <v>77</v>
      </c>
      <c r="E21" s="6">
        <f t="shared" si="1"/>
        <v>0.9625</v>
      </c>
      <c r="F21" s="2">
        <f>SUMIFS('All Comparisons'!$O$2:$O$561,'All Comparisons'!$C$2:$C$561,$A21)+SUMIFS('Review Queue'!$AB$2:$AB$64,'Review Queue'!$C$2:$C$64,$A21)-SUMIFS('Review Queue'!$O$2:$O$64,'Review Queue'!$C$2:$C$64,$A21)</f>
        <v>77</v>
      </c>
      <c r="G21" s="2">
        <f>SUMIFS('All Comparisons'!$P$2:$P$561,'All Comparisons'!$C$2:$C$561,$A21)+SUMIFS('Review Queue'!$AC$2:$AC$64,'Review Queue'!$C$2:$C$64,$A21)-SUMIFS('Review Queue'!$P$2:$P$64,'Review Queue'!$C$2:$C$64,$A21)</f>
        <v>2</v>
      </c>
      <c r="H21" s="2">
        <f>SUMIFS('All Comparisons'!$Q$2:$Q$561,'All Comparisons'!$C$2:$C$561,$A21)+SUMIFS('Review Queue'!$AD$2:$AD$64,'Review Queue'!$C$2:$C$64,$A21)-SUMIFS('Review Queue'!$Q$2:$Q$64,'Review Queue'!$C$2:$C$64,$A21)</f>
        <v>3</v>
      </c>
      <c r="I21" s="6">
        <f t="shared" si="2"/>
        <v>0.9746835443</v>
      </c>
      <c r="J21" s="6">
        <f t="shared" si="3"/>
        <v>0.9625</v>
      </c>
      <c r="K21" s="6">
        <f t="shared" si="4"/>
        <v>0.9685534591</v>
      </c>
      <c r="L21" s="2">
        <f>COUNTIFS('Review Queue'!$C$2:$C$64,$A21,'Review Queue'!$Y$2:$Y$64,"&lt;&gt;Reviewed",'Review Queue'!$X$2:$X$64,"&lt;&gt;Yes")</f>
        <v>5</v>
      </c>
      <c r="M21" s="2">
        <f>COUNTIFS('Review Queue'!$C$2:$C$64,$A21,'Review Queue'!$AA$2:$AA$64,"INCOMPLETE")</f>
        <v>0</v>
      </c>
    </row>
    <row r="22" ht="15.75" customHeight="1">
      <c r="A22" s="2" t="s">
        <v>519</v>
      </c>
      <c r="B22" s="2" t="s">
        <v>71</v>
      </c>
      <c r="C22" s="2">
        <f>COUNTIFS('All Comparisons'!$C$2:$C$561,$A22,'All Comparisons'!$D$2:$D$561,$B22)-COUNTIFS('Review Queue'!$C$2:$C$64,$A22,'Review Queue'!$D$2:$D$64,$B22,'Review Queue'!$X$2:$X$64,"Yes")</f>
        <v>20</v>
      </c>
      <c r="D22" s="2">
        <f>SUMIFS('All Comparisons'!$R$2:$R$561,'All Comparisons'!$C$2:$C$561,$A22,'All Comparisons'!$D$2:$D$561,$B22)+SUMIFS('Review Queue'!$AE$2:$AE$64,'Review Queue'!$C$2:$C$64,$A22,'Review Queue'!$D$2:$D$64,$B22)-SUMIFS('Review Queue'!$R$2:$R$64,'Review Queue'!$C$2:$C$64,$A22,'Review Queue'!$D$2:$D$64,$B22)</f>
        <v>17</v>
      </c>
      <c r="E22" s="6">
        <f t="shared" si="1"/>
        <v>0.85</v>
      </c>
      <c r="F22" s="2">
        <f>SUMIFS('All Comparisons'!$O$2:$O$561,'All Comparisons'!$C$2:$C$561,$A22,'All Comparisons'!$D$2:$D$561,$B22)+SUMIFS('Review Queue'!$AB$2:$AB$64,'Review Queue'!$C$2:$C$64,$A22,'Review Queue'!$D$2:$D$64,$B22)-SUMIFS('Review Queue'!$O$2:$O$64,'Review Queue'!$C$2:$C$64,$A22,'Review Queue'!$D$2:$D$64,$B22)</f>
        <v>17</v>
      </c>
      <c r="G22" s="2">
        <f>SUMIFS('All Comparisons'!$P$2:$P$561,'All Comparisons'!$C$2:$C$561,$A22,'All Comparisons'!$D$2:$D$561,$B22)+SUMIFS('Review Queue'!$AC$2:$AC$64,'Review Queue'!$C$2:$C$64,$A22,'Review Queue'!$D$2:$D$64,$B22)-SUMIFS('Review Queue'!$P$2:$P$64,'Review Queue'!$C$2:$C$64,$A22,'Review Queue'!$D$2:$D$64,$B22)</f>
        <v>3</v>
      </c>
      <c r="H22" s="2">
        <f>SUMIFS('All Comparisons'!$Q$2:$Q$561,'All Comparisons'!$C$2:$C$561,$A22,'All Comparisons'!$D$2:$D$561,$B22)+SUMIFS('Review Queue'!$AD$2:$AD$64,'Review Queue'!$C$2:$C$64,$A22,'Review Queue'!$D$2:$D$64,$B22)-SUMIFS('Review Queue'!$Q$2:$Q$64,'Review Queue'!$C$2:$C$64,$A22,'Review Queue'!$D$2:$D$64,$B22)</f>
        <v>3</v>
      </c>
      <c r="I22" s="6">
        <f t="shared" si="2"/>
        <v>0.85</v>
      </c>
      <c r="J22" s="6">
        <f t="shared" si="3"/>
        <v>0.85</v>
      </c>
      <c r="K22" s="6">
        <f t="shared" si="4"/>
        <v>0.85</v>
      </c>
      <c r="L22" s="2">
        <f>COUNTIFS('Review Queue'!$C$2:$C$64,$A22,'Review Queue'!$D$2:$D$64,$B22,'Review Queue'!$Y$2:$Y$64,"&lt;&gt;Reviewed",'Review Queue'!$X$2:$X$64,"&lt;&gt;Yes")</f>
        <v>6</v>
      </c>
      <c r="M22" s="2">
        <f>COUNTIFS('Review Queue'!$C$2:$C$64,$A22,'Review Queue'!$D$2:$D$64,$B22,'Review Queue'!$AA$2:$AA$64,"INCOMPLETE")</f>
        <v>0</v>
      </c>
    </row>
    <row r="23" ht="15.75" customHeight="1">
      <c r="A23" s="2" t="s">
        <v>519</v>
      </c>
      <c r="B23" s="2" t="s">
        <v>75</v>
      </c>
      <c r="C23" s="2">
        <f>COUNTIFS('All Comparisons'!$C$2:$C$561,$A23,'All Comparisons'!$D$2:$D$561,$B23)-COUNTIFS('Review Queue'!$C$2:$C$64,$A23,'Review Queue'!$D$2:$D$64,$B23,'Review Queue'!$X$2:$X$64,"Yes")</f>
        <v>20</v>
      </c>
      <c r="D23" s="2">
        <f>SUMIFS('All Comparisons'!$R$2:$R$561,'All Comparisons'!$C$2:$C$561,$A23,'All Comparisons'!$D$2:$D$561,$B23)+SUMIFS('Review Queue'!$AE$2:$AE$64,'Review Queue'!$C$2:$C$64,$A23,'Review Queue'!$D$2:$D$64,$B23)-SUMIFS('Review Queue'!$R$2:$R$64,'Review Queue'!$C$2:$C$64,$A23,'Review Queue'!$D$2:$D$64,$B23)</f>
        <v>20</v>
      </c>
      <c r="E23" s="6">
        <f t="shared" si="1"/>
        <v>1</v>
      </c>
      <c r="F23" s="2">
        <f>SUMIFS('All Comparisons'!$O$2:$O$561,'All Comparisons'!$C$2:$C$561,$A23,'All Comparisons'!$D$2:$D$561,$B23)+SUMIFS('Review Queue'!$AB$2:$AB$64,'Review Queue'!$C$2:$C$64,$A23,'Review Queue'!$D$2:$D$64,$B23)-SUMIFS('Review Queue'!$O$2:$O$64,'Review Queue'!$C$2:$C$64,$A23,'Review Queue'!$D$2:$D$64,$B23)</f>
        <v>20</v>
      </c>
      <c r="G23" s="2">
        <f>SUMIFS('All Comparisons'!$P$2:$P$561,'All Comparisons'!$C$2:$C$561,$A23,'All Comparisons'!$D$2:$D$561,$B23)+SUMIFS('Review Queue'!$AC$2:$AC$64,'Review Queue'!$C$2:$C$64,$A23,'Review Queue'!$D$2:$D$64,$B23)-SUMIFS('Review Queue'!$P$2:$P$64,'Review Queue'!$C$2:$C$64,$A23,'Review Queue'!$D$2:$D$64,$B23)</f>
        <v>0</v>
      </c>
      <c r="H23" s="2">
        <f>SUMIFS('All Comparisons'!$Q$2:$Q$561,'All Comparisons'!$C$2:$C$561,$A23,'All Comparisons'!$D$2:$D$561,$B23)+SUMIFS('Review Queue'!$AD$2:$AD$64,'Review Queue'!$C$2:$C$64,$A23,'Review Queue'!$D$2:$D$64,$B23)-SUMIFS('Review Queue'!$Q$2:$Q$64,'Review Queue'!$C$2:$C$64,$A23,'Review Queue'!$D$2:$D$64,$B23)</f>
        <v>0</v>
      </c>
      <c r="I23" s="6">
        <f t="shared" si="2"/>
        <v>1</v>
      </c>
      <c r="J23" s="6">
        <f t="shared" si="3"/>
        <v>1</v>
      </c>
      <c r="K23" s="6">
        <f t="shared" si="4"/>
        <v>1</v>
      </c>
      <c r="L23" s="2">
        <f>COUNTIFS('Review Queue'!$C$2:$C$64,$A23,'Review Queue'!$D$2:$D$64,$B23,'Review Queue'!$Y$2:$Y$64,"&lt;&gt;Reviewed",'Review Queue'!$X$2:$X$64,"&lt;&gt;Yes")</f>
        <v>1</v>
      </c>
      <c r="M23" s="2">
        <f>COUNTIFS('Review Queue'!$C$2:$C$64,$A23,'Review Queue'!$D$2:$D$64,$B23,'Review Queue'!$AA$2:$AA$64,"INCOMPLETE")</f>
        <v>0</v>
      </c>
    </row>
    <row r="24" ht="15.75" customHeight="1">
      <c r="A24" s="2" t="s">
        <v>519</v>
      </c>
      <c r="B24" s="2" t="s">
        <v>118</v>
      </c>
      <c r="C24" s="2">
        <f>COUNTIFS('All Comparisons'!$C$2:$C$561,$A24,'All Comparisons'!$D$2:$D$561,$B24)-COUNTIFS('Review Queue'!$C$2:$C$64,$A24,'Review Queue'!$D$2:$D$64,$B24,'Review Queue'!$X$2:$X$64,"Yes")</f>
        <v>20</v>
      </c>
      <c r="D24" s="2">
        <f>SUMIFS('All Comparisons'!$R$2:$R$561,'All Comparisons'!$C$2:$C$561,$A24,'All Comparisons'!$D$2:$D$561,$B24)+SUMIFS('Review Queue'!$AE$2:$AE$64,'Review Queue'!$C$2:$C$64,$A24,'Review Queue'!$D$2:$D$64,$B24)-SUMIFS('Review Queue'!$R$2:$R$64,'Review Queue'!$C$2:$C$64,$A24,'Review Queue'!$D$2:$D$64,$B24)</f>
        <v>20</v>
      </c>
      <c r="E24" s="6">
        <f t="shared" si="1"/>
        <v>1</v>
      </c>
      <c r="F24" s="2">
        <f>SUMIFS('All Comparisons'!$O$2:$O$561,'All Comparisons'!$C$2:$C$561,$A24,'All Comparisons'!$D$2:$D$561,$B24)+SUMIFS('Review Queue'!$AB$2:$AB$64,'Review Queue'!$C$2:$C$64,$A24,'Review Queue'!$D$2:$D$64,$B24)-SUMIFS('Review Queue'!$O$2:$O$64,'Review Queue'!$C$2:$C$64,$A24,'Review Queue'!$D$2:$D$64,$B24)</f>
        <v>20</v>
      </c>
      <c r="G24" s="2">
        <f>SUMIFS('All Comparisons'!$P$2:$P$561,'All Comparisons'!$C$2:$C$561,$A24,'All Comparisons'!$D$2:$D$561,$B24)+SUMIFS('Review Queue'!$AC$2:$AC$64,'Review Queue'!$C$2:$C$64,$A24,'Review Queue'!$D$2:$D$64,$B24)-SUMIFS('Review Queue'!$P$2:$P$64,'Review Queue'!$C$2:$C$64,$A24,'Review Queue'!$D$2:$D$64,$B24)</f>
        <v>0</v>
      </c>
      <c r="H24" s="2">
        <f>SUMIFS('All Comparisons'!$Q$2:$Q$561,'All Comparisons'!$C$2:$C$561,$A24,'All Comparisons'!$D$2:$D$561,$B24)+SUMIFS('Review Queue'!$AD$2:$AD$64,'Review Queue'!$C$2:$C$64,$A24,'Review Queue'!$D$2:$D$64,$B24)-SUMIFS('Review Queue'!$Q$2:$Q$64,'Review Queue'!$C$2:$C$64,$A24,'Review Queue'!$D$2:$D$64,$B24)</f>
        <v>0</v>
      </c>
      <c r="I24" s="6">
        <f t="shared" si="2"/>
        <v>1</v>
      </c>
      <c r="J24" s="6">
        <f t="shared" si="3"/>
        <v>1</v>
      </c>
      <c r="K24" s="6">
        <f t="shared" si="4"/>
        <v>1</v>
      </c>
      <c r="L24" s="2">
        <f>COUNTIFS('Review Queue'!$C$2:$C$64,$A24,'Review Queue'!$D$2:$D$64,$B24,'Review Queue'!$Y$2:$Y$64,"&lt;&gt;Reviewed",'Review Queue'!$X$2:$X$64,"&lt;&gt;Yes")</f>
        <v>0</v>
      </c>
      <c r="M24" s="2">
        <f>COUNTIFS('Review Queue'!$C$2:$C$64,$A24,'Review Queue'!$D$2:$D$64,$B24,'Review Queue'!$AA$2:$AA$64,"INCOMPLETE")</f>
        <v>0</v>
      </c>
    </row>
    <row r="25" ht="15.75" customHeight="1">
      <c r="A25" s="2" t="s">
        <v>519</v>
      </c>
      <c r="B25" s="2" t="s">
        <v>149</v>
      </c>
      <c r="C25" s="2">
        <f>COUNTIFS('All Comparisons'!$C$2:$C$561,$A25,'All Comparisons'!$D$2:$D$561,$B25)-COUNTIFS('Review Queue'!$C$2:$C$64,$A25,'Review Queue'!$D$2:$D$64,$B25,'Review Queue'!$X$2:$X$64,"Yes")</f>
        <v>20</v>
      </c>
      <c r="D25" s="2">
        <f>SUMIFS('All Comparisons'!$R$2:$R$561,'All Comparisons'!$C$2:$C$561,$A25,'All Comparisons'!$D$2:$D$561,$B25)+SUMIFS('Review Queue'!$AE$2:$AE$64,'Review Queue'!$C$2:$C$64,$A25,'Review Queue'!$D$2:$D$64,$B25)-SUMIFS('Review Queue'!$R$2:$R$64,'Review Queue'!$C$2:$C$64,$A25,'Review Queue'!$D$2:$D$64,$B25)</f>
        <v>20</v>
      </c>
      <c r="E25" s="6">
        <f t="shared" si="1"/>
        <v>1</v>
      </c>
      <c r="F25" s="2">
        <f>SUMIFS('All Comparisons'!$O$2:$O$561,'All Comparisons'!$C$2:$C$561,$A25,'All Comparisons'!$D$2:$D$561,$B25)+SUMIFS('Review Queue'!$AB$2:$AB$64,'Review Queue'!$C$2:$C$64,$A25,'Review Queue'!$D$2:$D$64,$B25)-SUMIFS('Review Queue'!$O$2:$O$64,'Review Queue'!$C$2:$C$64,$A25,'Review Queue'!$D$2:$D$64,$B25)</f>
        <v>20</v>
      </c>
      <c r="G25" s="2">
        <f>SUMIFS('All Comparisons'!$P$2:$P$561,'All Comparisons'!$C$2:$C$561,$A25,'All Comparisons'!$D$2:$D$561,$B25)+SUMIFS('Review Queue'!$AC$2:$AC$64,'Review Queue'!$C$2:$C$64,$A25,'Review Queue'!$D$2:$D$64,$B25)-SUMIFS('Review Queue'!$P$2:$P$64,'Review Queue'!$C$2:$C$64,$A25,'Review Queue'!$D$2:$D$64,$B25)</f>
        <v>0</v>
      </c>
      <c r="H25" s="2">
        <f>SUMIFS('All Comparisons'!$Q$2:$Q$561,'All Comparisons'!$C$2:$C$561,$A25,'All Comparisons'!$D$2:$D$561,$B25)+SUMIFS('Review Queue'!$AD$2:$AD$64,'Review Queue'!$C$2:$C$64,$A25,'Review Queue'!$D$2:$D$64,$B25)-SUMIFS('Review Queue'!$Q$2:$Q$64,'Review Queue'!$C$2:$C$64,$A25,'Review Queue'!$D$2:$D$64,$B25)</f>
        <v>0</v>
      </c>
      <c r="I25" s="6">
        <f t="shared" si="2"/>
        <v>1</v>
      </c>
      <c r="J25" s="6">
        <f t="shared" si="3"/>
        <v>1</v>
      </c>
      <c r="K25" s="6">
        <f t="shared" si="4"/>
        <v>1</v>
      </c>
      <c r="L25" s="2">
        <f>COUNTIFS('Review Queue'!$C$2:$C$64,$A25,'Review Queue'!$D$2:$D$64,$B25,'Review Queue'!$Y$2:$Y$64,"&lt;&gt;Reviewed",'Review Queue'!$X$2:$X$64,"&lt;&gt;Yes")</f>
        <v>1</v>
      </c>
      <c r="M25" s="2">
        <f>COUNTIFS('Review Queue'!$C$2:$C$64,$A25,'Review Queue'!$D$2:$D$64,$B25,'Review Queue'!$AA$2:$AA$64,"INCOMPLETE")</f>
        <v>0</v>
      </c>
    </row>
    <row r="26" ht="15.75" customHeight="1">
      <c r="A26" s="2" t="s">
        <v>519</v>
      </c>
      <c r="B26" s="2" t="s">
        <v>426</v>
      </c>
      <c r="C26" s="2">
        <f>COUNTIFS('All Comparisons'!$C$2:$C$561,$A26)-COUNTIFS('Review Queue'!$C$2:$C$64,$A26,'Review Queue'!$X$2:$X$64,"Yes")</f>
        <v>80</v>
      </c>
      <c r="D26" s="2">
        <f>SUMIFS('All Comparisons'!$R$2:$R$561,'All Comparisons'!$C$2:$C$561,$A26)+SUMIFS('Review Queue'!$AE$2:$AE$64,'Review Queue'!$C$2:$C$64,$A26)-SUMIFS('Review Queue'!$R$2:$R$64,'Review Queue'!$C$2:$C$64,$A26)</f>
        <v>77</v>
      </c>
      <c r="E26" s="6">
        <f t="shared" si="1"/>
        <v>0.9625</v>
      </c>
      <c r="F26" s="2">
        <f>SUMIFS('All Comparisons'!$O$2:$O$561,'All Comparisons'!$C$2:$C$561,$A26)+SUMIFS('Review Queue'!$AB$2:$AB$64,'Review Queue'!$C$2:$C$64,$A26)-SUMIFS('Review Queue'!$O$2:$O$64,'Review Queue'!$C$2:$C$64,$A26)</f>
        <v>77</v>
      </c>
      <c r="G26" s="2">
        <f>SUMIFS('All Comparisons'!$P$2:$P$561,'All Comparisons'!$C$2:$C$561,$A26)+SUMIFS('Review Queue'!$AC$2:$AC$64,'Review Queue'!$C$2:$C$64,$A26)-SUMIFS('Review Queue'!$P$2:$P$64,'Review Queue'!$C$2:$C$64,$A26)</f>
        <v>3</v>
      </c>
      <c r="H26" s="2">
        <f>SUMIFS('All Comparisons'!$Q$2:$Q$561,'All Comparisons'!$C$2:$C$561,$A26)+SUMIFS('Review Queue'!$AD$2:$AD$64,'Review Queue'!$C$2:$C$64,$A26)-SUMIFS('Review Queue'!$Q$2:$Q$64,'Review Queue'!$C$2:$C$64,$A26)</f>
        <v>3</v>
      </c>
      <c r="I26" s="6">
        <f t="shared" si="2"/>
        <v>0.9625</v>
      </c>
      <c r="J26" s="6">
        <f t="shared" si="3"/>
        <v>0.9625</v>
      </c>
      <c r="K26" s="6">
        <f t="shared" si="4"/>
        <v>0.9625</v>
      </c>
      <c r="L26" s="2">
        <f>COUNTIFS('Review Queue'!$C$2:$C$64,$A26,'Review Queue'!$Y$2:$Y$64,"&lt;&gt;Reviewed",'Review Queue'!$X$2:$X$64,"&lt;&gt;Yes")</f>
        <v>8</v>
      </c>
      <c r="M26" s="2">
        <f>COUNTIFS('Review Queue'!$C$2:$C$64,$A26,'Review Queue'!$AA$2:$AA$64,"INCOMPLETE")</f>
        <v>0</v>
      </c>
    </row>
    <row r="27" ht="15.75" customHeight="1">
      <c r="A27" s="2" t="s">
        <v>694</v>
      </c>
      <c r="B27" s="2" t="s">
        <v>71</v>
      </c>
      <c r="C27" s="2">
        <f>COUNTIFS('All Comparisons'!$C$2:$C$561,$A27,'All Comparisons'!$D$2:$D$561,$B27)-COUNTIFS('Review Queue'!$C$2:$C$64,$A27,'Review Queue'!$D$2:$D$64,$B27,'Review Queue'!$X$2:$X$64,"Yes")</f>
        <v>20</v>
      </c>
      <c r="D27" s="2">
        <f>SUMIFS('All Comparisons'!$R$2:$R$561,'All Comparisons'!$C$2:$C$561,$A27,'All Comparisons'!$D$2:$D$561,$B27)+SUMIFS('Review Queue'!$AE$2:$AE$64,'Review Queue'!$C$2:$C$64,$A27,'Review Queue'!$D$2:$D$64,$B27)-SUMIFS('Review Queue'!$R$2:$R$64,'Review Queue'!$C$2:$C$64,$A27,'Review Queue'!$D$2:$D$64,$B27)</f>
        <v>6</v>
      </c>
      <c r="E27" s="6">
        <f t="shared" si="1"/>
        <v>0.3</v>
      </c>
      <c r="F27" s="2">
        <f>SUMIFS('All Comparisons'!$O$2:$O$561,'All Comparisons'!$C$2:$C$561,$A27,'All Comparisons'!$D$2:$D$561,$B27)+SUMIFS('Review Queue'!$AB$2:$AB$64,'Review Queue'!$C$2:$C$64,$A27,'Review Queue'!$D$2:$D$64,$B27)-SUMIFS('Review Queue'!$O$2:$O$64,'Review Queue'!$C$2:$C$64,$A27,'Review Queue'!$D$2:$D$64,$B27)</f>
        <v>0</v>
      </c>
      <c r="G27" s="2">
        <f>SUMIFS('All Comparisons'!$P$2:$P$561,'All Comparisons'!$C$2:$C$561,$A27,'All Comparisons'!$D$2:$D$561,$B27)+SUMIFS('Review Queue'!$AC$2:$AC$64,'Review Queue'!$C$2:$C$64,$A27,'Review Queue'!$D$2:$D$64,$B27)-SUMIFS('Review Queue'!$P$2:$P$64,'Review Queue'!$C$2:$C$64,$A27,'Review Queue'!$D$2:$D$64,$B27)</f>
        <v>0</v>
      </c>
      <c r="H27" s="2">
        <f>SUMIFS('All Comparisons'!$Q$2:$Q$561,'All Comparisons'!$C$2:$C$561,$A27,'All Comparisons'!$D$2:$D$561,$B27)+SUMIFS('Review Queue'!$AD$2:$AD$64,'Review Queue'!$C$2:$C$64,$A27,'Review Queue'!$D$2:$D$64,$B27)-SUMIFS('Review Queue'!$Q$2:$Q$64,'Review Queue'!$C$2:$C$64,$A27,'Review Queue'!$D$2:$D$64,$B27)</f>
        <v>14</v>
      </c>
      <c r="I27" s="6">
        <f t="shared" si="2"/>
        <v>0</v>
      </c>
      <c r="J27" s="6">
        <f t="shared" si="3"/>
        <v>0</v>
      </c>
      <c r="K27" s="6">
        <f t="shared" si="4"/>
        <v>0</v>
      </c>
      <c r="L27" s="2">
        <f>COUNTIFS('Review Queue'!$C$2:$C$64,$A27,'Review Queue'!$D$2:$D$64,$B27,'Review Queue'!$Y$2:$Y$64,"&lt;&gt;Reviewed",'Review Queue'!$X$2:$X$64,"&lt;&gt;Yes")</f>
        <v>14</v>
      </c>
      <c r="M27" s="2">
        <f>COUNTIFS('Review Queue'!$C$2:$C$64,$A27,'Review Queue'!$D$2:$D$64,$B27,'Review Queue'!$AA$2:$AA$64,"INCOMPLETE")</f>
        <v>0</v>
      </c>
    </row>
    <row r="28" ht="15.75" customHeight="1">
      <c r="A28" s="2" t="s">
        <v>694</v>
      </c>
      <c r="B28" s="2" t="s">
        <v>75</v>
      </c>
      <c r="C28" s="2">
        <f>COUNTIFS('All Comparisons'!$C$2:$C$561,$A28,'All Comparisons'!$D$2:$D$561,$B28)-COUNTIFS('Review Queue'!$C$2:$C$64,$A28,'Review Queue'!$D$2:$D$64,$B28,'Review Queue'!$X$2:$X$64,"Yes")</f>
        <v>20</v>
      </c>
      <c r="D28" s="2">
        <f>SUMIFS('All Comparisons'!$R$2:$R$561,'All Comparisons'!$C$2:$C$561,$A28,'All Comparisons'!$D$2:$D$561,$B28)+SUMIFS('Review Queue'!$AE$2:$AE$64,'Review Queue'!$C$2:$C$64,$A28,'Review Queue'!$D$2:$D$64,$B28)-SUMIFS('Review Queue'!$R$2:$R$64,'Review Queue'!$C$2:$C$64,$A28,'Review Queue'!$D$2:$D$64,$B28)</f>
        <v>20</v>
      </c>
      <c r="E28" s="6">
        <f t="shared" si="1"/>
        <v>1</v>
      </c>
      <c r="F28" s="2">
        <f>SUMIFS('All Comparisons'!$O$2:$O$561,'All Comparisons'!$C$2:$C$561,$A28,'All Comparisons'!$D$2:$D$561,$B28)+SUMIFS('Review Queue'!$AB$2:$AB$64,'Review Queue'!$C$2:$C$64,$A28,'Review Queue'!$D$2:$D$64,$B28)-SUMIFS('Review Queue'!$O$2:$O$64,'Review Queue'!$C$2:$C$64,$A28,'Review Queue'!$D$2:$D$64,$B28)</f>
        <v>20</v>
      </c>
      <c r="G28" s="2">
        <f>SUMIFS('All Comparisons'!$P$2:$P$561,'All Comparisons'!$C$2:$C$561,$A28,'All Comparisons'!$D$2:$D$561,$B28)+SUMIFS('Review Queue'!$AC$2:$AC$64,'Review Queue'!$C$2:$C$64,$A28,'Review Queue'!$D$2:$D$64,$B28)-SUMIFS('Review Queue'!$P$2:$P$64,'Review Queue'!$C$2:$C$64,$A28,'Review Queue'!$D$2:$D$64,$B28)</f>
        <v>0</v>
      </c>
      <c r="H28" s="2">
        <f>SUMIFS('All Comparisons'!$Q$2:$Q$561,'All Comparisons'!$C$2:$C$561,$A28,'All Comparisons'!$D$2:$D$561,$B28)+SUMIFS('Review Queue'!$AD$2:$AD$64,'Review Queue'!$C$2:$C$64,$A28,'Review Queue'!$D$2:$D$64,$B28)-SUMIFS('Review Queue'!$Q$2:$Q$64,'Review Queue'!$C$2:$C$64,$A28,'Review Queue'!$D$2:$D$64,$B28)</f>
        <v>0</v>
      </c>
      <c r="I28" s="6">
        <f t="shared" si="2"/>
        <v>1</v>
      </c>
      <c r="J28" s="6">
        <f t="shared" si="3"/>
        <v>1</v>
      </c>
      <c r="K28" s="6">
        <f t="shared" si="4"/>
        <v>1</v>
      </c>
      <c r="L28" s="2">
        <f>COUNTIFS('Review Queue'!$C$2:$C$64,$A28,'Review Queue'!$D$2:$D$64,$B28,'Review Queue'!$Y$2:$Y$64,"&lt;&gt;Reviewed",'Review Queue'!$X$2:$X$64,"&lt;&gt;Yes")</f>
        <v>0</v>
      </c>
      <c r="M28" s="2">
        <f>COUNTIFS('Review Queue'!$C$2:$C$64,$A28,'Review Queue'!$D$2:$D$64,$B28,'Review Queue'!$AA$2:$AA$64,"INCOMPLETE")</f>
        <v>0</v>
      </c>
    </row>
    <row r="29" ht="15.75" customHeight="1">
      <c r="A29" s="2" t="s">
        <v>694</v>
      </c>
      <c r="B29" s="2" t="s">
        <v>118</v>
      </c>
      <c r="C29" s="2">
        <f>COUNTIFS('All Comparisons'!$C$2:$C$561,$A29,'All Comparisons'!$D$2:$D$561,$B29)-COUNTIFS('Review Queue'!$C$2:$C$64,$A29,'Review Queue'!$D$2:$D$64,$B29,'Review Queue'!$X$2:$X$64,"Yes")</f>
        <v>20</v>
      </c>
      <c r="D29" s="2">
        <f>SUMIFS('All Comparisons'!$R$2:$R$561,'All Comparisons'!$C$2:$C$561,$A29,'All Comparisons'!$D$2:$D$561,$B29)+SUMIFS('Review Queue'!$AE$2:$AE$64,'Review Queue'!$C$2:$C$64,$A29,'Review Queue'!$D$2:$D$64,$B29)-SUMIFS('Review Queue'!$R$2:$R$64,'Review Queue'!$C$2:$C$64,$A29,'Review Queue'!$D$2:$D$64,$B29)</f>
        <v>20</v>
      </c>
      <c r="E29" s="6">
        <f t="shared" si="1"/>
        <v>1</v>
      </c>
      <c r="F29" s="2">
        <f>SUMIFS('All Comparisons'!$O$2:$O$561,'All Comparisons'!$C$2:$C$561,$A29,'All Comparisons'!$D$2:$D$561,$B29)+SUMIFS('Review Queue'!$AB$2:$AB$64,'Review Queue'!$C$2:$C$64,$A29,'Review Queue'!$D$2:$D$64,$B29)-SUMIFS('Review Queue'!$O$2:$O$64,'Review Queue'!$C$2:$C$64,$A29,'Review Queue'!$D$2:$D$64,$B29)</f>
        <v>20</v>
      </c>
      <c r="G29" s="2">
        <f>SUMIFS('All Comparisons'!$P$2:$P$561,'All Comparisons'!$C$2:$C$561,$A29,'All Comparisons'!$D$2:$D$561,$B29)+SUMIFS('Review Queue'!$AC$2:$AC$64,'Review Queue'!$C$2:$C$64,$A29,'Review Queue'!$D$2:$D$64,$B29)-SUMIFS('Review Queue'!$P$2:$P$64,'Review Queue'!$C$2:$C$64,$A29,'Review Queue'!$D$2:$D$64,$B29)</f>
        <v>0</v>
      </c>
      <c r="H29" s="2">
        <f>SUMIFS('All Comparisons'!$Q$2:$Q$561,'All Comparisons'!$C$2:$C$561,$A29,'All Comparisons'!$D$2:$D$561,$B29)+SUMIFS('Review Queue'!$AD$2:$AD$64,'Review Queue'!$C$2:$C$64,$A29,'Review Queue'!$D$2:$D$64,$B29)-SUMIFS('Review Queue'!$Q$2:$Q$64,'Review Queue'!$C$2:$C$64,$A29,'Review Queue'!$D$2:$D$64,$B29)</f>
        <v>0</v>
      </c>
      <c r="I29" s="6">
        <f t="shared" si="2"/>
        <v>1</v>
      </c>
      <c r="J29" s="6">
        <f t="shared" si="3"/>
        <v>1</v>
      </c>
      <c r="K29" s="6">
        <f t="shared" si="4"/>
        <v>1</v>
      </c>
      <c r="L29" s="2">
        <f>COUNTIFS('Review Queue'!$C$2:$C$64,$A29,'Review Queue'!$D$2:$D$64,$B29,'Review Queue'!$Y$2:$Y$64,"&lt;&gt;Reviewed",'Review Queue'!$X$2:$X$64,"&lt;&gt;Yes")</f>
        <v>1</v>
      </c>
      <c r="M29" s="2">
        <f>COUNTIFS('Review Queue'!$C$2:$C$64,$A29,'Review Queue'!$D$2:$D$64,$B29,'Review Queue'!$AA$2:$AA$64,"INCOMPLETE")</f>
        <v>0</v>
      </c>
    </row>
    <row r="30" ht="15.75" customHeight="1">
      <c r="A30" s="2" t="s">
        <v>694</v>
      </c>
      <c r="B30" s="2" t="s">
        <v>149</v>
      </c>
      <c r="C30" s="2">
        <f>COUNTIFS('All Comparisons'!$C$2:$C$561,$A30,'All Comparisons'!$D$2:$D$561,$B30)-COUNTIFS('Review Queue'!$C$2:$C$64,$A30,'Review Queue'!$D$2:$D$64,$B30,'Review Queue'!$X$2:$X$64,"Yes")</f>
        <v>20</v>
      </c>
      <c r="D30" s="2">
        <f>SUMIFS('All Comparisons'!$R$2:$R$561,'All Comparisons'!$C$2:$C$561,$A30,'All Comparisons'!$D$2:$D$561,$B30)+SUMIFS('Review Queue'!$AE$2:$AE$64,'Review Queue'!$C$2:$C$64,$A30,'Review Queue'!$D$2:$D$64,$B30)-SUMIFS('Review Queue'!$R$2:$R$64,'Review Queue'!$C$2:$C$64,$A30,'Review Queue'!$D$2:$D$64,$B30)</f>
        <v>20</v>
      </c>
      <c r="E30" s="6">
        <f t="shared" si="1"/>
        <v>1</v>
      </c>
      <c r="F30" s="2">
        <f>SUMIFS('All Comparisons'!$O$2:$O$561,'All Comparisons'!$C$2:$C$561,$A30,'All Comparisons'!$D$2:$D$561,$B30)+SUMIFS('Review Queue'!$AB$2:$AB$64,'Review Queue'!$C$2:$C$64,$A30,'Review Queue'!$D$2:$D$64,$B30)-SUMIFS('Review Queue'!$O$2:$O$64,'Review Queue'!$C$2:$C$64,$A30,'Review Queue'!$D$2:$D$64,$B30)</f>
        <v>20</v>
      </c>
      <c r="G30" s="2">
        <f>SUMIFS('All Comparisons'!$P$2:$P$561,'All Comparisons'!$C$2:$C$561,$A30,'All Comparisons'!$D$2:$D$561,$B30)+SUMIFS('Review Queue'!$AC$2:$AC$64,'Review Queue'!$C$2:$C$64,$A30,'Review Queue'!$D$2:$D$64,$B30)-SUMIFS('Review Queue'!$P$2:$P$64,'Review Queue'!$C$2:$C$64,$A30,'Review Queue'!$D$2:$D$64,$B30)</f>
        <v>0</v>
      </c>
      <c r="H30" s="2">
        <f>SUMIFS('All Comparisons'!$Q$2:$Q$561,'All Comparisons'!$C$2:$C$561,$A30,'All Comparisons'!$D$2:$D$561,$B30)+SUMIFS('Review Queue'!$AD$2:$AD$64,'Review Queue'!$C$2:$C$64,$A30,'Review Queue'!$D$2:$D$64,$B30)-SUMIFS('Review Queue'!$Q$2:$Q$64,'Review Queue'!$C$2:$C$64,$A30,'Review Queue'!$D$2:$D$64,$B30)</f>
        <v>0</v>
      </c>
      <c r="I30" s="6">
        <f t="shared" si="2"/>
        <v>1</v>
      </c>
      <c r="J30" s="6">
        <f t="shared" si="3"/>
        <v>1</v>
      </c>
      <c r="K30" s="6">
        <f t="shared" si="4"/>
        <v>1</v>
      </c>
      <c r="L30" s="2">
        <f>COUNTIFS('Review Queue'!$C$2:$C$64,$A30,'Review Queue'!$D$2:$D$64,$B30,'Review Queue'!$Y$2:$Y$64,"&lt;&gt;Reviewed",'Review Queue'!$X$2:$X$64,"&lt;&gt;Yes")</f>
        <v>1</v>
      </c>
      <c r="M30" s="2">
        <f>COUNTIFS('Review Queue'!$C$2:$C$64,$A30,'Review Queue'!$D$2:$D$64,$B30,'Review Queue'!$AA$2:$AA$64,"INCOMPLETE")</f>
        <v>0</v>
      </c>
    </row>
    <row r="31" ht="15.75" customHeight="1">
      <c r="A31" s="2" t="s">
        <v>694</v>
      </c>
      <c r="B31" s="2" t="s">
        <v>426</v>
      </c>
      <c r="C31" s="2">
        <f>COUNTIFS('All Comparisons'!$C$2:$C$561,$A31)-COUNTIFS('Review Queue'!$C$2:$C$64,$A31,'Review Queue'!$X$2:$X$64,"Yes")</f>
        <v>80</v>
      </c>
      <c r="D31" s="2">
        <f>SUMIFS('All Comparisons'!$R$2:$R$561,'All Comparisons'!$C$2:$C$561,$A31)+SUMIFS('Review Queue'!$AE$2:$AE$64,'Review Queue'!$C$2:$C$64,$A31)-SUMIFS('Review Queue'!$R$2:$R$64,'Review Queue'!$C$2:$C$64,$A31)</f>
        <v>66</v>
      </c>
      <c r="E31" s="6">
        <f t="shared" si="1"/>
        <v>0.825</v>
      </c>
      <c r="F31" s="2">
        <f>SUMIFS('All Comparisons'!$O$2:$O$561,'All Comparisons'!$C$2:$C$561,$A31)+SUMIFS('Review Queue'!$AB$2:$AB$64,'Review Queue'!$C$2:$C$64,$A31)-SUMIFS('Review Queue'!$O$2:$O$64,'Review Queue'!$C$2:$C$64,$A31)</f>
        <v>60</v>
      </c>
      <c r="G31" s="2">
        <f>SUMIFS('All Comparisons'!$P$2:$P$561,'All Comparisons'!$C$2:$C$561,$A31)+SUMIFS('Review Queue'!$AC$2:$AC$64,'Review Queue'!$C$2:$C$64,$A31)-SUMIFS('Review Queue'!$P$2:$P$64,'Review Queue'!$C$2:$C$64,$A31)</f>
        <v>0</v>
      </c>
      <c r="H31" s="2">
        <f>SUMIFS('All Comparisons'!$Q$2:$Q$561,'All Comparisons'!$C$2:$C$561,$A31)+SUMIFS('Review Queue'!$AD$2:$AD$64,'Review Queue'!$C$2:$C$64,$A31)-SUMIFS('Review Queue'!$Q$2:$Q$64,'Review Queue'!$C$2:$C$64,$A31)</f>
        <v>14</v>
      </c>
      <c r="I31" s="6">
        <f t="shared" si="2"/>
        <v>1</v>
      </c>
      <c r="J31" s="6">
        <f t="shared" si="3"/>
        <v>0.8108108108</v>
      </c>
      <c r="K31" s="6">
        <f t="shared" si="4"/>
        <v>0.8955223881</v>
      </c>
      <c r="L31" s="2">
        <f>COUNTIFS('Review Queue'!$C$2:$C$64,$A31,'Review Queue'!$Y$2:$Y$64,"&lt;&gt;Reviewed",'Review Queue'!$X$2:$X$64,"&lt;&gt;Yes")</f>
        <v>16</v>
      </c>
      <c r="M31" s="2">
        <f>COUNTIFS('Review Queue'!$C$2:$C$64,$A31,'Review Queue'!$AA$2:$AA$64,"INCOMPLETE")</f>
        <v>0</v>
      </c>
    </row>
    <row r="32" ht="15.75" customHeight="1">
      <c r="A32" s="2" t="s">
        <v>894</v>
      </c>
      <c r="B32" s="2" t="s">
        <v>71</v>
      </c>
      <c r="C32" s="2">
        <f>COUNTIFS('All Comparisons'!$C$2:$C$561,$A32,'All Comparisons'!$D$2:$D$561,$B32)-COUNTIFS('Review Queue'!$C$2:$C$64,$A32,'Review Queue'!$D$2:$D$64,$B32,'Review Queue'!$X$2:$X$64,"Yes")</f>
        <v>20</v>
      </c>
      <c r="D32" s="2">
        <f>SUMIFS('All Comparisons'!$R$2:$R$561,'All Comparisons'!$C$2:$C$561,$A32,'All Comparisons'!$D$2:$D$561,$B32)+SUMIFS('Review Queue'!$AE$2:$AE$64,'Review Queue'!$C$2:$C$64,$A32,'Review Queue'!$D$2:$D$64,$B32)-SUMIFS('Review Queue'!$R$2:$R$64,'Review Queue'!$C$2:$C$64,$A32,'Review Queue'!$D$2:$D$64,$B32)</f>
        <v>18</v>
      </c>
      <c r="E32" s="6">
        <f t="shared" si="1"/>
        <v>0.9</v>
      </c>
      <c r="F32" s="2">
        <f>SUMIFS('All Comparisons'!$O$2:$O$561,'All Comparisons'!$C$2:$C$561,$A32,'All Comparisons'!$D$2:$D$561,$B32)+SUMIFS('Review Queue'!$AB$2:$AB$64,'Review Queue'!$C$2:$C$64,$A32,'Review Queue'!$D$2:$D$64,$B32)-SUMIFS('Review Queue'!$O$2:$O$64,'Review Queue'!$C$2:$C$64,$A32,'Review Queue'!$D$2:$D$64,$B32)</f>
        <v>18</v>
      </c>
      <c r="G32" s="2">
        <f>SUMIFS('All Comparisons'!$P$2:$P$561,'All Comparisons'!$C$2:$C$561,$A32,'All Comparisons'!$D$2:$D$561,$B32)+SUMIFS('Review Queue'!$AC$2:$AC$64,'Review Queue'!$C$2:$C$64,$A32,'Review Queue'!$D$2:$D$64,$B32)-SUMIFS('Review Queue'!$P$2:$P$64,'Review Queue'!$C$2:$C$64,$A32,'Review Queue'!$D$2:$D$64,$B32)</f>
        <v>2</v>
      </c>
      <c r="H32" s="2">
        <f>SUMIFS('All Comparisons'!$Q$2:$Q$561,'All Comparisons'!$C$2:$C$561,$A32,'All Comparisons'!$D$2:$D$561,$B32)+SUMIFS('Review Queue'!$AD$2:$AD$64,'Review Queue'!$C$2:$C$64,$A32,'Review Queue'!$D$2:$D$64,$B32)-SUMIFS('Review Queue'!$Q$2:$Q$64,'Review Queue'!$C$2:$C$64,$A32,'Review Queue'!$D$2:$D$64,$B32)</f>
        <v>2</v>
      </c>
      <c r="I32" s="6">
        <f t="shared" si="2"/>
        <v>0.9</v>
      </c>
      <c r="J32" s="6">
        <f t="shared" si="3"/>
        <v>0.9</v>
      </c>
      <c r="K32" s="6">
        <f t="shared" si="4"/>
        <v>0.9</v>
      </c>
      <c r="L32" s="2">
        <f>COUNTIFS('Review Queue'!$C$2:$C$64,$A32,'Review Queue'!$D$2:$D$64,$B32,'Review Queue'!$Y$2:$Y$64,"&lt;&gt;Reviewed",'Review Queue'!$X$2:$X$64,"&lt;&gt;Yes")</f>
        <v>2</v>
      </c>
      <c r="M32" s="2">
        <f>COUNTIFS('Review Queue'!$C$2:$C$64,$A32,'Review Queue'!$D$2:$D$64,$B32,'Review Queue'!$AA$2:$AA$64,"INCOMPLETE")</f>
        <v>0</v>
      </c>
    </row>
    <row r="33" ht="15.75" customHeight="1">
      <c r="A33" s="2" t="s">
        <v>894</v>
      </c>
      <c r="B33" s="2" t="s">
        <v>75</v>
      </c>
      <c r="C33" s="2">
        <f>COUNTIFS('All Comparisons'!$C$2:$C$561,$A33,'All Comparisons'!$D$2:$D$561,$B33)-COUNTIFS('Review Queue'!$C$2:$C$64,$A33,'Review Queue'!$D$2:$D$64,$B33,'Review Queue'!$X$2:$X$64,"Yes")</f>
        <v>20</v>
      </c>
      <c r="D33" s="2">
        <f>SUMIFS('All Comparisons'!$R$2:$R$561,'All Comparisons'!$C$2:$C$561,$A33,'All Comparisons'!$D$2:$D$561,$B33)+SUMIFS('Review Queue'!$AE$2:$AE$64,'Review Queue'!$C$2:$C$64,$A33,'Review Queue'!$D$2:$D$64,$B33)-SUMIFS('Review Queue'!$R$2:$R$64,'Review Queue'!$C$2:$C$64,$A33,'Review Queue'!$D$2:$D$64,$B33)</f>
        <v>17</v>
      </c>
      <c r="E33" s="6">
        <f t="shared" si="1"/>
        <v>0.85</v>
      </c>
      <c r="F33" s="2">
        <f>SUMIFS('All Comparisons'!$O$2:$O$561,'All Comparisons'!$C$2:$C$561,$A33,'All Comparisons'!$D$2:$D$561,$B33)+SUMIFS('Review Queue'!$AB$2:$AB$64,'Review Queue'!$C$2:$C$64,$A33,'Review Queue'!$D$2:$D$64,$B33)-SUMIFS('Review Queue'!$O$2:$O$64,'Review Queue'!$C$2:$C$64,$A33,'Review Queue'!$D$2:$D$64,$B33)</f>
        <v>17</v>
      </c>
      <c r="G33" s="2">
        <f>SUMIFS('All Comparisons'!$P$2:$P$561,'All Comparisons'!$C$2:$C$561,$A33,'All Comparisons'!$D$2:$D$561,$B33)+SUMIFS('Review Queue'!$AC$2:$AC$64,'Review Queue'!$C$2:$C$64,$A33,'Review Queue'!$D$2:$D$64,$B33)-SUMIFS('Review Queue'!$P$2:$P$64,'Review Queue'!$C$2:$C$64,$A33,'Review Queue'!$D$2:$D$64,$B33)</f>
        <v>1</v>
      </c>
      <c r="H33" s="2">
        <f>SUMIFS('All Comparisons'!$Q$2:$Q$561,'All Comparisons'!$C$2:$C$561,$A33,'All Comparisons'!$D$2:$D$561,$B33)+SUMIFS('Review Queue'!$AD$2:$AD$64,'Review Queue'!$C$2:$C$64,$A33,'Review Queue'!$D$2:$D$64,$B33)-SUMIFS('Review Queue'!$Q$2:$Q$64,'Review Queue'!$C$2:$C$64,$A33,'Review Queue'!$D$2:$D$64,$B33)</f>
        <v>3</v>
      </c>
      <c r="I33" s="6">
        <f t="shared" si="2"/>
        <v>0.9444444444</v>
      </c>
      <c r="J33" s="6">
        <f t="shared" si="3"/>
        <v>0.85</v>
      </c>
      <c r="K33" s="6">
        <f t="shared" si="4"/>
        <v>0.8947368421</v>
      </c>
      <c r="L33" s="2">
        <f>COUNTIFS('Review Queue'!$C$2:$C$64,$A33,'Review Queue'!$D$2:$D$64,$B33,'Review Queue'!$Y$2:$Y$64,"&lt;&gt;Reviewed",'Review Queue'!$X$2:$X$64,"&lt;&gt;Yes")</f>
        <v>3</v>
      </c>
      <c r="M33" s="2">
        <f>COUNTIFS('Review Queue'!$C$2:$C$64,$A33,'Review Queue'!$D$2:$D$64,$B33,'Review Queue'!$AA$2:$AA$64,"INCOMPLETE")</f>
        <v>0</v>
      </c>
    </row>
    <row r="34" ht="15.75" customHeight="1">
      <c r="A34" s="2" t="s">
        <v>894</v>
      </c>
      <c r="B34" s="2" t="s">
        <v>118</v>
      </c>
      <c r="C34" s="2">
        <f>COUNTIFS('All Comparisons'!$C$2:$C$561,$A34,'All Comparisons'!$D$2:$D$561,$B34)-COUNTIFS('Review Queue'!$C$2:$C$64,$A34,'Review Queue'!$D$2:$D$64,$B34,'Review Queue'!$X$2:$X$64,"Yes")</f>
        <v>20</v>
      </c>
      <c r="D34" s="2">
        <f>SUMIFS('All Comparisons'!$R$2:$R$561,'All Comparisons'!$C$2:$C$561,$A34,'All Comparisons'!$D$2:$D$561,$B34)+SUMIFS('Review Queue'!$AE$2:$AE$64,'Review Queue'!$C$2:$C$64,$A34,'Review Queue'!$D$2:$D$64,$B34)-SUMIFS('Review Queue'!$R$2:$R$64,'Review Queue'!$C$2:$C$64,$A34,'Review Queue'!$D$2:$D$64,$B34)</f>
        <v>20</v>
      </c>
      <c r="E34" s="6">
        <f t="shared" si="1"/>
        <v>1</v>
      </c>
      <c r="F34" s="2">
        <f>SUMIFS('All Comparisons'!$O$2:$O$561,'All Comparisons'!$C$2:$C$561,$A34,'All Comparisons'!$D$2:$D$561,$B34)+SUMIFS('Review Queue'!$AB$2:$AB$64,'Review Queue'!$C$2:$C$64,$A34,'Review Queue'!$D$2:$D$64,$B34)-SUMIFS('Review Queue'!$O$2:$O$64,'Review Queue'!$C$2:$C$64,$A34,'Review Queue'!$D$2:$D$64,$B34)</f>
        <v>20</v>
      </c>
      <c r="G34" s="2">
        <f>SUMIFS('All Comparisons'!$P$2:$P$561,'All Comparisons'!$C$2:$C$561,$A34,'All Comparisons'!$D$2:$D$561,$B34)+SUMIFS('Review Queue'!$AC$2:$AC$64,'Review Queue'!$C$2:$C$64,$A34,'Review Queue'!$D$2:$D$64,$B34)-SUMIFS('Review Queue'!$P$2:$P$64,'Review Queue'!$C$2:$C$64,$A34,'Review Queue'!$D$2:$D$64,$B34)</f>
        <v>0</v>
      </c>
      <c r="H34" s="2">
        <f>SUMIFS('All Comparisons'!$Q$2:$Q$561,'All Comparisons'!$C$2:$C$561,$A34,'All Comparisons'!$D$2:$D$561,$B34)+SUMIFS('Review Queue'!$AD$2:$AD$64,'Review Queue'!$C$2:$C$64,$A34,'Review Queue'!$D$2:$D$64,$B34)-SUMIFS('Review Queue'!$Q$2:$Q$64,'Review Queue'!$C$2:$C$64,$A34,'Review Queue'!$D$2:$D$64,$B34)</f>
        <v>0</v>
      </c>
      <c r="I34" s="6">
        <f t="shared" si="2"/>
        <v>1</v>
      </c>
      <c r="J34" s="6">
        <f t="shared" si="3"/>
        <v>1</v>
      </c>
      <c r="K34" s="6">
        <f t="shared" si="4"/>
        <v>1</v>
      </c>
      <c r="L34" s="2">
        <f>COUNTIFS('Review Queue'!$C$2:$C$64,$A34,'Review Queue'!$D$2:$D$64,$B34,'Review Queue'!$Y$2:$Y$64,"&lt;&gt;Reviewed",'Review Queue'!$X$2:$X$64,"&lt;&gt;Yes")</f>
        <v>0</v>
      </c>
      <c r="M34" s="2">
        <f>COUNTIFS('Review Queue'!$C$2:$C$64,$A34,'Review Queue'!$D$2:$D$64,$B34,'Review Queue'!$AA$2:$AA$64,"INCOMPLETE")</f>
        <v>0</v>
      </c>
    </row>
    <row r="35" ht="15.75" customHeight="1">
      <c r="A35" s="2" t="s">
        <v>894</v>
      </c>
      <c r="B35" s="2" t="s">
        <v>149</v>
      </c>
      <c r="C35" s="2">
        <f>COUNTIFS('All Comparisons'!$C$2:$C$561,$A35,'All Comparisons'!$D$2:$D$561,$B35)-COUNTIFS('Review Queue'!$C$2:$C$64,$A35,'Review Queue'!$D$2:$D$64,$B35,'Review Queue'!$X$2:$X$64,"Yes")</f>
        <v>20</v>
      </c>
      <c r="D35" s="2">
        <f>SUMIFS('All Comparisons'!$R$2:$R$561,'All Comparisons'!$C$2:$C$561,$A35,'All Comparisons'!$D$2:$D$561,$B35)+SUMIFS('Review Queue'!$AE$2:$AE$64,'Review Queue'!$C$2:$C$64,$A35,'Review Queue'!$D$2:$D$64,$B35)-SUMIFS('Review Queue'!$R$2:$R$64,'Review Queue'!$C$2:$C$64,$A35,'Review Queue'!$D$2:$D$64,$B35)</f>
        <v>20</v>
      </c>
      <c r="E35" s="6">
        <f t="shared" si="1"/>
        <v>1</v>
      </c>
      <c r="F35" s="2">
        <f>SUMIFS('All Comparisons'!$O$2:$O$561,'All Comparisons'!$C$2:$C$561,$A35,'All Comparisons'!$D$2:$D$561,$B35)+SUMIFS('Review Queue'!$AB$2:$AB$64,'Review Queue'!$C$2:$C$64,$A35,'Review Queue'!$D$2:$D$64,$B35)-SUMIFS('Review Queue'!$O$2:$O$64,'Review Queue'!$C$2:$C$64,$A35,'Review Queue'!$D$2:$D$64,$B35)</f>
        <v>20</v>
      </c>
      <c r="G35" s="2">
        <f>SUMIFS('All Comparisons'!$P$2:$P$561,'All Comparisons'!$C$2:$C$561,$A35,'All Comparisons'!$D$2:$D$561,$B35)+SUMIFS('Review Queue'!$AC$2:$AC$64,'Review Queue'!$C$2:$C$64,$A35,'Review Queue'!$D$2:$D$64,$B35)-SUMIFS('Review Queue'!$P$2:$P$64,'Review Queue'!$C$2:$C$64,$A35,'Review Queue'!$D$2:$D$64,$B35)</f>
        <v>0</v>
      </c>
      <c r="H35" s="2">
        <f>SUMIFS('All Comparisons'!$Q$2:$Q$561,'All Comparisons'!$C$2:$C$561,$A35,'All Comparisons'!$D$2:$D$561,$B35)+SUMIFS('Review Queue'!$AD$2:$AD$64,'Review Queue'!$C$2:$C$64,$A35,'Review Queue'!$D$2:$D$64,$B35)-SUMIFS('Review Queue'!$Q$2:$Q$64,'Review Queue'!$C$2:$C$64,$A35,'Review Queue'!$D$2:$D$64,$B35)</f>
        <v>0</v>
      </c>
      <c r="I35" s="6">
        <f t="shared" si="2"/>
        <v>1</v>
      </c>
      <c r="J35" s="6">
        <f t="shared" si="3"/>
        <v>1</v>
      </c>
      <c r="K35" s="6">
        <f t="shared" si="4"/>
        <v>1</v>
      </c>
      <c r="L35" s="2">
        <f>COUNTIFS('Review Queue'!$C$2:$C$64,$A35,'Review Queue'!$D$2:$D$64,$B35,'Review Queue'!$Y$2:$Y$64,"&lt;&gt;Reviewed",'Review Queue'!$X$2:$X$64,"&lt;&gt;Yes")</f>
        <v>2</v>
      </c>
      <c r="M35" s="2">
        <f>COUNTIFS('Review Queue'!$C$2:$C$64,$A35,'Review Queue'!$D$2:$D$64,$B35,'Review Queue'!$AA$2:$AA$64,"INCOMPLETE")</f>
        <v>0</v>
      </c>
    </row>
    <row r="36" ht="15.75" customHeight="1">
      <c r="A36" s="2" t="s">
        <v>894</v>
      </c>
      <c r="B36" s="2" t="s">
        <v>426</v>
      </c>
      <c r="C36" s="2">
        <f>COUNTIFS('All Comparisons'!$C$2:$C$561,$A36)-COUNTIFS('Review Queue'!$C$2:$C$64,$A36,'Review Queue'!$X$2:$X$64,"Yes")</f>
        <v>80</v>
      </c>
      <c r="D36" s="2">
        <f>SUMIFS('All Comparisons'!$R$2:$R$561,'All Comparisons'!$C$2:$C$561,$A36)+SUMIFS('Review Queue'!$AE$2:$AE$64,'Review Queue'!$C$2:$C$64,$A36)-SUMIFS('Review Queue'!$R$2:$R$64,'Review Queue'!$C$2:$C$64,$A36)</f>
        <v>75</v>
      </c>
      <c r="E36" s="6">
        <f t="shared" si="1"/>
        <v>0.9375</v>
      </c>
      <c r="F36" s="2">
        <f>SUMIFS('All Comparisons'!$O$2:$O$561,'All Comparisons'!$C$2:$C$561,$A36)+SUMIFS('Review Queue'!$AB$2:$AB$64,'Review Queue'!$C$2:$C$64,$A36)-SUMIFS('Review Queue'!$O$2:$O$64,'Review Queue'!$C$2:$C$64,$A36)</f>
        <v>75</v>
      </c>
      <c r="G36" s="2">
        <f>SUMIFS('All Comparisons'!$P$2:$P$561,'All Comparisons'!$C$2:$C$561,$A36)+SUMIFS('Review Queue'!$AC$2:$AC$64,'Review Queue'!$C$2:$C$64,$A36)-SUMIFS('Review Queue'!$P$2:$P$64,'Review Queue'!$C$2:$C$64,$A36)</f>
        <v>3</v>
      </c>
      <c r="H36" s="2">
        <f>SUMIFS('All Comparisons'!$Q$2:$Q$561,'All Comparisons'!$C$2:$C$561,$A36)+SUMIFS('Review Queue'!$AD$2:$AD$64,'Review Queue'!$C$2:$C$64,$A36)-SUMIFS('Review Queue'!$Q$2:$Q$64,'Review Queue'!$C$2:$C$64,$A36)</f>
        <v>5</v>
      </c>
      <c r="I36" s="6">
        <f t="shared" si="2"/>
        <v>0.9615384615</v>
      </c>
      <c r="J36" s="6">
        <f t="shared" si="3"/>
        <v>0.9375</v>
      </c>
      <c r="K36" s="6">
        <f t="shared" si="4"/>
        <v>0.9493670886</v>
      </c>
      <c r="L36" s="2">
        <f>COUNTIFS('Review Queue'!$C$2:$C$64,$A36,'Review Queue'!$Y$2:$Y$64,"&lt;&gt;Reviewed",'Review Queue'!$X$2:$X$64,"&lt;&gt;Yes")</f>
        <v>7</v>
      </c>
      <c r="M36" s="2">
        <f>COUNTIFS('Review Queue'!$C$2:$C$64,$A36,'Review Queue'!$AA$2:$AA$64,"INCOMPLETE")</f>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36"/>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2.0"/>
    <col customWidth="1" min="3" max="3" width="15.0"/>
    <col customWidth="1" min="4" max="4" width="23.0"/>
    <col customWidth="1" min="5" max="6" width="38.0"/>
    <col customWidth="1" min="7" max="10" width="42.0"/>
    <col customWidth="1" min="11" max="13" width="38.0"/>
    <col customWidth="1" min="14" max="14" width="34.0"/>
    <col customWidth="1" min="15" max="17" width="10.0"/>
    <col customWidth="1" min="18" max="18" width="21.0"/>
    <col customWidth="1" min="19" max="20" width="38.0"/>
    <col customWidth="1" min="21" max="23" width="11.0"/>
    <col customWidth="1" min="24" max="24" width="10.0"/>
    <col customWidth="1" min="25" max="25" width="17.0"/>
    <col customWidth="1" min="26" max="26" width="38.0"/>
    <col customWidth="1" min="27" max="31" width="42.0"/>
    <col customWidth="1" min="32" max="32" width="70.0"/>
  </cols>
  <sheetData>
    <row r="1">
      <c r="A1" s="1" t="s">
        <v>1</v>
      </c>
      <c r="B1" s="1" t="s">
        <v>8</v>
      </c>
      <c r="C1" s="1" t="s">
        <v>10</v>
      </c>
      <c r="D1" s="1" t="s">
        <v>12</v>
      </c>
      <c r="E1" s="1" t="s">
        <v>15</v>
      </c>
      <c r="F1" s="1" t="s">
        <v>16</v>
      </c>
      <c r="G1" s="1" t="s">
        <v>19</v>
      </c>
      <c r="H1" s="1" t="s">
        <v>22</v>
      </c>
      <c r="I1" s="1" t="s">
        <v>23</v>
      </c>
      <c r="J1" s="1" t="s">
        <v>25</v>
      </c>
      <c r="K1" s="1" t="s">
        <v>27</v>
      </c>
      <c r="L1" s="1" t="s">
        <v>28</v>
      </c>
      <c r="M1" s="1" t="s">
        <v>30</v>
      </c>
      <c r="N1" s="1" t="s">
        <v>33</v>
      </c>
      <c r="O1" s="1" t="s">
        <v>39</v>
      </c>
      <c r="P1" s="1" t="s">
        <v>41</v>
      </c>
      <c r="Q1" s="1" t="s">
        <v>44</v>
      </c>
      <c r="R1" s="1" t="s">
        <v>46</v>
      </c>
      <c r="S1" s="1" t="s">
        <v>48</v>
      </c>
      <c r="T1" s="1" t="s">
        <v>50</v>
      </c>
      <c r="U1" s="1" t="s">
        <v>52</v>
      </c>
      <c r="V1" s="1" t="s">
        <v>55</v>
      </c>
      <c r="W1" s="1" t="s">
        <v>56</v>
      </c>
      <c r="X1" s="1" t="s">
        <v>58</v>
      </c>
      <c r="Y1" s="1" t="s">
        <v>59</v>
      </c>
      <c r="Z1" s="1" t="s">
        <v>61</v>
      </c>
      <c r="AA1" s="1" t="s">
        <v>63</v>
      </c>
      <c r="AB1" s="1" t="s">
        <v>64</v>
      </c>
      <c r="AC1" s="1" t="s">
        <v>66</v>
      </c>
      <c r="AD1" s="1" t="s">
        <v>68</v>
      </c>
      <c r="AE1" s="1" t="s">
        <v>69</v>
      </c>
      <c r="AF1" s="1" t="s">
        <v>70</v>
      </c>
    </row>
    <row r="2">
      <c r="A2" s="2" t="s">
        <v>72</v>
      </c>
      <c r="B2" s="2" t="s">
        <v>73</v>
      </c>
      <c r="C2" s="2" t="s">
        <v>74</v>
      </c>
      <c r="D2" s="2" t="s">
        <v>75</v>
      </c>
      <c r="E2" s="2" t="s">
        <v>76</v>
      </c>
      <c r="F2" s="2" t="s">
        <v>77</v>
      </c>
      <c r="G2" s="2" t="s">
        <v>79</v>
      </c>
      <c r="H2" s="2" t="s">
        <v>80</v>
      </c>
      <c r="I2" s="2" t="s">
        <v>82</v>
      </c>
      <c r="J2" s="2" t="s">
        <v>83</v>
      </c>
      <c r="K2" s="2"/>
      <c r="L2" s="2" t="s">
        <v>79</v>
      </c>
      <c r="M2" s="2" t="s">
        <v>80</v>
      </c>
      <c r="N2" s="2" t="s">
        <v>86</v>
      </c>
      <c r="O2" s="2">
        <v>0.0</v>
      </c>
      <c r="P2" s="2">
        <v>1.0</v>
      </c>
      <c r="Q2" s="2">
        <v>1.0</v>
      </c>
      <c r="R2" s="2">
        <v>0.0</v>
      </c>
      <c r="S2" s="3" t="s">
        <v>76</v>
      </c>
      <c r="T2" s="3" t="s">
        <v>77</v>
      </c>
      <c r="U2" s="4">
        <v>1.0</v>
      </c>
      <c r="V2" s="4">
        <v>0.0</v>
      </c>
      <c r="W2" s="4">
        <v>0.0</v>
      </c>
      <c r="X2" s="3" t="s">
        <v>87</v>
      </c>
      <c r="Y2" s="3" t="s">
        <v>65</v>
      </c>
      <c r="Z2" s="3"/>
      <c r="AA2" s="5" t="str">
        <f t="shared" ref="AA2:AA64" si="1">IF(X2="Yes","Excluded",IF(COUNTA(U2:W2)=0,"Auto",IF(COUNTA(U2:W2)=3,"Manual","INCOMPLETE")))</f>
        <v>Manual</v>
      </c>
      <c r="AB2" s="5">
        <f t="shared" ref="AB2:AB64" si="2">IF(X2="Yes",0,IF(AA2="Manual",U2,O2))</f>
        <v>1</v>
      </c>
      <c r="AC2" s="5">
        <f t="shared" ref="AC2:AC64" si="3">IF(X2="Yes",0,IF(AA2="Manual",V2,P2))</f>
        <v>0</v>
      </c>
      <c r="AD2" s="5">
        <f t="shared" ref="AD2:AD64" si="4">IF(X2="Yes",0,IF(AA2="Manual",W2,Q2))</f>
        <v>0</v>
      </c>
      <c r="AE2" s="5">
        <f t="shared" ref="AE2:AE64" si="5">IF(X2="Yes","",IF(AND(AC2=0,AD2=0),1,0))</f>
        <v>1</v>
      </c>
      <c r="AF2" s="2" t="s">
        <v>88</v>
      </c>
    </row>
    <row r="3">
      <c r="A3" s="2" t="s">
        <v>89</v>
      </c>
      <c r="B3" s="2" t="s">
        <v>90</v>
      </c>
      <c r="C3" s="2" t="s">
        <v>74</v>
      </c>
      <c r="D3" s="2" t="s">
        <v>75</v>
      </c>
      <c r="E3" s="2" t="s">
        <v>91</v>
      </c>
      <c r="F3" s="2"/>
      <c r="G3" s="2" t="s">
        <v>92</v>
      </c>
      <c r="H3" s="2" t="s">
        <v>93</v>
      </c>
      <c r="I3" s="2" t="s">
        <v>94</v>
      </c>
      <c r="J3" s="2"/>
      <c r="K3" s="2"/>
      <c r="L3" s="2" t="s">
        <v>92</v>
      </c>
      <c r="M3" s="2"/>
      <c r="N3" s="2" t="s">
        <v>95</v>
      </c>
      <c r="O3" s="2">
        <v>0.0</v>
      </c>
      <c r="P3" s="2">
        <v>1.0</v>
      </c>
      <c r="Q3" s="2">
        <v>0.0</v>
      </c>
      <c r="R3" s="2">
        <v>0.0</v>
      </c>
      <c r="S3" s="3" t="s">
        <v>91</v>
      </c>
      <c r="T3" s="3"/>
      <c r="U3" s="3"/>
      <c r="V3" s="3"/>
      <c r="W3" s="3"/>
      <c r="X3" s="3" t="s">
        <v>87</v>
      </c>
      <c r="Y3" s="3" t="s">
        <v>65</v>
      </c>
      <c r="Z3" s="3"/>
      <c r="AA3" s="5" t="str">
        <f t="shared" si="1"/>
        <v>Auto</v>
      </c>
      <c r="AB3" s="5">
        <f t="shared" si="2"/>
        <v>0</v>
      </c>
      <c r="AC3" s="5">
        <f t="shared" si="3"/>
        <v>1</v>
      </c>
      <c r="AD3" s="5">
        <f t="shared" si="4"/>
        <v>0</v>
      </c>
      <c r="AE3" s="5">
        <f t="shared" si="5"/>
        <v>0</v>
      </c>
      <c r="AF3" s="2" t="s">
        <v>96</v>
      </c>
    </row>
    <row r="4">
      <c r="A4" s="2" t="s">
        <v>97</v>
      </c>
      <c r="B4" s="2" t="s">
        <v>98</v>
      </c>
      <c r="C4" s="2" t="s">
        <v>74</v>
      </c>
      <c r="D4" s="2" t="s">
        <v>71</v>
      </c>
      <c r="E4" s="2" t="s">
        <v>99</v>
      </c>
      <c r="F4" s="2" t="s">
        <v>100</v>
      </c>
      <c r="G4" s="2" t="s">
        <v>101</v>
      </c>
      <c r="H4" s="2" t="s">
        <v>102</v>
      </c>
      <c r="I4" s="2" t="s">
        <v>103</v>
      </c>
      <c r="J4" s="2" t="s">
        <v>104</v>
      </c>
      <c r="K4" s="2"/>
      <c r="L4" s="2" t="s">
        <v>101</v>
      </c>
      <c r="M4" s="2" t="s">
        <v>102</v>
      </c>
      <c r="N4" s="2" t="s">
        <v>105</v>
      </c>
      <c r="O4" s="2">
        <v>0.0</v>
      </c>
      <c r="P4" s="2">
        <v>1.0</v>
      </c>
      <c r="Q4" s="2">
        <v>1.0</v>
      </c>
      <c r="R4" s="2">
        <v>0.0</v>
      </c>
      <c r="S4" s="3" t="s">
        <v>99</v>
      </c>
      <c r="T4" s="3" t="s">
        <v>100</v>
      </c>
      <c r="U4" s="4">
        <v>1.0</v>
      </c>
      <c r="V4" s="4">
        <v>0.0</v>
      </c>
      <c r="W4" s="4">
        <v>0.0</v>
      </c>
      <c r="X4" s="3" t="s">
        <v>87</v>
      </c>
      <c r="Y4" s="3" t="s">
        <v>65</v>
      </c>
      <c r="Z4" s="3"/>
      <c r="AA4" s="5" t="str">
        <f t="shared" si="1"/>
        <v>Manual</v>
      </c>
      <c r="AB4" s="5">
        <f t="shared" si="2"/>
        <v>1</v>
      </c>
      <c r="AC4" s="5">
        <f t="shared" si="3"/>
        <v>0</v>
      </c>
      <c r="AD4" s="5">
        <f t="shared" si="4"/>
        <v>0</v>
      </c>
      <c r="AE4" s="5">
        <f t="shared" si="5"/>
        <v>1</v>
      </c>
      <c r="AF4" s="2" t="s">
        <v>106</v>
      </c>
    </row>
    <row r="5">
      <c r="A5" s="2" t="s">
        <v>107</v>
      </c>
      <c r="B5" s="2" t="s">
        <v>108</v>
      </c>
      <c r="C5" s="2" t="s">
        <v>74</v>
      </c>
      <c r="D5" s="2" t="s">
        <v>71</v>
      </c>
      <c r="E5" s="2" t="s">
        <v>109</v>
      </c>
      <c r="F5" s="2" t="s">
        <v>110</v>
      </c>
      <c r="G5" s="2" t="s">
        <v>111</v>
      </c>
      <c r="H5" s="2" t="s">
        <v>112</v>
      </c>
      <c r="I5" s="2" t="s">
        <v>113</v>
      </c>
      <c r="J5" s="2" t="s">
        <v>114</v>
      </c>
      <c r="K5" s="2"/>
      <c r="L5" s="2" t="s">
        <v>111</v>
      </c>
      <c r="M5" s="2" t="s">
        <v>112</v>
      </c>
      <c r="N5" s="2" t="s">
        <v>86</v>
      </c>
      <c r="O5" s="2">
        <v>0.0</v>
      </c>
      <c r="P5" s="2">
        <v>1.0</v>
      </c>
      <c r="Q5" s="2">
        <v>1.0</v>
      </c>
      <c r="R5" s="2">
        <v>0.0</v>
      </c>
      <c r="S5" s="3" t="s">
        <v>109</v>
      </c>
      <c r="T5" s="3" t="s">
        <v>110</v>
      </c>
      <c r="U5" s="4">
        <v>1.0</v>
      </c>
      <c r="V5" s="4">
        <v>0.0</v>
      </c>
      <c r="W5" s="4">
        <v>0.0</v>
      </c>
      <c r="X5" s="3" t="s">
        <v>87</v>
      </c>
      <c r="Y5" s="3" t="s">
        <v>65</v>
      </c>
      <c r="Z5" s="3"/>
      <c r="AA5" s="5" t="str">
        <f t="shared" si="1"/>
        <v>Manual</v>
      </c>
      <c r="AB5" s="5">
        <f t="shared" si="2"/>
        <v>1</v>
      </c>
      <c r="AC5" s="5">
        <f t="shared" si="3"/>
        <v>0</v>
      </c>
      <c r="AD5" s="5">
        <f t="shared" si="4"/>
        <v>0</v>
      </c>
      <c r="AE5" s="5">
        <f t="shared" si="5"/>
        <v>1</v>
      </c>
      <c r="AF5" s="2" t="s">
        <v>115</v>
      </c>
    </row>
    <row r="6">
      <c r="A6" s="2" t="s">
        <v>116</v>
      </c>
      <c r="B6" s="2" t="s">
        <v>117</v>
      </c>
      <c r="C6" s="2" t="s">
        <v>74</v>
      </c>
      <c r="D6" s="2" t="s">
        <v>118</v>
      </c>
      <c r="E6" s="2" t="s">
        <v>119</v>
      </c>
      <c r="F6" s="2" t="s">
        <v>120</v>
      </c>
      <c r="G6" s="2" t="s">
        <v>119</v>
      </c>
      <c r="H6" s="2" t="s">
        <v>120</v>
      </c>
      <c r="I6" s="2" t="s">
        <v>121</v>
      </c>
      <c r="J6" s="2" t="s">
        <v>122</v>
      </c>
      <c r="K6" s="2"/>
      <c r="L6" s="2" t="s">
        <v>119</v>
      </c>
      <c r="M6" s="2" t="s">
        <v>120</v>
      </c>
      <c r="N6" s="2" t="s">
        <v>105</v>
      </c>
      <c r="O6" s="2">
        <v>0.0</v>
      </c>
      <c r="P6" s="2">
        <v>1.0</v>
      </c>
      <c r="Q6" s="2">
        <v>1.0</v>
      </c>
      <c r="R6" s="2">
        <v>0.0</v>
      </c>
      <c r="S6" s="3" t="s">
        <v>119</v>
      </c>
      <c r="T6" s="3" t="s">
        <v>120</v>
      </c>
      <c r="U6" s="3"/>
      <c r="V6" s="3"/>
      <c r="W6" s="3"/>
      <c r="X6" s="3" t="s">
        <v>87</v>
      </c>
      <c r="Y6" s="3" t="s">
        <v>65</v>
      </c>
      <c r="Z6" s="3"/>
      <c r="AA6" s="5" t="str">
        <f t="shared" si="1"/>
        <v>Auto</v>
      </c>
      <c r="AB6" s="5">
        <f t="shared" si="2"/>
        <v>0</v>
      </c>
      <c r="AC6" s="5">
        <f t="shared" si="3"/>
        <v>1</v>
      </c>
      <c r="AD6" s="5">
        <f t="shared" si="4"/>
        <v>1</v>
      </c>
      <c r="AE6" s="5">
        <f t="shared" si="5"/>
        <v>0</v>
      </c>
      <c r="AF6" s="2" t="s">
        <v>123</v>
      </c>
    </row>
    <row r="7">
      <c r="A7" s="2" t="s">
        <v>124</v>
      </c>
      <c r="B7" s="2" t="s">
        <v>125</v>
      </c>
      <c r="C7" s="2" t="s">
        <v>74</v>
      </c>
      <c r="D7" s="2" t="s">
        <v>118</v>
      </c>
      <c r="E7" s="2" t="s">
        <v>126</v>
      </c>
      <c r="F7" s="2" t="s">
        <v>127</v>
      </c>
      <c r="G7" s="2" t="s">
        <v>128</v>
      </c>
      <c r="H7" s="2" t="s">
        <v>127</v>
      </c>
      <c r="I7" s="2" t="s">
        <v>129</v>
      </c>
      <c r="J7" s="2" t="s">
        <v>130</v>
      </c>
      <c r="K7" s="2" t="s">
        <v>127</v>
      </c>
      <c r="L7" s="2" t="s">
        <v>131</v>
      </c>
      <c r="M7" s="2"/>
      <c r="N7" s="2" t="s">
        <v>132</v>
      </c>
      <c r="O7" s="2">
        <v>1.0</v>
      </c>
      <c r="P7" s="2">
        <v>1.0</v>
      </c>
      <c r="Q7" s="2">
        <v>0.0</v>
      </c>
      <c r="R7" s="2">
        <v>0.0</v>
      </c>
      <c r="S7" s="3" t="s">
        <v>126</v>
      </c>
      <c r="T7" s="3" t="s">
        <v>127</v>
      </c>
      <c r="U7" s="4">
        <v>1.0</v>
      </c>
      <c r="V7" s="4">
        <v>0.0</v>
      </c>
      <c r="W7" s="4">
        <v>0.0</v>
      </c>
      <c r="X7" s="3" t="s">
        <v>87</v>
      </c>
      <c r="Y7" s="3" t="s">
        <v>65</v>
      </c>
      <c r="Z7" s="3"/>
      <c r="AA7" s="5" t="str">
        <f t="shared" si="1"/>
        <v>Manual</v>
      </c>
      <c r="AB7" s="5">
        <f t="shared" si="2"/>
        <v>1</v>
      </c>
      <c r="AC7" s="5">
        <f t="shared" si="3"/>
        <v>0</v>
      </c>
      <c r="AD7" s="5">
        <f t="shared" si="4"/>
        <v>0</v>
      </c>
      <c r="AE7" s="5">
        <f t="shared" si="5"/>
        <v>1</v>
      </c>
      <c r="AF7" s="2" t="s">
        <v>133</v>
      </c>
    </row>
    <row r="8">
      <c r="A8" s="2" t="s">
        <v>134</v>
      </c>
      <c r="B8" s="2" t="s">
        <v>90</v>
      </c>
      <c r="C8" s="2" t="s">
        <v>74</v>
      </c>
      <c r="D8" s="2" t="s">
        <v>118</v>
      </c>
      <c r="E8" s="2" t="s">
        <v>135</v>
      </c>
      <c r="F8" s="2" t="s">
        <v>136</v>
      </c>
      <c r="G8" s="2" t="s">
        <v>135</v>
      </c>
      <c r="H8" s="2" t="s">
        <v>137</v>
      </c>
      <c r="I8" s="2" t="s">
        <v>138</v>
      </c>
      <c r="J8" s="2" t="s">
        <v>139</v>
      </c>
      <c r="K8" s="2" t="s">
        <v>135</v>
      </c>
      <c r="L8" s="2"/>
      <c r="M8" s="2" t="s">
        <v>92</v>
      </c>
      <c r="N8" s="2" t="s">
        <v>132</v>
      </c>
      <c r="O8" s="2">
        <v>1.0</v>
      </c>
      <c r="P8" s="2">
        <v>0.0</v>
      </c>
      <c r="Q8" s="2">
        <v>1.0</v>
      </c>
      <c r="R8" s="2">
        <v>0.0</v>
      </c>
      <c r="S8" s="3" t="s">
        <v>135</v>
      </c>
      <c r="T8" s="3" t="s">
        <v>136</v>
      </c>
      <c r="U8" s="4">
        <v>1.0</v>
      </c>
      <c r="V8" s="4">
        <v>0.0</v>
      </c>
      <c r="W8" s="4">
        <v>0.0</v>
      </c>
      <c r="X8" s="3" t="s">
        <v>87</v>
      </c>
      <c r="Y8" s="3" t="s">
        <v>65</v>
      </c>
      <c r="Z8" s="3"/>
      <c r="AA8" s="5" t="str">
        <f t="shared" si="1"/>
        <v>Manual</v>
      </c>
      <c r="AB8" s="5">
        <f t="shared" si="2"/>
        <v>1</v>
      </c>
      <c r="AC8" s="5">
        <f t="shared" si="3"/>
        <v>0</v>
      </c>
      <c r="AD8" s="5">
        <f t="shared" si="4"/>
        <v>0</v>
      </c>
      <c r="AE8" s="5">
        <f t="shared" si="5"/>
        <v>1</v>
      </c>
      <c r="AF8" s="2" t="s">
        <v>147</v>
      </c>
    </row>
    <row r="9">
      <c r="A9" s="2" t="s">
        <v>148</v>
      </c>
      <c r="B9" s="2" t="s">
        <v>117</v>
      </c>
      <c r="C9" s="2" t="s">
        <v>74</v>
      </c>
      <c r="D9" s="2" t="s">
        <v>149</v>
      </c>
      <c r="E9" s="2" t="s">
        <v>150</v>
      </c>
      <c r="F9" s="2" t="s">
        <v>151</v>
      </c>
      <c r="G9" s="2" t="s">
        <v>150</v>
      </c>
      <c r="H9" s="2" t="s">
        <v>151</v>
      </c>
      <c r="I9" s="2" t="s">
        <v>152</v>
      </c>
      <c r="J9" s="2" t="s">
        <v>153</v>
      </c>
      <c r="K9" s="2"/>
      <c r="L9" s="2" t="s">
        <v>150</v>
      </c>
      <c r="M9" s="2" t="s">
        <v>151</v>
      </c>
      <c r="N9" s="2" t="s">
        <v>105</v>
      </c>
      <c r="O9" s="2">
        <v>0.0</v>
      </c>
      <c r="P9" s="2">
        <v>1.0</v>
      </c>
      <c r="Q9" s="2">
        <v>1.0</v>
      </c>
      <c r="R9" s="2">
        <v>0.0</v>
      </c>
      <c r="S9" s="3" t="s">
        <v>150</v>
      </c>
      <c r="T9" s="3" t="s">
        <v>151</v>
      </c>
      <c r="U9" s="4">
        <v>1.0</v>
      </c>
      <c r="V9" s="4">
        <v>0.0</v>
      </c>
      <c r="W9" s="4">
        <v>0.0</v>
      </c>
      <c r="X9" s="3" t="s">
        <v>87</v>
      </c>
      <c r="Y9" s="3" t="s">
        <v>65</v>
      </c>
      <c r="Z9" s="3"/>
      <c r="AA9" s="5" t="str">
        <f t="shared" si="1"/>
        <v>Manual</v>
      </c>
      <c r="AB9" s="5">
        <f t="shared" si="2"/>
        <v>1</v>
      </c>
      <c r="AC9" s="5">
        <f t="shared" si="3"/>
        <v>0</v>
      </c>
      <c r="AD9" s="5">
        <f t="shared" si="4"/>
        <v>0</v>
      </c>
      <c r="AE9" s="5">
        <f t="shared" si="5"/>
        <v>1</v>
      </c>
      <c r="AF9" s="2" t="s">
        <v>154</v>
      </c>
    </row>
    <row r="10">
      <c r="A10" s="2" t="s">
        <v>155</v>
      </c>
      <c r="B10" s="2" t="s">
        <v>156</v>
      </c>
      <c r="C10" s="2" t="s">
        <v>157</v>
      </c>
      <c r="D10" s="2" t="s">
        <v>71</v>
      </c>
      <c r="E10" s="2" t="s">
        <v>158</v>
      </c>
      <c r="F10" s="2" t="s">
        <v>159</v>
      </c>
      <c r="G10" s="2" t="s">
        <v>160</v>
      </c>
      <c r="H10" s="2" t="s">
        <v>161</v>
      </c>
      <c r="I10" s="2" t="s">
        <v>162</v>
      </c>
      <c r="J10" s="2" t="s">
        <v>163</v>
      </c>
      <c r="K10" s="2"/>
      <c r="L10" s="2" t="s">
        <v>160</v>
      </c>
      <c r="M10" s="2" t="s">
        <v>161</v>
      </c>
      <c r="N10" s="2" t="s">
        <v>105</v>
      </c>
      <c r="O10" s="2">
        <v>0.0</v>
      </c>
      <c r="P10" s="2">
        <v>1.0</v>
      </c>
      <c r="Q10" s="2">
        <v>1.0</v>
      </c>
      <c r="R10" s="2">
        <v>0.0</v>
      </c>
      <c r="S10" s="3" t="s">
        <v>158</v>
      </c>
      <c r="T10" s="3" t="s">
        <v>159</v>
      </c>
      <c r="U10" s="4">
        <v>1.0</v>
      </c>
      <c r="V10" s="4">
        <v>0.0</v>
      </c>
      <c r="W10" s="4">
        <v>0.0</v>
      </c>
      <c r="X10" s="3" t="s">
        <v>87</v>
      </c>
      <c r="Y10" s="3" t="s">
        <v>65</v>
      </c>
      <c r="Z10" s="3"/>
      <c r="AA10" s="5" t="str">
        <f t="shared" si="1"/>
        <v>Manual</v>
      </c>
      <c r="AB10" s="5">
        <f t="shared" si="2"/>
        <v>1</v>
      </c>
      <c r="AC10" s="5">
        <f t="shared" si="3"/>
        <v>0</v>
      </c>
      <c r="AD10" s="5">
        <f t="shared" si="4"/>
        <v>0</v>
      </c>
      <c r="AE10" s="5">
        <f t="shared" si="5"/>
        <v>1</v>
      </c>
      <c r="AF10" s="2" t="s">
        <v>167</v>
      </c>
    </row>
    <row r="11">
      <c r="A11" s="2" t="s">
        <v>169</v>
      </c>
      <c r="B11" s="2" t="s">
        <v>170</v>
      </c>
      <c r="C11" s="2" t="s">
        <v>157</v>
      </c>
      <c r="D11" s="2" t="s">
        <v>71</v>
      </c>
      <c r="E11" s="2" t="s">
        <v>172</v>
      </c>
      <c r="F11" s="2" t="s">
        <v>173</v>
      </c>
      <c r="G11" s="2" t="s">
        <v>174</v>
      </c>
      <c r="H11" s="2" t="s">
        <v>175</v>
      </c>
      <c r="I11" s="2" t="s">
        <v>176</v>
      </c>
      <c r="J11" s="2" t="s">
        <v>177</v>
      </c>
      <c r="K11" s="2"/>
      <c r="L11" s="2" t="s">
        <v>174</v>
      </c>
      <c r="M11" s="2" t="s">
        <v>175</v>
      </c>
      <c r="N11" s="2" t="s">
        <v>86</v>
      </c>
      <c r="O11" s="2">
        <v>0.0</v>
      </c>
      <c r="P11" s="2">
        <v>1.0</v>
      </c>
      <c r="Q11" s="2">
        <v>1.0</v>
      </c>
      <c r="R11" s="2">
        <v>0.0</v>
      </c>
      <c r="S11" s="3" t="s">
        <v>172</v>
      </c>
      <c r="T11" s="3" t="s">
        <v>173</v>
      </c>
      <c r="U11" s="4">
        <v>1.0</v>
      </c>
      <c r="V11" s="4">
        <v>0.0</v>
      </c>
      <c r="W11" s="4">
        <v>0.0</v>
      </c>
      <c r="X11" s="3" t="s">
        <v>87</v>
      </c>
      <c r="Y11" s="3" t="s">
        <v>65</v>
      </c>
      <c r="Z11" s="3"/>
      <c r="AA11" s="5" t="str">
        <f t="shared" si="1"/>
        <v>Manual</v>
      </c>
      <c r="AB11" s="5">
        <f t="shared" si="2"/>
        <v>1</v>
      </c>
      <c r="AC11" s="5">
        <f t="shared" si="3"/>
        <v>0</v>
      </c>
      <c r="AD11" s="5">
        <f t="shared" si="4"/>
        <v>0</v>
      </c>
      <c r="AE11" s="5">
        <f t="shared" si="5"/>
        <v>1</v>
      </c>
      <c r="AF11" s="2" t="s">
        <v>184</v>
      </c>
    </row>
    <row r="12">
      <c r="A12" s="2" t="s">
        <v>186</v>
      </c>
      <c r="B12" s="2" t="s">
        <v>187</v>
      </c>
      <c r="C12" s="2" t="s">
        <v>157</v>
      </c>
      <c r="D12" s="2" t="s">
        <v>71</v>
      </c>
      <c r="E12" s="2" t="s">
        <v>189</v>
      </c>
      <c r="F12" s="2" t="s">
        <v>190</v>
      </c>
      <c r="G12" s="2" t="s">
        <v>192</v>
      </c>
      <c r="H12" s="2" t="s">
        <v>193</v>
      </c>
      <c r="I12" s="2" t="s">
        <v>195</v>
      </c>
      <c r="J12" s="2" t="s">
        <v>197</v>
      </c>
      <c r="K12" s="2"/>
      <c r="L12" s="2" t="s">
        <v>192</v>
      </c>
      <c r="M12" s="2" t="s">
        <v>193</v>
      </c>
      <c r="N12" s="2" t="s">
        <v>86</v>
      </c>
      <c r="O12" s="2">
        <v>0.0</v>
      </c>
      <c r="P12" s="2">
        <v>1.0</v>
      </c>
      <c r="Q12" s="2">
        <v>1.0</v>
      </c>
      <c r="R12" s="2">
        <v>0.0</v>
      </c>
      <c r="S12" s="3" t="s">
        <v>189</v>
      </c>
      <c r="T12" s="3" t="s">
        <v>190</v>
      </c>
      <c r="U12" s="4">
        <v>1.0</v>
      </c>
      <c r="V12" s="4">
        <v>0.0</v>
      </c>
      <c r="W12" s="4">
        <v>0.0</v>
      </c>
      <c r="X12" s="3" t="s">
        <v>87</v>
      </c>
      <c r="Y12" s="3" t="s">
        <v>65</v>
      </c>
      <c r="Z12" s="3"/>
      <c r="AA12" s="5" t="str">
        <f t="shared" si="1"/>
        <v>Manual</v>
      </c>
      <c r="AB12" s="5">
        <f t="shared" si="2"/>
        <v>1</v>
      </c>
      <c r="AC12" s="5">
        <f t="shared" si="3"/>
        <v>0</v>
      </c>
      <c r="AD12" s="5">
        <f t="shared" si="4"/>
        <v>0</v>
      </c>
      <c r="AE12" s="5">
        <f t="shared" si="5"/>
        <v>1</v>
      </c>
      <c r="AF12" s="2" t="s">
        <v>203</v>
      </c>
    </row>
    <row r="13">
      <c r="A13" s="2" t="s">
        <v>204</v>
      </c>
      <c r="B13" s="2" t="s">
        <v>205</v>
      </c>
      <c r="C13" s="2" t="s">
        <v>157</v>
      </c>
      <c r="D13" s="2" t="s">
        <v>71</v>
      </c>
      <c r="E13" s="2" t="s">
        <v>206</v>
      </c>
      <c r="F13" s="2" t="s">
        <v>207</v>
      </c>
      <c r="G13" s="2" t="s">
        <v>208</v>
      </c>
      <c r="H13" s="2" t="s">
        <v>210</v>
      </c>
      <c r="I13" s="2" t="s">
        <v>211</v>
      </c>
      <c r="J13" s="2" t="s">
        <v>212</v>
      </c>
      <c r="K13" s="2"/>
      <c r="L13" s="2" t="s">
        <v>208</v>
      </c>
      <c r="M13" s="2" t="s">
        <v>210</v>
      </c>
      <c r="N13" s="2" t="s">
        <v>86</v>
      </c>
      <c r="O13" s="2">
        <v>0.0</v>
      </c>
      <c r="P13" s="2">
        <v>1.0</v>
      </c>
      <c r="Q13" s="2">
        <v>1.0</v>
      </c>
      <c r="R13" s="2">
        <v>0.0</v>
      </c>
      <c r="S13" s="3" t="s">
        <v>206</v>
      </c>
      <c r="T13" s="3" t="s">
        <v>207</v>
      </c>
      <c r="U13" s="4">
        <v>1.0</v>
      </c>
      <c r="V13" s="4">
        <v>0.0</v>
      </c>
      <c r="W13" s="4">
        <v>0.0</v>
      </c>
      <c r="X13" s="3" t="s">
        <v>87</v>
      </c>
      <c r="Y13" s="3" t="s">
        <v>65</v>
      </c>
      <c r="Z13" s="3"/>
      <c r="AA13" s="5" t="str">
        <f t="shared" si="1"/>
        <v>Manual</v>
      </c>
      <c r="AB13" s="5">
        <f t="shared" si="2"/>
        <v>1</v>
      </c>
      <c r="AC13" s="5">
        <f t="shared" si="3"/>
        <v>0</v>
      </c>
      <c r="AD13" s="5">
        <f t="shared" si="4"/>
        <v>0</v>
      </c>
      <c r="AE13" s="5">
        <f t="shared" si="5"/>
        <v>1</v>
      </c>
      <c r="AF13" s="2" t="s">
        <v>221</v>
      </c>
    </row>
    <row r="14">
      <c r="A14" s="2" t="s">
        <v>222</v>
      </c>
      <c r="B14" s="2" t="s">
        <v>224</v>
      </c>
      <c r="C14" s="2" t="s">
        <v>157</v>
      </c>
      <c r="D14" s="2" t="s">
        <v>118</v>
      </c>
      <c r="E14" s="2" t="s">
        <v>225</v>
      </c>
      <c r="F14" s="2" t="s">
        <v>226</v>
      </c>
      <c r="G14" s="2" t="s">
        <v>225</v>
      </c>
      <c r="H14" s="2" t="s">
        <v>226</v>
      </c>
      <c r="I14" s="2" t="s">
        <v>227</v>
      </c>
      <c r="J14" s="2" t="s">
        <v>228</v>
      </c>
      <c r="K14" s="2"/>
      <c r="L14" s="2" t="s">
        <v>225</v>
      </c>
      <c r="M14" s="2" t="s">
        <v>226</v>
      </c>
      <c r="N14" s="2" t="s">
        <v>105</v>
      </c>
      <c r="O14" s="2">
        <v>0.0</v>
      </c>
      <c r="P14" s="2">
        <v>1.0</v>
      </c>
      <c r="Q14" s="2">
        <v>1.0</v>
      </c>
      <c r="R14" s="2">
        <v>0.0</v>
      </c>
      <c r="S14" s="3" t="s">
        <v>225</v>
      </c>
      <c r="T14" s="3" t="s">
        <v>226</v>
      </c>
      <c r="U14" s="4"/>
      <c r="V14" s="4"/>
      <c r="W14" s="3"/>
      <c r="X14" s="3" t="s">
        <v>87</v>
      </c>
      <c r="Y14" s="3" t="s">
        <v>65</v>
      </c>
      <c r="Z14" s="3"/>
      <c r="AA14" s="5" t="str">
        <f t="shared" si="1"/>
        <v>Auto</v>
      </c>
      <c r="AB14" s="5">
        <f t="shared" si="2"/>
        <v>0</v>
      </c>
      <c r="AC14" s="5">
        <f t="shared" si="3"/>
        <v>1</v>
      </c>
      <c r="AD14" s="5">
        <f t="shared" si="4"/>
        <v>1</v>
      </c>
      <c r="AE14" s="5">
        <f t="shared" si="5"/>
        <v>0</v>
      </c>
      <c r="AF14" s="2" t="s">
        <v>236</v>
      </c>
    </row>
    <row r="15">
      <c r="A15" s="2" t="s">
        <v>237</v>
      </c>
      <c r="B15" s="2" t="s">
        <v>238</v>
      </c>
      <c r="C15" s="2" t="s">
        <v>157</v>
      </c>
      <c r="D15" s="2" t="s">
        <v>118</v>
      </c>
      <c r="E15" s="2" t="s">
        <v>239</v>
      </c>
      <c r="F15" s="2" t="s">
        <v>240</v>
      </c>
      <c r="G15" s="2" t="s">
        <v>239</v>
      </c>
      <c r="H15" s="2" t="s">
        <v>240</v>
      </c>
      <c r="I15" s="2" t="s">
        <v>243</v>
      </c>
      <c r="J15" s="2" t="s">
        <v>244</v>
      </c>
      <c r="K15" s="2"/>
      <c r="L15" s="2" t="s">
        <v>239</v>
      </c>
      <c r="M15" s="2" t="s">
        <v>240</v>
      </c>
      <c r="N15" s="2" t="s">
        <v>105</v>
      </c>
      <c r="O15" s="2">
        <v>0.0</v>
      </c>
      <c r="P15" s="2">
        <v>1.0</v>
      </c>
      <c r="Q15" s="2">
        <v>1.0</v>
      </c>
      <c r="R15" s="2">
        <v>0.0</v>
      </c>
      <c r="S15" s="3" t="s">
        <v>239</v>
      </c>
      <c r="T15" s="3" t="s">
        <v>240</v>
      </c>
      <c r="U15" s="4">
        <v>1.0</v>
      </c>
      <c r="V15" s="4">
        <v>0.0</v>
      </c>
      <c r="W15" s="4">
        <v>0.0</v>
      </c>
      <c r="X15" s="3" t="s">
        <v>87</v>
      </c>
      <c r="Y15" s="3" t="s">
        <v>65</v>
      </c>
      <c r="Z15" s="3"/>
      <c r="AA15" s="5" t="str">
        <f t="shared" si="1"/>
        <v>Manual</v>
      </c>
      <c r="AB15" s="5">
        <f t="shared" si="2"/>
        <v>1</v>
      </c>
      <c r="AC15" s="5">
        <f t="shared" si="3"/>
        <v>0</v>
      </c>
      <c r="AD15" s="5">
        <f t="shared" si="4"/>
        <v>0</v>
      </c>
      <c r="AE15" s="5">
        <f t="shared" si="5"/>
        <v>1</v>
      </c>
      <c r="AF15" s="2" t="s">
        <v>254</v>
      </c>
    </row>
    <row r="16">
      <c r="A16" s="2" t="s">
        <v>255</v>
      </c>
      <c r="B16" s="2" t="s">
        <v>256</v>
      </c>
      <c r="C16" s="2" t="s">
        <v>157</v>
      </c>
      <c r="D16" s="2" t="s">
        <v>118</v>
      </c>
      <c r="E16" s="2" t="s">
        <v>226</v>
      </c>
      <c r="F16" s="2" t="s">
        <v>258</v>
      </c>
      <c r="G16" s="2" t="s">
        <v>226</v>
      </c>
      <c r="H16" s="2" t="s">
        <v>259</v>
      </c>
      <c r="I16" s="2" t="s">
        <v>260</v>
      </c>
      <c r="J16" s="2" t="s">
        <v>261</v>
      </c>
      <c r="K16" s="2" t="s">
        <v>226</v>
      </c>
      <c r="L16" s="2"/>
      <c r="M16" s="2" t="s">
        <v>240</v>
      </c>
      <c r="N16" s="2" t="s">
        <v>132</v>
      </c>
      <c r="O16" s="2">
        <v>1.0</v>
      </c>
      <c r="P16" s="2">
        <v>0.0</v>
      </c>
      <c r="Q16" s="2">
        <v>1.0</v>
      </c>
      <c r="R16" s="2">
        <v>0.0</v>
      </c>
      <c r="S16" s="3" t="s">
        <v>226</v>
      </c>
      <c r="T16" s="3" t="s">
        <v>258</v>
      </c>
      <c r="U16" s="4">
        <v>1.0</v>
      </c>
      <c r="V16" s="4">
        <v>0.0</v>
      </c>
      <c r="W16" s="4">
        <v>0.0</v>
      </c>
      <c r="X16" s="3" t="s">
        <v>87</v>
      </c>
      <c r="Y16" s="3" t="s">
        <v>65</v>
      </c>
      <c r="Z16" s="3"/>
      <c r="AA16" s="5" t="str">
        <f t="shared" si="1"/>
        <v>Manual</v>
      </c>
      <c r="AB16" s="5">
        <f t="shared" si="2"/>
        <v>1</v>
      </c>
      <c r="AC16" s="5">
        <f t="shared" si="3"/>
        <v>0</v>
      </c>
      <c r="AD16" s="5">
        <f t="shared" si="4"/>
        <v>0</v>
      </c>
      <c r="AE16" s="5">
        <f t="shared" si="5"/>
        <v>1</v>
      </c>
      <c r="AF16" s="2" t="s">
        <v>265</v>
      </c>
    </row>
    <row r="17">
      <c r="A17" s="2" t="s">
        <v>268</v>
      </c>
      <c r="B17" s="2" t="s">
        <v>269</v>
      </c>
      <c r="C17" s="2" t="s">
        <v>270</v>
      </c>
      <c r="D17" s="2" t="s">
        <v>75</v>
      </c>
      <c r="E17" s="2"/>
      <c r="F17" s="2" t="s">
        <v>271</v>
      </c>
      <c r="G17" s="2" t="s">
        <v>93</v>
      </c>
      <c r="H17" s="2" t="s">
        <v>273</v>
      </c>
      <c r="I17" s="2"/>
      <c r="J17" s="2" t="s">
        <v>275</v>
      </c>
      <c r="K17" s="2"/>
      <c r="L17" s="2"/>
      <c r="M17" s="2" t="s">
        <v>273</v>
      </c>
      <c r="N17" s="2" t="s">
        <v>95</v>
      </c>
      <c r="O17" s="2">
        <v>0.0</v>
      </c>
      <c r="P17" s="2">
        <v>0.0</v>
      </c>
      <c r="Q17" s="2">
        <v>1.0</v>
      </c>
      <c r="R17" s="2">
        <v>0.0</v>
      </c>
      <c r="S17" s="3"/>
      <c r="T17" s="3" t="s">
        <v>271</v>
      </c>
      <c r="U17" s="3"/>
      <c r="V17" s="3"/>
      <c r="W17" s="3"/>
      <c r="X17" s="3" t="s">
        <v>87</v>
      </c>
      <c r="Y17" s="3" t="s">
        <v>65</v>
      </c>
      <c r="Z17" s="3"/>
      <c r="AA17" s="5" t="str">
        <f t="shared" si="1"/>
        <v>Auto</v>
      </c>
      <c r="AB17" s="5">
        <f t="shared" si="2"/>
        <v>0</v>
      </c>
      <c r="AC17" s="5">
        <f t="shared" si="3"/>
        <v>0</v>
      </c>
      <c r="AD17" s="5">
        <f t="shared" si="4"/>
        <v>1</v>
      </c>
      <c r="AE17" s="5">
        <f t="shared" si="5"/>
        <v>0</v>
      </c>
      <c r="AF17" s="2" t="s">
        <v>282</v>
      </c>
    </row>
    <row r="18">
      <c r="A18" s="2" t="s">
        <v>284</v>
      </c>
      <c r="B18" s="2" t="s">
        <v>285</v>
      </c>
      <c r="C18" s="2" t="s">
        <v>270</v>
      </c>
      <c r="D18" s="2" t="s">
        <v>71</v>
      </c>
      <c r="E18" s="2" t="s">
        <v>286</v>
      </c>
      <c r="F18" s="2" t="s">
        <v>288</v>
      </c>
      <c r="G18" s="2" t="s">
        <v>289</v>
      </c>
      <c r="H18" s="2" t="s">
        <v>290</v>
      </c>
      <c r="I18" s="2" t="s">
        <v>291</v>
      </c>
      <c r="J18" s="2" t="s">
        <v>292</v>
      </c>
      <c r="K18" s="2"/>
      <c r="L18" s="2" t="s">
        <v>289</v>
      </c>
      <c r="M18" s="2" t="s">
        <v>290</v>
      </c>
      <c r="N18" s="2" t="s">
        <v>86</v>
      </c>
      <c r="O18" s="2">
        <v>0.0</v>
      </c>
      <c r="P18" s="2">
        <v>1.0</v>
      </c>
      <c r="Q18" s="2">
        <v>1.0</v>
      </c>
      <c r="R18" s="2">
        <v>0.0</v>
      </c>
      <c r="S18" s="3" t="s">
        <v>286</v>
      </c>
      <c r="T18" s="3" t="s">
        <v>288</v>
      </c>
      <c r="U18" s="4">
        <v>1.0</v>
      </c>
      <c r="V18" s="4">
        <v>0.0</v>
      </c>
      <c r="W18" s="4">
        <v>0.0</v>
      </c>
      <c r="X18" s="3" t="s">
        <v>87</v>
      </c>
      <c r="Y18" s="3" t="s">
        <v>65</v>
      </c>
      <c r="Z18" s="3"/>
      <c r="AA18" s="5" t="str">
        <f t="shared" si="1"/>
        <v>Manual</v>
      </c>
      <c r="AB18" s="5">
        <f t="shared" si="2"/>
        <v>1</v>
      </c>
      <c r="AC18" s="5">
        <f t="shared" si="3"/>
        <v>0</v>
      </c>
      <c r="AD18" s="5">
        <f t="shared" si="4"/>
        <v>0</v>
      </c>
      <c r="AE18" s="5">
        <f t="shared" si="5"/>
        <v>1</v>
      </c>
      <c r="AF18" s="2" t="s">
        <v>301</v>
      </c>
    </row>
    <row r="19">
      <c r="A19" s="2" t="s">
        <v>303</v>
      </c>
      <c r="B19" s="2" t="s">
        <v>304</v>
      </c>
      <c r="C19" s="2" t="s">
        <v>270</v>
      </c>
      <c r="D19" s="2" t="s">
        <v>71</v>
      </c>
      <c r="E19" s="2" t="s">
        <v>286</v>
      </c>
      <c r="F19" s="2" t="s">
        <v>288</v>
      </c>
      <c r="G19" s="2" t="s">
        <v>289</v>
      </c>
      <c r="H19" s="2" t="s">
        <v>290</v>
      </c>
      <c r="I19" s="2" t="s">
        <v>305</v>
      </c>
      <c r="J19" s="2" t="s">
        <v>306</v>
      </c>
      <c r="K19" s="2"/>
      <c r="L19" s="2" t="s">
        <v>289</v>
      </c>
      <c r="M19" s="2" t="s">
        <v>290</v>
      </c>
      <c r="N19" s="2" t="s">
        <v>86</v>
      </c>
      <c r="O19" s="2">
        <v>0.0</v>
      </c>
      <c r="P19" s="2">
        <v>1.0</v>
      </c>
      <c r="Q19" s="2">
        <v>1.0</v>
      </c>
      <c r="R19" s="2">
        <v>0.0</v>
      </c>
      <c r="S19" s="3" t="s">
        <v>286</v>
      </c>
      <c r="T19" s="3" t="s">
        <v>288</v>
      </c>
      <c r="U19" s="4">
        <v>1.0</v>
      </c>
      <c r="V19" s="4">
        <v>0.0</v>
      </c>
      <c r="W19" s="4">
        <v>0.0</v>
      </c>
      <c r="X19" s="3" t="s">
        <v>87</v>
      </c>
      <c r="Y19" s="3" t="s">
        <v>65</v>
      </c>
      <c r="Z19" s="3"/>
      <c r="AA19" s="5" t="str">
        <f t="shared" si="1"/>
        <v>Manual</v>
      </c>
      <c r="AB19" s="5">
        <f t="shared" si="2"/>
        <v>1</v>
      </c>
      <c r="AC19" s="5">
        <f t="shared" si="3"/>
        <v>0</v>
      </c>
      <c r="AD19" s="5">
        <f t="shared" si="4"/>
        <v>0</v>
      </c>
      <c r="AE19" s="5">
        <f t="shared" si="5"/>
        <v>1</v>
      </c>
      <c r="AF19" s="2" t="s">
        <v>313</v>
      </c>
    </row>
    <row r="20">
      <c r="A20" s="2" t="s">
        <v>314</v>
      </c>
      <c r="B20" s="2" t="s">
        <v>316</v>
      </c>
      <c r="C20" s="2" t="s">
        <v>270</v>
      </c>
      <c r="D20" s="2" t="s">
        <v>71</v>
      </c>
      <c r="E20" s="2" t="s">
        <v>286</v>
      </c>
      <c r="F20" s="2" t="s">
        <v>288</v>
      </c>
      <c r="G20" s="2" t="s">
        <v>289</v>
      </c>
      <c r="H20" s="2" t="s">
        <v>290</v>
      </c>
      <c r="I20" s="2" t="s">
        <v>321</v>
      </c>
      <c r="J20" s="2" t="s">
        <v>322</v>
      </c>
      <c r="K20" s="2"/>
      <c r="L20" s="2" t="s">
        <v>289</v>
      </c>
      <c r="M20" s="2" t="s">
        <v>290</v>
      </c>
      <c r="N20" s="2" t="s">
        <v>86</v>
      </c>
      <c r="O20" s="2">
        <v>0.0</v>
      </c>
      <c r="P20" s="2">
        <v>1.0</v>
      </c>
      <c r="Q20" s="2">
        <v>1.0</v>
      </c>
      <c r="R20" s="2">
        <v>0.0</v>
      </c>
      <c r="S20" s="3" t="s">
        <v>286</v>
      </c>
      <c r="T20" s="3" t="s">
        <v>288</v>
      </c>
      <c r="U20" s="4">
        <v>1.0</v>
      </c>
      <c r="V20" s="4">
        <v>0.0</v>
      </c>
      <c r="W20" s="4">
        <v>0.0</v>
      </c>
      <c r="X20" s="3" t="s">
        <v>87</v>
      </c>
      <c r="Y20" s="3" t="s">
        <v>65</v>
      </c>
      <c r="Z20" s="3"/>
      <c r="AA20" s="5" t="str">
        <f t="shared" si="1"/>
        <v>Manual</v>
      </c>
      <c r="AB20" s="5">
        <f t="shared" si="2"/>
        <v>1</v>
      </c>
      <c r="AC20" s="5">
        <f t="shared" si="3"/>
        <v>0</v>
      </c>
      <c r="AD20" s="5">
        <f t="shared" si="4"/>
        <v>0</v>
      </c>
      <c r="AE20" s="5">
        <f t="shared" si="5"/>
        <v>1</v>
      </c>
      <c r="AF20" s="2" t="s">
        <v>329</v>
      </c>
    </row>
    <row r="21" ht="15.75" customHeight="1">
      <c r="A21" s="2" t="s">
        <v>330</v>
      </c>
      <c r="B21" s="2" t="s">
        <v>331</v>
      </c>
      <c r="C21" s="2" t="s">
        <v>270</v>
      </c>
      <c r="D21" s="2" t="s">
        <v>71</v>
      </c>
      <c r="E21" s="2" t="s">
        <v>286</v>
      </c>
      <c r="F21" s="2" t="s">
        <v>288</v>
      </c>
      <c r="G21" s="2" t="s">
        <v>289</v>
      </c>
      <c r="H21" s="2" t="s">
        <v>290</v>
      </c>
      <c r="I21" s="2" t="s">
        <v>333</v>
      </c>
      <c r="J21" s="2" t="s">
        <v>334</v>
      </c>
      <c r="K21" s="2"/>
      <c r="L21" s="2" t="s">
        <v>289</v>
      </c>
      <c r="M21" s="2" t="s">
        <v>290</v>
      </c>
      <c r="N21" s="2" t="s">
        <v>86</v>
      </c>
      <c r="O21" s="2">
        <v>0.0</v>
      </c>
      <c r="P21" s="2">
        <v>1.0</v>
      </c>
      <c r="Q21" s="2">
        <v>1.0</v>
      </c>
      <c r="R21" s="2">
        <v>0.0</v>
      </c>
      <c r="S21" s="3" t="s">
        <v>286</v>
      </c>
      <c r="T21" s="3" t="s">
        <v>288</v>
      </c>
      <c r="U21" s="4">
        <v>1.0</v>
      </c>
      <c r="V21" s="4">
        <v>0.0</v>
      </c>
      <c r="W21" s="4">
        <v>0.0</v>
      </c>
      <c r="X21" s="3" t="s">
        <v>87</v>
      </c>
      <c r="Y21" s="3" t="s">
        <v>65</v>
      </c>
      <c r="Z21" s="3"/>
      <c r="AA21" s="5" t="str">
        <f t="shared" si="1"/>
        <v>Manual</v>
      </c>
      <c r="AB21" s="5">
        <f t="shared" si="2"/>
        <v>1</v>
      </c>
      <c r="AC21" s="5">
        <f t="shared" si="3"/>
        <v>0</v>
      </c>
      <c r="AD21" s="5">
        <f t="shared" si="4"/>
        <v>0</v>
      </c>
      <c r="AE21" s="5">
        <f t="shared" si="5"/>
        <v>1</v>
      </c>
      <c r="AF21" s="2" t="s">
        <v>339</v>
      </c>
    </row>
    <row r="22" ht="15.75" customHeight="1">
      <c r="A22" s="2" t="s">
        <v>340</v>
      </c>
      <c r="B22" s="2" t="s">
        <v>269</v>
      </c>
      <c r="C22" s="2" t="s">
        <v>270</v>
      </c>
      <c r="D22" s="2" t="s">
        <v>71</v>
      </c>
      <c r="E22" s="2" t="s">
        <v>341</v>
      </c>
      <c r="F22" s="2" t="s">
        <v>288</v>
      </c>
      <c r="G22" s="2" t="s">
        <v>342</v>
      </c>
      <c r="H22" s="2" t="s">
        <v>290</v>
      </c>
      <c r="I22" s="2" t="s">
        <v>343</v>
      </c>
      <c r="J22" s="2" t="s">
        <v>344</v>
      </c>
      <c r="K22" s="2"/>
      <c r="L22" s="2" t="s">
        <v>342</v>
      </c>
      <c r="M22" s="2" t="s">
        <v>290</v>
      </c>
      <c r="N22" s="2" t="s">
        <v>86</v>
      </c>
      <c r="O22" s="2">
        <v>0.0</v>
      </c>
      <c r="P22" s="2">
        <v>2.0</v>
      </c>
      <c r="Q22" s="2">
        <v>1.0</v>
      </c>
      <c r="R22" s="2">
        <v>0.0</v>
      </c>
      <c r="S22" s="3" t="s">
        <v>341</v>
      </c>
      <c r="T22" s="3" t="s">
        <v>288</v>
      </c>
      <c r="U22" s="4">
        <v>1.0</v>
      </c>
      <c r="V22" s="4">
        <v>0.0</v>
      </c>
      <c r="W22" s="4">
        <v>0.0</v>
      </c>
      <c r="X22" s="3" t="s">
        <v>87</v>
      </c>
      <c r="Y22" s="3" t="s">
        <v>65</v>
      </c>
      <c r="Z22" s="3"/>
      <c r="AA22" s="5" t="str">
        <f t="shared" si="1"/>
        <v>Manual</v>
      </c>
      <c r="AB22" s="5">
        <f t="shared" si="2"/>
        <v>1</v>
      </c>
      <c r="AC22" s="5">
        <f t="shared" si="3"/>
        <v>0</v>
      </c>
      <c r="AD22" s="5">
        <f t="shared" si="4"/>
        <v>0</v>
      </c>
      <c r="AE22" s="5">
        <f t="shared" si="5"/>
        <v>1</v>
      </c>
      <c r="AF22" s="2" t="s">
        <v>358</v>
      </c>
    </row>
    <row r="23" ht="15.75" customHeight="1">
      <c r="A23" s="2" t="s">
        <v>359</v>
      </c>
      <c r="B23" s="2" t="s">
        <v>360</v>
      </c>
      <c r="C23" s="2" t="s">
        <v>270</v>
      </c>
      <c r="D23" s="2" t="s">
        <v>71</v>
      </c>
      <c r="E23" s="2" t="s">
        <v>286</v>
      </c>
      <c r="F23" s="2" t="s">
        <v>288</v>
      </c>
      <c r="G23" s="2" t="s">
        <v>289</v>
      </c>
      <c r="H23" s="2" t="s">
        <v>290</v>
      </c>
      <c r="I23" s="2" t="s">
        <v>361</v>
      </c>
      <c r="J23" s="2" t="s">
        <v>362</v>
      </c>
      <c r="K23" s="2"/>
      <c r="L23" s="2" t="s">
        <v>289</v>
      </c>
      <c r="M23" s="2" t="s">
        <v>290</v>
      </c>
      <c r="N23" s="2" t="s">
        <v>86</v>
      </c>
      <c r="O23" s="2">
        <v>0.0</v>
      </c>
      <c r="P23" s="2">
        <v>1.0</v>
      </c>
      <c r="Q23" s="2">
        <v>1.0</v>
      </c>
      <c r="R23" s="2">
        <v>0.0</v>
      </c>
      <c r="S23" s="3" t="s">
        <v>286</v>
      </c>
      <c r="T23" s="3" t="s">
        <v>288</v>
      </c>
      <c r="U23" s="4">
        <v>1.0</v>
      </c>
      <c r="V23" s="4">
        <v>0.0</v>
      </c>
      <c r="W23" s="4">
        <v>0.0</v>
      </c>
      <c r="X23" s="3" t="s">
        <v>87</v>
      </c>
      <c r="Y23" s="3" t="s">
        <v>65</v>
      </c>
      <c r="Z23" s="3"/>
      <c r="AA23" s="5" t="str">
        <f t="shared" si="1"/>
        <v>Manual</v>
      </c>
      <c r="AB23" s="5">
        <f t="shared" si="2"/>
        <v>1</v>
      </c>
      <c r="AC23" s="5">
        <f t="shared" si="3"/>
        <v>0</v>
      </c>
      <c r="AD23" s="5">
        <f t="shared" si="4"/>
        <v>0</v>
      </c>
      <c r="AE23" s="5">
        <f t="shared" si="5"/>
        <v>1</v>
      </c>
      <c r="AF23" s="2" t="s">
        <v>371</v>
      </c>
    </row>
    <row r="24" ht="15.75" customHeight="1">
      <c r="A24" s="2" t="s">
        <v>373</v>
      </c>
      <c r="B24" s="2" t="s">
        <v>374</v>
      </c>
      <c r="C24" s="2" t="s">
        <v>270</v>
      </c>
      <c r="D24" s="2" t="s">
        <v>71</v>
      </c>
      <c r="E24" s="2" t="s">
        <v>286</v>
      </c>
      <c r="F24" s="2" t="s">
        <v>288</v>
      </c>
      <c r="G24" s="2" t="s">
        <v>289</v>
      </c>
      <c r="H24" s="2" t="s">
        <v>290</v>
      </c>
      <c r="I24" s="2" t="s">
        <v>361</v>
      </c>
      <c r="J24" s="2" t="s">
        <v>362</v>
      </c>
      <c r="K24" s="2"/>
      <c r="L24" s="2" t="s">
        <v>289</v>
      </c>
      <c r="M24" s="2" t="s">
        <v>290</v>
      </c>
      <c r="N24" s="2" t="s">
        <v>86</v>
      </c>
      <c r="O24" s="2">
        <v>0.0</v>
      </c>
      <c r="P24" s="2">
        <v>1.0</v>
      </c>
      <c r="Q24" s="2">
        <v>1.0</v>
      </c>
      <c r="R24" s="2">
        <v>0.0</v>
      </c>
      <c r="S24" s="3" t="s">
        <v>286</v>
      </c>
      <c r="T24" s="3" t="s">
        <v>288</v>
      </c>
      <c r="U24" s="4">
        <v>1.0</v>
      </c>
      <c r="V24" s="4">
        <v>0.0</v>
      </c>
      <c r="W24" s="4">
        <v>0.0</v>
      </c>
      <c r="X24" s="3" t="s">
        <v>87</v>
      </c>
      <c r="Y24" s="3" t="s">
        <v>65</v>
      </c>
      <c r="Z24" s="3"/>
      <c r="AA24" s="5" t="str">
        <f t="shared" si="1"/>
        <v>Manual</v>
      </c>
      <c r="AB24" s="5">
        <f t="shared" si="2"/>
        <v>1</v>
      </c>
      <c r="AC24" s="5">
        <f t="shared" si="3"/>
        <v>0</v>
      </c>
      <c r="AD24" s="5">
        <f t="shared" si="4"/>
        <v>0</v>
      </c>
      <c r="AE24" s="5">
        <f t="shared" si="5"/>
        <v>1</v>
      </c>
      <c r="AF24" s="2" t="s">
        <v>384</v>
      </c>
    </row>
    <row r="25" ht="15.75" customHeight="1">
      <c r="A25" s="2" t="s">
        <v>385</v>
      </c>
      <c r="B25" s="2" t="s">
        <v>386</v>
      </c>
      <c r="C25" s="2" t="s">
        <v>270</v>
      </c>
      <c r="D25" s="2" t="s">
        <v>71</v>
      </c>
      <c r="E25" s="2" t="s">
        <v>286</v>
      </c>
      <c r="F25" s="2" t="s">
        <v>288</v>
      </c>
      <c r="G25" s="2" t="s">
        <v>289</v>
      </c>
      <c r="H25" s="2" t="s">
        <v>290</v>
      </c>
      <c r="I25" s="2" t="s">
        <v>389</v>
      </c>
      <c r="J25" s="2" t="s">
        <v>344</v>
      </c>
      <c r="K25" s="2"/>
      <c r="L25" s="2" t="s">
        <v>289</v>
      </c>
      <c r="M25" s="2" t="s">
        <v>290</v>
      </c>
      <c r="N25" s="2" t="s">
        <v>86</v>
      </c>
      <c r="O25" s="2">
        <v>0.0</v>
      </c>
      <c r="P25" s="2">
        <v>1.0</v>
      </c>
      <c r="Q25" s="2">
        <v>1.0</v>
      </c>
      <c r="R25" s="2">
        <v>0.0</v>
      </c>
      <c r="S25" s="3" t="s">
        <v>286</v>
      </c>
      <c r="T25" s="3" t="s">
        <v>288</v>
      </c>
      <c r="U25" s="4">
        <v>1.0</v>
      </c>
      <c r="V25" s="4">
        <v>0.0</v>
      </c>
      <c r="W25" s="4">
        <v>0.0</v>
      </c>
      <c r="X25" s="3" t="s">
        <v>87</v>
      </c>
      <c r="Y25" s="3" t="s">
        <v>65</v>
      </c>
      <c r="Z25" s="3"/>
      <c r="AA25" s="5" t="str">
        <f t="shared" si="1"/>
        <v>Manual</v>
      </c>
      <c r="AB25" s="5">
        <f t="shared" si="2"/>
        <v>1</v>
      </c>
      <c r="AC25" s="5">
        <f t="shared" si="3"/>
        <v>0</v>
      </c>
      <c r="AD25" s="5">
        <f t="shared" si="4"/>
        <v>0</v>
      </c>
      <c r="AE25" s="5">
        <f t="shared" si="5"/>
        <v>1</v>
      </c>
      <c r="AF25" s="2" t="s">
        <v>396</v>
      </c>
    </row>
    <row r="26" ht="15.75" customHeight="1">
      <c r="A26" s="2" t="s">
        <v>397</v>
      </c>
      <c r="B26" s="2" t="s">
        <v>398</v>
      </c>
      <c r="C26" s="2" t="s">
        <v>270</v>
      </c>
      <c r="D26" s="2" t="s">
        <v>71</v>
      </c>
      <c r="E26" s="2" t="s">
        <v>286</v>
      </c>
      <c r="F26" s="2" t="s">
        <v>288</v>
      </c>
      <c r="G26" s="2" t="s">
        <v>289</v>
      </c>
      <c r="H26" s="2" t="s">
        <v>290</v>
      </c>
      <c r="I26" s="2" t="s">
        <v>401</v>
      </c>
      <c r="J26" s="2" t="s">
        <v>402</v>
      </c>
      <c r="K26" s="2"/>
      <c r="L26" s="2" t="s">
        <v>289</v>
      </c>
      <c r="M26" s="2" t="s">
        <v>290</v>
      </c>
      <c r="N26" s="2" t="s">
        <v>86</v>
      </c>
      <c r="O26" s="2">
        <v>0.0</v>
      </c>
      <c r="P26" s="2">
        <v>1.0</v>
      </c>
      <c r="Q26" s="2">
        <v>1.0</v>
      </c>
      <c r="R26" s="2">
        <v>0.0</v>
      </c>
      <c r="S26" s="3" t="s">
        <v>286</v>
      </c>
      <c r="T26" s="3" t="s">
        <v>288</v>
      </c>
      <c r="U26" s="4">
        <v>1.0</v>
      </c>
      <c r="V26" s="4">
        <v>0.0</v>
      </c>
      <c r="W26" s="4">
        <v>0.0</v>
      </c>
      <c r="X26" s="3" t="s">
        <v>87</v>
      </c>
      <c r="Y26" s="3" t="s">
        <v>65</v>
      </c>
      <c r="Z26" s="3"/>
      <c r="AA26" s="5" t="str">
        <f t="shared" si="1"/>
        <v>Manual</v>
      </c>
      <c r="AB26" s="5">
        <f t="shared" si="2"/>
        <v>1</v>
      </c>
      <c r="AC26" s="5">
        <f t="shared" si="3"/>
        <v>0</v>
      </c>
      <c r="AD26" s="5">
        <f t="shared" si="4"/>
        <v>0</v>
      </c>
      <c r="AE26" s="5">
        <f t="shared" si="5"/>
        <v>1</v>
      </c>
      <c r="AF26" s="2" t="s">
        <v>410</v>
      </c>
    </row>
    <row r="27" ht="15.75" customHeight="1">
      <c r="A27" s="2" t="s">
        <v>411</v>
      </c>
      <c r="B27" s="2" t="s">
        <v>412</v>
      </c>
      <c r="C27" s="2" t="s">
        <v>270</v>
      </c>
      <c r="D27" s="2" t="s">
        <v>118</v>
      </c>
      <c r="E27" s="2" t="s">
        <v>415</v>
      </c>
      <c r="F27" s="2" t="s">
        <v>416</v>
      </c>
      <c r="G27" s="2" t="s">
        <v>415</v>
      </c>
      <c r="H27" s="2" t="s">
        <v>416</v>
      </c>
      <c r="I27" s="2" t="s">
        <v>417</v>
      </c>
      <c r="J27" s="2" t="s">
        <v>418</v>
      </c>
      <c r="K27" s="2"/>
      <c r="L27" s="2" t="s">
        <v>415</v>
      </c>
      <c r="M27" s="2" t="s">
        <v>416</v>
      </c>
      <c r="N27" s="2" t="s">
        <v>105</v>
      </c>
      <c r="O27" s="2">
        <v>0.0</v>
      </c>
      <c r="P27" s="2">
        <v>1.0</v>
      </c>
      <c r="Q27" s="2">
        <v>1.0</v>
      </c>
      <c r="R27" s="2">
        <v>0.0</v>
      </c>
      <c r="S27" s="3" t="s">
        <v>415</v>
      </c>
      <c r="T27" s="3" t="s">
        <v>416</v>
      </c>
      <c r="U27" s="4">
        <v>1.0</v>
      </c>
      <c r="V27" s="4">
        <v>0.0</v>
      </c>
      <c r="W27" s="4">
        <v>0.0</v>
      </c>
      <c r="X27" s="3" t="s">
        <v>87</v>
      </c>
      <c r="Y27" s="3" t="s">
        <v>65</v>
      </c>
      <c r="Z27" s="3"/>
      <c r="AA27" s="5" t="str">
        <f t="shared" si="1"/>
        <v>Manual</v>
      </c>
      <c r="AB27" s="5">
        <f t="shared" si="2"/>
        <v>1</v>
      </c>
      <c r="AC27" s="5">
        <f t="shared" si="3"/>
        <v>0</v>
      </c>
      <c r="AD27" s="5">
        <f t="shared" si="4"/>
        <v>0</v>
      </c>
      <c r="AE27" s="5">
        <f t="shared" si="5"/>
        <v>1</v>
      </c>
      <c r="AF27" s="2" t="s">
        <v>431</v>
      </c>
    </row>
    <row r="28" ht="15.75" customHeight="1">
      <c r="A28" s="2" t="s">
        <v>433</v>
      </c>
      <c r="B28" s="2" t="s">
        <v>412</v>
      </c>
      <c r="C28" s="2" t="s">
        <v>270</v>
      </c>
      <c r="D28" s="2" t="s">
        <v>149</v>
      </c>
      <c r="E28" s="2" t="s">
        <v>434</v>
      </c>
      <c r="F28" s="2"/>
      <c r="G28" s="2" t="s">
        <v>434</v>
      </c>
      <c r="H28" s="2" t="s">
        <v>93</v>
      </c>
      <c r="I28" s="2" t="s">
        <v>435</v>
      </c>
      <c r="J28" s="2"/>
      <c r="K28" s="2"/>
      <c r="L28" s="2" t="s">
        <v>434</v>
      </c>
      <c r="M28" s="2"/>
      <c r="N28" s="2" t="s">
        <v>95</v>
      </c>
      <c r="O28" s="2">
        <v>0.0</v>
      </c>
      <c r="P28" s="2">
        <v>1.0</v>
      </c>
      <c r="Q28" s="2">
        <v>0.0</v>
      </c>
      <c r="R28" s="2">
        <v>0.0</v>
      </c>
      <c r="S28" s="3" t="s">
        <v>434</v>
      </c>
      <c r="T28" s="3"/>
      <c r="U28" s="3"/>
      <c r="V28" s="3"/>
      <c r="W28" s="3"/>
      <c r="X28" s="3" t="s">
        <v>87</v>
      </c>
      <c r="Y28" s="3" t="s">
        <v>65</v>
      </c>
      <c r="Z28" s="3"/>
      <c r="AA28" s="5" t="str">
        <f t="shared" si="1"/>
        <v>Auto</v>
      </c>
      <c r="AB28" s="5">
        <f t="shared" si="2"/>
        <v>0</v>
      </c>
      <c r="AC28" s="5">
        <f t="shared" si="3"/>
        <v>1</v>
      </c>
      <c r="AD28" s="5">
        <f t="shared" si="4"/>
        <v>0</v>
      </c>
      <c r="AE28" s="5">
        <f t="shared" si="5"/>
        <v>0</v>
      </c>
      <c r="AF28" s="2" t="s">
        <v>441</v>
      </c>
    </row>
    <row r="29" ht="15.75" customHeight="1">
      <c r="A29" s="2" t="s">
        <v>442</v>
      </c>
      <c r="B29" s="2" t="s">
        <v>443</v>
      </c>
      <c r="C29" s="2" t="s">
        <v>444</v>
      </c>
      <c r="D29" s="2" t="s">
        <v>75</v>
      </c>
      <c r="E29" s="2" t="s">
        <v>445</v>
      </c>
      <c r="F29" s="2" t="s">
        <v>446</v>
      </c>
      <c r="G29" s="2" t="s">
        <v>445</v>
      </c>
      <c r="H29" s="2" t="s">
        <v>447</v>
      </c>
      <c r="I29" s="2" t="s">
        <v>448</v>
      </c>
      <c r="J29" s="2" t="s">
        <v>449</v>
      </c>
      <c r="K29" s="2"/>
      <c r="L29" s="2" t="s">
        <v>445</v>
      </c>
      <c r="M29" s="2" t="s">
        <v>447</v>
      </c>
      <c r="N29" s="2" t="s">
        <v>105</v>
      </c>
      <c r="O29" s="2">
        <v>0.0</v>
      </c>
      <c r="P29" s="2">
        <v>1.0</v>
      </c>
      <c r="Q29" s="2">
        <v>1.0</v>
      </c>
      <c r="R29" s="2">
        <v>0.0</v>
      </c>
      <c r="S29" s="3" t="s">
        <v>445</v>
      </c>
      <c r="T29" s="3" t="s">
        <v>446</v>
      </c>
      <c r="U29" s="3"/>
      <c r="V29" s="3"/>
      <c r="W29" s="3"/>
      <c r="X29" s="3" t="s">
        <v>87</v>
      </c>
      <c r="Y29" s="3" t="s">
        <v>65</v>
      </c>
      <c r="Z29" s="3"/>
      <c r="AA29" s="5" t="str">
        <f t="shared" si="1"/>
        <v>Auto</v>
      </c>
      <c r="AB29" s="5">
        <f t="shared" si="2"/>
        <v>0</v>
      </c>
      <c r="AC29" s="5">
        <f t="shared" si="3"/>
        <v>1</v>
      </c>
      <c r="AD29" s="5">
        <f t="shared" si="4"/>
        <v>1</v>
      </c>
      <c r="AE29" s="5">
        <f t="shared" si="5"/>
        <v>0</v>
      </c>
      <c r="AF29" s="2" t="s">
        <v>455</v>
      </c>
    </row>
    <row r="30" ht="15.75" customHeight="1">
      <c r="A30" s="2" t="s">
        <v>456</v>
      </c>
      <c r="B30" s="2" t="s">
        <v>443</v>
      </c>
      <c r="C30" s="2" t="s">
        <v>444</v>
      </c>
      <c r="D30" s="2" t="s">
        <v>71</v>
      </c>
      <c r="E30" s="2" t="s">
        <v>459</v>
      </c>
      <c r="F30" s="2" t="s">
        <v>460</v>
      </c>
      <c r="G30" s="2" t="s">
        <v>461</v>
      </c>
      <c r="H30" s="2" t="s">
        <v>462</v>
      </c>
      <c r="I30" s="2" t="s">
        <v>463</v>
      </c>
      <c r="J30" s="2" t="s">
        <v>464</v>
      </c>
      <c r="K30" s="2"/>
      <c r="L30" s="2" t="s">
        <v>461</v>
      </c>
      <c r="M30" s="2" t="s">
        <v>462</v>
      </c>
      <c r="N30" s="2" t="s">
        <v>86</v>
      </c>
      <c r="O30" s="2">
        <v>0.0</v>
      </c>
      <c r="P30" s="2">
        <v>1.0</v>
      </c>
      <c r="Q30" s="2">
        <v>1.0</v>
      </c>
      <c r="R30" s="2">
        <v>0.0</v>
      </c>
      <c r="S30" s="3" t="s">
        <v>459</v>
      </c>
      <c r="T30" s="3" t="s">
        <v>460</v>
      </c>
      <c r="U30" s="3"/>
      <c r="V30" s="3"/>
      <c r="W30" s="3"/>
      <c r="X30" s="3" t="s">
        <v>87</v>
      </c>
      <c r="Y30" s="3" t="s">
        <v>65</v>
      </c>
      <c r="Z30" s="3"/>
      <c r="AA30" s="5" t="str">
        <f t="shared" si="1"/>
        <v>Auto</v>
      </c>
      <c r="AB30" s="5">
        <f t="shared" si="2"/>
        <v>0</v>
      </c>
      <c r="AC30" s="5">
        <f t="shared" si="3"/>
        <v>1</v>
      </c>
      <c r="AD30" s="5">
        <f t="shared" si="4"/>
        <v>1</v>
      </c>
      <c r="AE30" s="5">
        <f t="shared" si="5"/>
        <v>0</v>
      </c>
      <c r="AF30" s="2" t="s">
        <v>472</v>
      </c>
    </row>
    <row r="31" ht="15.75" customHeight="1">
      <c r="A31" s="2" t="s">
        <v>474</v>
      </c>
      <c r="B31" s="2" t="s">
        <v>476</v>
      </c>
      <c r="C31" s="2" t="s">
        <v>444</v>
      </c>
      <c r="D31" s="2" t="s">
        <v>71</v>
      </c>
      <c r="E31" s="2" t="s">
        <v>479</v>
      </c>
      <c r="F31" s="2" t="s">
        <v>480</v>
      </c>
      <c r="G31" s="2" t="s">
        <v>482</v>
      </c>
      <c r="H31" s="2" t="s">
        <v>483</v>
      </c>
      <c r="I31" s="2" t="s">
        <v>484</v>
      </c>
      <c r="J31" s="2" t="s">
        <v>485</v>
      </c>
      <c r="K31" s="2"/>
      <c r="L31" s="2" t="s">
        <v>482</v>
      </c>
      <c r="M31" s="2" t="s">
        <v>483</v>
      </c>
      <c r="N31" s="2" t="s">
        <v>86</v>
      </c>
      <c r="O31" s="2">
        <v>0.0</v>
      </c>
      <c r="P31" s="2">
        <v>1.0</v>
      </c>
      <c r="Q31" s="2">
        <v>1.0</v>
      </c>
      <c r="R31" s="2">
        <v>0.0</v>
      </c>
      <c r="S31" s="3" t="s">
        <v>479</v>
      </c>
      <c r="T31" s="3" t="s">
        <v>480</v>
      </c>
      <c r="U31" s="4">
        <v>1.0</v>
      </c>
      <c r="V31" s="4">
        <v>0.0</v>
      </c>
      <c r="W31" s="4">
        <v>0.0</v>
      </c>
      <c r="X31" s="3" t="s">
        <v>87</v>
      </c>
      <c r="Y31" s="3" t="s">
        <v>65</v>
      </c>
      <c r="Z31" s="3"/>
      <c r="AA31" s="5" t="str">
        <f t="shared" si="1"/>
        <v>Manual</v>
      </c>
      <c r="AB31" s="5">
        <f t="shared" si="2"/>
        <v>1</v>
      </c>
      <c r="AC31" s="5">
        <f t="shared" si="3"/>
        <v>0</v>
      </c>
      <c r="AD31" s="5">
        <f t="shared" si="4"/>
        <v>0</v>
      </c>
      <c r="AE31" s="5">
        <f t="shared" si="5"/>
        <v>1</v>
      </c>
      <c r="AF31" s="2" t="s">
        <v>492</v>
      </c>
    </row>
    <row r="32" ht="15.75" customHeight="1">
      <c r="A32" s="2" t="s">
        <v>493</v>
      </c>
      <c r="B32" s="2" t="s">
        <v>496</v>
      </c>
      <c r="C32" s="2" t="s">
        <v>444</v>
      </c>
      <c r="D32" s="2" t="s">
        <v>71</v>
      </c>
      <c r="E32" s="2"/>
      <c r="F32" s="2" t="s">
        <v>499</v>
      </c>
      <c r="G32" s="2" t="s">
        <v>93</v>
      </c>
      <c r="H32" s="2" t="s">
        <v>500</v>
      </c>
      <c r="I32" s="2"/>
      <c r="J32" s="2" t="s">
        <v>501</v>
      </c>
      <c r="K32" s="2"/>
      <c r="L32" s="2"/>
      <c r="M32" s="2" t="s">
        <v>500</v>
      </c>
      <c r="N32" s="2" t="s">
        <v>95</v>
      </c>
      <c r="O32" s="2">
        <v>0.0</v>
      </c>
      <c r="P32" s="2">
        <v>0.0</v>
      </c>
      <c r="Q32" s="2">
        <v>1.0</v>
      </c>
      <c r="R32" s="2">
        <v>0.0</v>
      </c>
      <c r="S32" s="3"/>
      <c r="T32" s="3" t="s">
        <v>499</v>
      </c>
      <c r="U32" s="3"/>
      <c r="V32" s="3"/>
      <c r="W32" s="3"/>
      <c r="X32" s="3" t="s">
        <v>87</v>
      </c>
      <c r="Y32" s="3" t="s">
        <v>65</v>
      </c>
      <c r="Z32" s="3"/>
      <c r="AA32" s="5" t="str">
        <f t="shared" si="1"/>
        <v>Auto</v>
      </c>
      <c r="AB32" s="5">
        <f t="shared" si="2"/>
        <v>0</v>
      </c>
      <c r="AC32" s="5">
        <f t="shared" si="3"/>
        <v>0</v>
      </c>
      <c r="AD32" s="5">
        <f t="shared" si="4"/>
        <v>1</v>
      </c>
      <c r="AE32" s="5">
        <f t="shared" si="5"/>
        <v>0</v>
      </c>
      <c r="AF32" s="2" t="s">
        <v>505</v>
      </c>
    </row>
    <row r="33" ht="15.75" customHeight="1">
      <c r="A33" s="2" t="s">
        <v>506</v>
      </c>
      <c r="B33" s="2" t="s">
        <v>443</v>
      </c>
      <c r="C33" s="2" t="s">
        <v>444</v>
      </c>
      <c r="D33" s="2" t="s">
        <v>118</v>
      </c>
      <c r="E33" s="2" t="s">
        <v>507</v>
      </c>
      <c r="F33" s="2" t="s">
        <v>135</v>
      </c>
      <c r="G33" s="2" t="s">
        <v>508</v>
      </c>
      <c r="H33" s="2" t="s">
        <v>135</v>
      </c>
      <c r="I33" s="2" t="s">
        <v>509</v>
      </c>
      <c r="J33" s="2" t="s">
        <v>510</v>
      </c>
      <c r="K33" s="2"/>
      <c r="L33" s="2" t="s">
        <v>508</v>
      </c>
      <c r="M33" s="2" t="s">
        <v>135</v>
      </c>
      <c r="N33" s="2" t="s">
        <v>105</v>
      </c>
      <c r="O33" s="2">
        <v>0.0</v>
      </c>
      <c r="P33" s="2">
        <v>1.0</v>
      </c>
      <c r="Q33" s="2">
        <v>1.0</v>
      </c>
      <c r="R33" s="2">
        <v>0.0</v>
      </c>
      <c r="S33" s="3" t="s">
        <v>507</v>
      </c>
      <c r="T33" s="3" t="s">
        <v>135</v>
      </c>
      <c r="U33" s="4">
        <v>1.0</v>
      </c>
      <c r="V33" s="4">
        <v>0.0</v>
      </c>
      <c r="W33" s="4">
        <v>0.0</v>
      </c>
      <c r="X33" s="3" t="s">
        <v>87</v>
      </c>
      <c r="Y33" s="3" t="s">
        <v>65</v>
      </c>
      <c r="Z33" s="3"/>
      <c r="AA33" s="5" t="str">
        <f t="shared" si="1"/>
        <v>Manual</v>
      </c>
      <c r="AB33" s="5">
        <f t="shared" si="2"/>
        <v>1</v>
      </c>
      <c r="AC33" s="5">
        <f t="shared" si="3"/>
        <v>0</v>
      </c>
      <c r="AD33" s="5">
        <f t="shared" si="4"/>
        <v>0</v>
      </c>
      <c r="AE33" s="5">
        <f t="shared" si="5"/>
        <v>1</v>
      </c>
      <c r="AF33" s="2" t="s">
        <v>516</v>
      </c>
    </row>
    <row r="34" ht="15.75" customHeight="1">
      <c r="A34" s="2" t="s">
        <v>517</v>
      </c>
      <c r="B34" s="2" t="s">
        <v>518</v>
      </c>
      <c r="C34" s="2" t="s">
        <v>519</v>
      </c>
      <c r="D34" s="2" t="s">
        <v>75</v>
      </c>
      <c r="E34" s="2" t="s">
        <v>522</v>
      </c>
      <c r="F34" s="2" t="s">
        <v>523</v>
      </c>
      <c r="G34" s="2" t="s">
        <v>524</v>
      </c>
      <c r="H34" s="2" t="s">
        <v>525</v>
      </c>
      <c r="I34" s="2" t="s">
        <v>526</v>
      </c>
      <c r="J34" s="2" t="s">
        <v>527</v>
      </c>
      <c r="K34" s="2"/>
      <c r="L34" s="2" t="s">
        <v>524</v>
      </c>
      <c r="M34" s="2" t="s">
        <v>525</v>
      </c>
      <c r="N34" s="2" t="s">
        <v>86</v>
      </c>
      <c r="O34" s="2">
        <v>0.0</v>
      </c>
      <c r="P34" s="2">
        <v>1.0</v>
      </c>
      <c r="Q34" s="2">
        <v>1.0</v>
      </c>
      <c r="R34" s="2">
        <v>0.0</v>
      </c>
      <c r="S34" s="3" t="s">
        <v>522</v>
      </c>
      <c r="T34" s="3" t="s">
        <v>523</v>
      </c>
      <c r="U34" s="4">
        <v>1.0</v>
      </c>
      <c r="V34" s="4">
        <v>0.0</v>
      </c>
      <c r="W34" s="4">
        <v>0.0</v>
      </c>
      <c r="X34" s="3" t="s">
        <v>87</v>
      </c>
      <c r="Y34" s="3" t="s">
        <v>65</v>
      </c>
      <c r="Z34" s="3"/>
      <c r="AA34" s="5" t="str">
        <f t="shared" si="1"/>
        <v>Manual</v>
      </c>
      <c r="AB34" s="5">
        <f t="shared" si="2"/>
        <v>1</v>
      </c>
      <c r="AC34" s="5">
        <f t="shared" si="3"/>
        <v>0</v>
      </c>
      <c r="AD34" s="5">
        <f t="shared" si="4"/>
        <v>0</v>
      </c>
      <c r="AE34" s="5">
        <f t="shared" si="5"/>
        <v>1</v>
      </c>
      <c r="AF34" s="2" t="s">
        <v>549</v>
      </c>
    </row>
    <row r="35" ht="15.75" customHeight="1">
      <c r="A35" s="2" t="s">
        <v>550</v>
      </c>
      <c r="B35" s="2" t="s">
        <v>552</v>
      </c>
      <c r="C35" s="2" t="s">
        <v>519</v>
      </c>
      <c r="D35" s="2" t="s">
        <v>71</v>
      </c>
      <c r="E35" s="2" t="s">
        <v>553</v>
      </c>
      <c r="F35" s="2" t="s">
        <v>554</v>
      </c>
      <c r="G35" s="2" t="s">
        <v>553</v>
      </c>
      <c r="H35" s="2" t="s">
        <v>555</v>
      </c>
      <c r="I35" s="2" t="s">
        <v>556</v>
      </c>
      <c r="J35" s="2" t="s">
        <v>557</v>
      </c>
      <c r="K35" s="2"/>
      <c r="L35" s="2" t="s">
        <v>553</v>
      </c>
      <c r="M35" s="2" t="s">
        <v>555</v>
      </c>
      <c r="N35" s="2" t="s">
        <v>105</v>
      </c>
      <c r="O35" s="2">
        <v>0.0</v>
      </c>
      <c r="P35" s="2">
        <v>1.0</v>
      </c>
      <c r="Q35" s="2">
        <v>1.0</v>
      </c>
      <c r="R35" s="2">
        <v>0.0</v>
      </c>
      <c r="S35" s="3" t="s">
        <v>553</v>
      </c>
      <c r="T35" s="3" t="s">
        <v>554</v>
      </c>
      <c r="U35" s="3"/>
      <c r="V35" s="3"/>
      <c r="W35" s="3"/>
      <c r="X35" s="3" t="s">
        <v>87</v>
      </c>
      <c r="Y35" s="3" t="s">
        <v>65</v>
      </c>
      <c r="Z35" s="3"/>
      <c r="AA35" s="5" t="str">
        <f t="shared" si="1"/>
        <v>Auto</v>
      </c>
      <c r="AB35" s="5">
        <f t="shared" si="2"/>
        <v>0</v>
      </c>
      <c r="AC35" s="5">
        <f t="shared" si="3"/>
        <v>1</v>
      </c>
      <c r="AD35" s="5">
        <f t="shared" si="4"/>
        <v>1</v>
      </c>
      <c r="AE35" s="5">
        <f t="shared" si="5"/>
        <v>0</v>
      </c>
      <c r="AF35" s="2" t="s">
        <v>573</v>
      </c>
    </row>
    <row r="36" ht="15.75" customHeight="1">
      <c r="A36" s="2" t="s">
        <v>574</v>
      </c>
      <c r="B36" s="2" t="s">
        <v>576</v>
      </c>
      <c r="C36" s="2" t="s">
        <v>519</v>
      </c>
      <c r="D36" s="2" t="s">
        <v>71</v>
      </c>
      <c r="E36" s="2" t="s">
        <v>577</v>
      </c>
      <c r="F36" s="2" t="s">
        <v>578</v>
      </c>
      <c r="G36" s="2" t="s">
        <v>577</v>
      </c>
      <c r="H36" s="2" t="s">
        <v>578</v>
      </c>
      <c r="I36" s="2" t="s">
        <v>579</v>
      </c>
      <c r="J36" s="2" t="s">
        <v>580</v>
      </c>
      <c r="K36" s="2"/>
      <c r="L36" s="2" t="s">
        <v>577</v>
      </c>
      <c r="M36" s="2" t="s">
        <v>578</v>
      </c>
      <c r="N36" s="2" t="s">
        <v>105</v>
      </c>
      <c r="O36" s="2">
        <v>0.0</v>
      </c>
      <c r="P36" s="2">
        <v>1.0</v>
      </c>
      <c r="Q36" s="2">
        <v>1.0</v>
      </c>
      <c r="R36" s="2">
        <v>0.0</v>
      </c>
      <c r="S36" s="3" t="s">
        <v>577</v>
      </c>
      <c r="T36" s="3" t="s">
        <v>578</v>
      </c>
      <c r="U36" s="3"/>
      <c r="V36" s="3"/>
      <c r="W36" s="3"/>
      <c r="X36" s="3" t="s">
        <v>87</v>
      </c>
      <c r="Y36" s="3" t="s">
        <v>65</v>
      </c>
      <c r="Z36" s="3"/>
      <c r="AA36" s="5" t="str">
        <f t="shared" si="1"/>
        <v>Auto</v>
      </c>
      <c r="AB36" s="5">
        <f t="shared" si="2"/>
        <v>0</v>
      </c>
      <c r="AC36" s="5">
        <f t="shared" si="3"/>
        <v>1</v>
      </c>
      <c r="AD36" s="5">
        <f t="shared" si="4"/>
        <v>1</v>
      </c>
      <c r="AE36" s="5">
        <f t="shared" si="5"/>
        <v>0</v>
      </c>
      <c r="AF36" s="2" t="s">
        <v>594</v>
      </c>
    </row>
    <row r="37" ht="15.75" customHeight="1">
      <c r="A37" s="2" t="s">
        <v>596</v>
      </c>
      <c r="B37" s="2" t="s">
        <v>598</v>
      </c>
      <c r="C37" s="2" t="s">
        <v>519</v>
      </c>
      <c r="D37" s="2" t="s">
        <v>71</v>
      </c>
      <c r="E37" s="2" t="s">
        <v>553</v>
      </c>
      <c r="F37" s="2" t="s">
        <v>600</v>
      </c>
      <c r="G37" s="2" t="s">
        <v>553</v>
      </c>
      <c r="H37" s="2" t="s">
        <v>602</v>
      </c>
      <c r="I37" s="2" t="s">
        <v>603</v>
      </c>
      <c r="J37" s="2" t="s">
        <v>605</v>
      </c>
      <c r="K37" s="2"/>
      <c r="L37" s="2" t="s">
        <v>553</v>
      </c>
      <c r="M37" s="2" t="s">
        <v>602</v>
      </c>
      <c r="N37" s="2" t="s">
        <v>105</v>
      </c>
      <c r="O37" s="2">
        <v>0.0</v>
      </c>
      <c r="P37" s="2">
        <v>1.0</v>
      </c>
      <c r="Q37" s="2">
        <v>1.0</v>
      </c>
      <c r="R37" s="2">
        <v>0.0</v>
      </c>
      <c r="S37" s="3" t="s">
        <v>553</v>
      </c>
      <c r="T37" s="3" t="s">
        <v>600</v>
      </c>
      <c r="U37" s="3"/>
      <c r="V37" s="3"/>
      <c r="W37" s="3"/>
      <c r="X37" s="3" t="s">
        <v>87</v>
      </c>
      <c r="Y37" s="3" t="s">
        <v>65</v>
      </c>
      <c r="Z37" s="3"/>
      <c r="AA37" s="5" t="str">
        <f t="shared" si="1"/>
        <v>Auto</v>
      </c>
      <c r="AB37" s="5">
        <f t="shared" si="2"/>
        <v>0</v>
      </c>
      <c r="AC37" s="5">
        <f t="shared" si="3"/>
        <v>1</v>
      </c>
      <c r="AD37" s="5">
        <f t="shared" si="4"/>
        <v>1</v>
      </c>
      <c r="AE37" s="5">
        <f t="shared" si="5"/>
        <v>0</v>
      </c>
      <c r="AF37" s="2" t="s">
        <v>621</v>
      </c>
    </row>
    <row r="38" ht="15.75" customHeight="1">
      <c r="A38" s="2" t="s">
        <v>623</v>
      </c>
      <c r="B38" s="2" t="s">
        <v>518</v>
      </c>
      <c r="C38" s="2" t="s">
        <v>519</v>
      </c>
      <c r="D38" s="2" t="s">
        <v>71</v>
      </c>
      <c r="E38" s="2" t="s">
        <v>624</v>
      </c>
      <c r="F38" s="2" t="s">
        <v>625</v>
      </c>
      <c r="G38" s="2" t="s">
        <v>626</v>
      </c>
      <c r="H38" s="2" t="s">
        <v>628</v>
      </c>
      <c r="I38" s="2" t="s">
        <v>630</v>
      </c>
      <c r="J38" s="2" t="s">
        <v>631</v>
      </c>
      <c r="K38" s="2"/>
      <c r="L38" s="2" t="s">
        <v>626</v>
      </c>
      <c r="M38" s="2" t="s">
        <v>628</v>
      </c>
      <c r="N38" s="2" t="s">
        <v>86</v>
      </c>
      <c r="O38" s="2">
        <v>0.0</v>
      </c>
      <c r="P38" s="2">
        <v>1.0</v>
      </c>
      <c r="Q38" s="2">
        <v>1.0</v>
      </c>
      <c r="R38" s="2">
        <v>0.0</v>
      </c>
      <c r="S38" s="3" t="s">
        <v>624</v>
      </c>
      <c r="T38" s="3" t="s">
        <v>625</v>
      </c>
      <c r="U38" s="4">
        <v>1.0</v>
      </c>
      <c r="V38" s="4">
        <v>0.0</v>
      </c>
      <c r="W38" s="4">
        <v>0.0</v>
      </c>
      <c r="X38" s="3" t="s">
        <v>87</v>
      </c>
      <c r="Y38" s="3" t="s">
        <v>65</v>
      </c>
      <c r="Z38" s="3"/>
      <c r="AA38" s="5" t="str">
        <f t="shared" si="1"/>
        <v>Manual</v>
      </c>
      <c r="AB38" s="5">
        <f t="shared" si="2"/>
        <v>1</v>
      </c>
      <c r="AC38" s="5">
        <f t="shared" si="3"/>
        <v>0</v>
      </c>
      <c r="AD38" s="5">
        <f t="shared" si="4"/>
        <v>0</v>
      </c>
      <c r="AE38" s="5">
        <f t="shared" si="5"/>
        <v>1</v>
      </c>
      <c r="AF38" s="2" t="s">
        <v>640</v>
      </c>
    </row>
    <row r="39" ht="15.75" customHeight="1">
      <c r="A39" s="2" t="s">
        <v>641</v>
      </c>
      <c r="B39" s="2" t="s">
        <v>643</v>
      </c>
      <c r="C39" s="2" t="s">
        <v>519</v>
      </c>
      <c r="D39" s="2" t="s">
        <v>71</v>
      </c>
      <c r="E39" s="2" t="s">
        <v>645</v>
      </c>
      <c r="F39" s="2" t="s">
        <v>647</v>
      </c>
      <c r="G39" s="2" t="s">
        <v>648</v>
      </c>
      <c r="H39" s="2" t="s">
        <v>647</v>
      </c>
      <c r="I39" s="2" t="s">
        <v>649</v>
      </c>
      <c r="J39" s="2" t="s">
        <v>650</v>
      </c>
      <c r="K39" s="2"/>
      <c r="L39" s="2" t="s">
        <v>648</v>
      </c>
      <c r="M39" s="2" t="s">
        <v>647</v>
      </c>
      <c r="N39" s="2" t="s">
        <v>86</v>
      </c>
      <c r="O39" s="2">
        <v>0.0</v>
      </c>
      <c r="P39" s="2">
        <v>1.0</v>
      </c>
      <c r="Q39" s="2">
        <v>1.0</v>
      </c>
      <c r="R39" s="2">
        <v>0.0</v>
      </c>
      <c r="S39" s="3" t="s">
        <v>645</v>
      </c>
      <c r="T39" s="3" t="s">
        <v>647</v>
      </c>
      <c r="U39" s="4">
        <v>1.0</v>
      </c>
      <c r="V39" s="4">
        <v>0.0</v>
      </c>
      <c r="W39" s="4">
        <v>0.0</v>
      </c>
      <c r="X39" s="3" t="s">
        <v>87</v>
      </c>
      <c r="Y39" s="3" t="s">
        <v>65</v>
      </c>
      <c r="Z39" s="3"/>
      <c r="AA39" s="5" t="str">
        <f t="shared" si="1"/>
        <v>Manual</v>
      </c>
      <c r="AB39" s="5">
        <f t="shared" si="2"/>
        <v>1</v>
      </c>
      <c r="AC39" s="5">
        <f t="shared" si="3"/>
        <v>0</v>
      </c>
      <c r="AD39" s="5">
        <f t="shared" si="4"/>
        <v>0</v>
      </c>
      <c r="AE39" s="5">
        <f t="shared" si="5"/>
        <v>1</v>
      </c>
      <c r="AF39" s="2" t="s">
        <v>659</v>
      </c>
    </row>
    <row r="40" ht="15.75" customHeight="1">
      <c r="A40" s="2" t="s">
        <v>660</v>
      </c>
      <c r="B40" s="2" t="s">
        <v>661</v>
      </c>
      <c r="C40" s="2" t="s">
        <v>519</v>
      </c>
      <c r="D40" s="2" t="s">
        <v>71</v>
      </c>
      <c r="E40" s="2" t="s">
        <v>662</v>
      </c>
      <c r="F40" s="2" t="s">
        <v>663</v>
      </c>
      <c r="G40" s="2" t="s">
        <v>664</v>
      </c>
      <c r="H40" s="2" t="s">
        <v>663</v>
      </c>
      <c r="I40" s="2" t="s">
        <v>665</v>
      </c>
      <c r="J40" s="2" t="s">
        <v>666</v>
      </c>
      <c r="K40" s="2"/>
      <c r="L40" s="2" t="s">
        <v>664</v>
      </c>
      <c r="M40" s="2" t="s">
        <v>663</v>
      </c>
      <c r="N40" s="2" t="s">
        <v>86</v>
      </c>
      <c r="O40" s="2">
        <v>0.0</v>
      </c>
      <c r="P40" s="2">
        <v>1.0</v>
      </c>
      <c r="Q40" s="2">
        <v>1.0</v>
      </c>
      <c r="R40" s="2">
        <v>0.0</v>
      </c>
      <c r="S40" s="3" t="s">
        <v>662</v>
      </c>
      <c r="T40" s="3" t="s">
        <v>663</v>
      </c>
      <c r="U40" s="4">
        <v>1.0</v>
      </c>
      <c r="V40" s="4">
        <v>0.0</v>
      </c>
      <c r="W40" s="4">
        <v>0.0</v>
      </c>
      <c r="X40" s="3" t="s">
        <v>87</v>
      </c>
      <c r="Y40" s="3" t="s">
        <v>65</v>
      </c>
      <c r="Z40" s="3"/>
      <c r="AA40" s="5" t="str">
        <f t="shared" si="1"/>
        <v>Manual</v>
      </c>
      <c r="AB40" s="5">
        <f t="shared" si="2"/>
        <v>1</v>
      </c>
      <c r="AC40" s="5">
        <f t="shared" si="3"/>
        <v>0</v>
      </c>
      <c r="AD40" s="5">
        <f t="shared" si="4"/>
        <v>0</v>
      </c>
      <c r="AE40" s="5">
        <f t="shared" si="5"/>
        <v>1</v>
      </c>
      <c r="AF40" s="2" t="s">
        <v>675</v>
      </c>
    </row>
    <row r="41" ht="15.75" customHeight="1">
      <c r="A41" s="2" t="s">
        <v>677</v>
      </c>
      <c r="B41" s="2" t="s">
        <v>678</v>
      </c>
      <c r="C41" s="2" t="s">
        <v>519</v>
      </c>
      <c r="D41" s="2" t="s">
        <v>149</v>
      </c>
      <c r="E41" s="2" t="s">
        <v>679</v>
      </c>
      <c r="F41" s="2" t="s">
        <v>680</v>
      </c>
      <c r="G41" s="2" t="s">
        <v>679</v>
      </c>
      <c r="H41" s="2" t="s">
        <v>680</v>
      </c>
      <c r="I41" s="2" t="s">
        <v>681</v>
      </c>
      <c r="J41" s="2" t="s">
        <v>682</v>
      </c>
      <c r="K41" s="2"/>
      <c r="L41" s="2" t="s">
        <v>679</v>
      </c>
      <c r="M41" s="2" t="s">
        <v>680</v>
      </c>
      <c r="N41" s="2" t="s">
        <v>86</v>
      </c>
      <c r="O41" s="2">
        <v>0.0</v>
      </c>
      <c r="P41" s="2">
        <v>1.0</v>
      </c>
      <c r="Q41" s="2">
        <v>1.0</v>
      </c>
      <c r="R41" s="2">
        <v>0.0</v>
      </c>
      <c r="S41" s="3" t="s">
        <v>679</v>
      </c>
      <c r="T41" s="3" t="s">
        <v>680</v>
      </c>
      <c r="U41" s="4">
        <v>1.0</v>
      </c>
      <c r="V41" s="4">
        <v>0.0</v>
      </c>
      <c r="W41" s="4">
        <v>0.0</v>
      </c>
      <c r="X41" s="3" t="s">
        <v>87</v>
      </c>
      <c r="Y41" s="3" t="s">
        <v>65</v>
      </c>
      <c r="Z41" s="3"/>
      <c r="AA41" s="5" t="str">
        <f t="shared" si="1"/>
        <v>Manual</v>
      </c>
      <c r="AB41" s="5">
        <f t="shared" si="2"/>
        <v>1</v>
      </c>
      <c r="AC41" s="5">
        <f t="shared" si="3"/>
        <v>0</v>
      </c>
      <c r="AD41" s="5">
        <f t="shared" si="4"/>
        <v>0</v>
      </c>
      <c r="AE41" s="5">
        <f t="shared" si="5"/>
        <v>1</v>
      </c>
      <c r="AF41" s="2" t="s">
        <v>689</v>
      </c>
    </row>
    <row r="42" ht="15.75" customHeight="1">
      <c r="A42" s="2" t="s">
        <v>691</v>
      </c>
      <c r="B42" s="2" t="s">
        <v>693</v>
      </c>
      <c r="C42" s="2" t="s">
        <v>694</v>
      </c>
      <c r="D42" s="2" t="s">
        <v>71</v>
      </c>
      <c r="E42" s="2"/>
      <c r="F42" s="2" t="s">
        <v>500</v>
      </c>
      <c r="G42" s="2" t="s">
        <v>93</v>
      </c>
      <c r="H42" s="2" t="s">
        <v>500</v>
      </c>
      <c r="I42" s="2"/>
      <c r="J42" s="2" t="s">
        <v>695</v>
      </c>
      <c r="K42" s="2"/>
      <c r="L42" s="2"/>
      <c r="M42" s="2" t="s">
        <v>500</v>
      </c>
      <c r="N42" s="2" t="s">
        <v>95</v>
      </c>
      <c r="O42" s="2">
        <v>0.0</v>
      </c>
      <c r="P42" s="2">
        <v>0.0</v>
      </c>
      <c r="Q42" s="2">
        <v>1.0</v>
      </c>
      <c r="R42" s="2">
        <v>0.0</v>
      </c>
      <c r="S42" s="3"/>
      <c r="T42" s="3" t="s">
        <v>500</v>
      </c>
      <c r="U42" s="3"/>
      <c r="V42" s="3"/>
      <c r="W42" s="3"/>
      <c r="X42" s="3" t="s">
        <v>87</v>
      </c>
      <c r="Y42" s="3" t="s">
        <v>65</v>
      </c>
      <c r="Z42" s="3"/>
      <c r="AA42" s="5" t="str">
        <f t="shared" si="1"/>
        <v>Auto</v>
      </c>
      <c r="AB42" s="5">
        <f t="shared" si="2"/>
        <v>0</v>
      </c>
      <c r="AC42" s="5">
        <f t="shared" si="3"/>
        <v>0</v>
      </c>
      <c r="AD42" s="5">
        <f t="shared" si="4"/>
        <v>1</v>
      </c>
      <c r="AE42" s="5">
        <f t="shared" si="5"/>
        <v>0</v>
      </c>
      <c r="AF42" s="2" t="s">
        <v>705</v>
      </c>
    </row>
    <row r="43" ht="15.75" customHeight="1">
      <c r="A43" s="2" t="s">
        <v>706</v>
      </c>
      <c r="B43" s="2" t="s">
        <v>707</v>
      </c>
      <c r="C43" s="2" t="s">
        <v>694</v>
      </c>
      <c r="D43" s="2" t="s">
        <v>71</v>
      </c>
      <c r="E43" s="2"/>
      <c r="F43" s="2" t="s">
        <v>500</v>
      </c>
      <c r="G43" s="2" t="s">
        <v>93</v>
      </c>
      <c r="H43" s="2" t="s">
        <v>500</v>
      </c>
      <c r="I43" s="2"/>
      <c r="J43" s="2" t="s">
        <v>695</v>
      </c>
      <c r="K43" s="2"/>
      <c r="L43" s="2"/>
      <c r="M43" s="2" t="s">
        <v>500</v>
      </c>
      <c r="N43" s="2" t="s">
        <v>95</v>
      </c>
      <c r="O43" s="2">
        <v>0.0</v>
      </c>
      <c r="P43" s="2">
        <v>0.0</v>
      </c>
      <c r="Q43" s="2">
        <v>1.0</v>
      </c>
      <c r="R43" s="2">
        <v>0.0</v>
      </c>
      <c r="S43" s="3"/>
      <c r="T43" s="3" t="s">
        <v>500</v>
      </c>
      <c r="U43" s="3"/>
      <c r="V43" s="3"/>
      <c r="W43" s="3"/>
      <c r="X43" s="3" t="s">
        <v>87</v>
      </c>
      <c r="Y43" s="3" t="s">
        <v>65</v>
      </c>
      <c r="Z43" s="3"/>
      <c r="AA43" s="5" t="str">
        <f t="shared" si="1"/>
        <v>Auto</v>
      </c>
      <c r="AB43" s="5">
        <f t="shared" si="2"/>
        <v>0</v>
      </c>
      <c r="AC43" s="5">
        <f t="shared" si="3"/>
        <v>0</v>
      </c>
      <c r="AD43" s="5">
        <f t="shared" si="4"/>
        <v>1</v>
      </c>
      <c r="AE43" s="5">
        <f t="shared" si="5"/>
        <v>0</v>
      </c>
      <c r="AF43" s="2" t="s">
        <v>714</v>
      </c>
    </row>
    <row r="44" ht="15.75" customHeight="1">
      <c r="A44" s="2" t="s">
        <v>717</v>
      </c>
      <c r="B44" s="2" t="s">
        <v>718</v>
      </c>
      <c r="C44" s="2" t="s">
        <v>694</v>
      </c>
      <c r="D44" s="2" t="s">
        <v>71</v>
      </c>
      <c r="E44" s="2"/>
      <c r="F44" s="2" t="s">
        <v>500</v>
      </c>
      <c r="G44" s="2" t="s">
        <v>93</v>
      </c>
      <c r="H44" s="2" t="s">
        <v>500</v>
      </c>
      <c r="I44" s="2"/>
      <c r="J44" s="2" t="s">
        <v>719</v>
      </c>
      <c r="K44" s="2"/>
      <c r="L44" s="2"/>
      <c r="M44" s="2" t="s">
        <v>500</v>
      </c>
      <c r="N44" s="2" t="s">
        <v>95</v>
      </c>
      <c r="O44" s="2">
        <v>0.0</v>
      </c>
      <c r="P44" s="2">
        <v>0.0</v>
      </c>
      <c r="Q44" s="2">
        <v>1.0</v>
      </c>
      <c r="R44" s="2">
        <v>0.0</v>
      </c>
      <c r="S44" s="3"/>
      <c r="T44" s="3" t="s">
        <v>500</v>
      </c>
      <c r="U44" s="3"/>
      <c r="V44" s="3"/>
      <c r="W44" s="3"/>
      <c r="X44" s="3" t="s">
        <v>87</v>
      </c>
      <c r="Y44" s="3" t="s">
        <v>65</v>
      </c>
      <c r="Z44" s="3"/>
      <c r="AA44" s="5" t="str">
        <f t="shared" si="1"/>
        <v>Auto</v>
      </c>
      <c r="AB44" s="5">
        <f t="shared" si="2"/>
        <v>0</v>
      </c>
      <c r="AC44" s="5">
        <f t="shared" si="3"/>
        <v>0</v>
      </c>
      <c r="AD44" s="5">
        <f t="shared" si="4"/>
        <v>1</v>
      </c>
      <c r="AE44" s="5">
        <f t="shared" si="5"/>
        <v>0</v>
      </c>
      <c r="AF44" s="2" t="s">
        <v>729</v>
      </c>
    </row>
    <row r="45" ht="15.75" customHeight="1">
      <c r="A45" s="2" t="s">
        <v>730</v>
      </c>
      <c r="B45" s="2" t="s">
        <v>731</v>
      </c>
      <c r="C45" s="2" t="s">
        <v>694</v>
      </c>
      <c r="D45" s="2" t="s">
        <v>71</v>
      </c>
      <c r="E45" s="2"/>
      <c r="F45" s="2" t="s">
        <v>500</v>
      </c>
      <c r="G45" s="2" t="s">
        <v>93</v>
      </c>
      <c r="H45" s="2" t="s">
        <v>500</v>
      </c>
      <c r="I45" s="2"/>
      <c r="J45" s="2" t="s">
        <v>734</v>
      </c>
      <c r="K45" s="2"/>
      <c r="L45" s="2"/>
      <c r="M45" s="2" t="s">
        <v>500</v>
      </c>
      <c r="N45" s="2" t="s">
        <v>95</v>
      </c>
      <c r="O45" s="2">
        <v>0.0</v>
      </c>
      <c r="P45" s="2">
        <v>0.0</v>
      </c>
      <c r="Q45" s="2">
        <v>1.0</v>
      </c>
      <c r="R45" s="2">
        <v>0.0</v>
      </c>
      <c r="S45" s="3"/>
      <c r="T45" s="3" t="s">
        <v>500</v>
      </c>
      <c r="U45" s="3"/>
      <c r="V45" s="3"/>
      <c r="W45" s="3"/>
      <c r="X45" s="3" t="s">
        <v>87</v>
      </c>
      <c r="Y45" s="3" t="s">
        <v>65</v>
      </c>
      <c r="Z45" s="3"/>
      <c r="AA45" s="5" t="str">
        <f t="shared" si="1"/>
        <v>Auto</v>
      </c>
      <c r="AB45" s="5">
        <f t="shared" si="2"/>
        <v>0</v>
      </c>
      <c r="AC45" s="5">
        <f t="shared" si="3"/>
        <v>0</v>
      </c>
      <c r="AD45" s="5">
        <f t="shared" si="4"/>
        <v>1</v>
      </c>
      <c r="AE45" s="5">
        <f t="shared" si="5"/>
        <v>0</v>
      </c>
      <c r="AF45" s="2" t="s">
        <v>741</v>
      </c>
    </row>
    <row r="46" ht="15.75" customHeight="1">
      <c r="A46" s="2" t="s">
        <v>742</v>
      </c>
      <c r="B46" s="2" t="s">
        <v>744</v>
      </c>
      <c r="C46" s="2" t="s">
        <v>694</v>
      </c>
      <c r="D46" s="2" t="s">
        <v>71</v>
      </c>
      <c r="E46" s="2"/>
      <c r="F46" s="2" t="s">
        <v>500</v>
      </c>
      <c r="G46" s="2" t="s">
        <v>93</v>
      </c>
      <c r="H46" s="2" t="s">
        <v>500</v>
      </c>
      <c r="I46" s="2"/>
      <c r="J46" s="2" t="s">
        <v>719</v>
      </c>
      <c r="K46" s="2"/>
      <c r="L46" s="2"/>
      <c r="M46" s="2" t="s">
        <v>500</v>
      </c>
      <c r="N46" s="2" t="s">
        <v>95</v>
      </c>
      <c r="O46" s="2">
        <v>0.0</v>
      </c>
      <c r="P46" s="2">
        <v>0.0</v>
      </c>
      <c r="Q46" s="2">
        <v>1.0</v>
      </c>
      <c r="R46" s="2">
        <v>0.0</v>
      </c>
      <c r="S46" s="3"/>
      <c r="T46" s="3" t="s">
        <v>500</v>
      </c>
      <c r="U46" s="3"/>
      <c r="V46" s="3"/>
      <c r="W46" s="3"/>
      <c r="X46" s="3" t="s">
        <v>87</v>
      </c>
      <c r="Y46" s="3" t="s">
        <v>65</v>
      </c>
      <c r="Z46" s="3"/>
      <c r="AA46" s="5" t="str">
        <f t="shared" si="1"/>
        <v>Auto</v>
      </c>
      <c r="AB46" s="5">
        <f t="shared" si="2"/>
        <v>0</v>
      </c>
      <c r="AC46" s="5">
        <f t="shared" si="3"/>
        <v>0</v>
      </c>
      <c r="AD46" s="5">
        <f t="shared" si="4"/>
        <v>1</v>
      </c>
      <c r="AE46" s="5">
        <f t="shared" si="5"/>
        <v>0</v>
      </c>
      <c r="AF46" s="2" t="s">
        <v>755</v>
      </c>
    </row>
    <row r="47" ht="15.75" customHeight="1">
      <c r="A47" s="2" t="s">
        <v>756</v>
      </c>
      <c r="B47" s="2" t="s">
        <v>757</v>
      </c>
      <c r="C47" s="2" t="s">
        <v>694</v>
      </c>
      <c r="D47" s="2" t="s">
        <v>71</v>
      </c>
      <c r="E47" s="2"/>
      <c r="F47" s="2" t="s">
        <v>500</v>
      </c>
      <c r="G47" s="2" t="s">
        <v>93</v>
      </c>
      <c r="H47" s="2" t="s">
        <v>500</v>
      </c>
      <c r="I47" s="2"/>
      <c r="J47" s="2" t="s">
        <v>734</v>
      </c>
      <c r="K47" s="2"/>
      <c r="L47" s="2"/>
      <c r="M47" s="2" t="s">
        <v>500</v>
      </c>
      <c r="N47" s="2" t="s">
        <v>95</v>
      </c>
      <c r="O47" s="2">
        <v>0.0</v>
      </c>
      <c r="P47" s="2">
        <v>0.0</v>
      </c>
      <c r="Q47" s="2">
        <v>1.0</v>
      </c>
      <c r="R47" s="2">
        <v>0.0</v>
      </c>
      <c r="S47" s="3"/>
      <c r="T47" s="3" t="s">
        <v>500</v>
      </c>
      <c r="U47" s="3"/>
      <c r="V47" s="3"/>
      <c r="W47" s="3"/>
      <c r="X47" s="3" t="s">
        <v>87</v>
      </c>
      <c r="Y47" s="3" t="s">
        <v>65</v>
      </c>
      <c r="Z47" s="3"/>
      <c r="AA47" s="5" t="str">
        <f t="shared" si="1"/>
        <v>Auto</v>
      </c>
      <c r="AB47" s="5">
        <f t="shared" si="2"/>
        <v>0</v>
      </c>
      <c r="AC47" s="5">
        <f t="shared" si="3"/>
        <v>0</v>
      </c>
      <c r="AD47" s="5">
        <f t="shared" si="4"/>
        <v>1</v>
      </c>
      <c r="AE47" s="5">
        <f t="shared" si="5"/>
        <v>0</v>
      </c>
      <c r="AF47" s="2" t="s">
        <v>768</v>
      </c>
    </row>
    <row r="48" ht="15.75" customHeight="1">
      <c r="A48" s="2" t="s">
        <v>769</v>
      </c>
      <c r="B48" s="2" t="s">
        <v>770</v>
      </c>
      <c r="C48" s="2" t="s">
        <v>694</v>
      </c>
      <c r="D48" s="2" t="s">
        <v>71</v>
      </c>
      <c r="E48" s="2"/>
      <c r="F48" s="2" t="s">
        <v>500</v>
      </c>
      <c r="G48" s="2" t="s">
        <v>93</v>
      </c>
      <c r="H48" s="2" t="s">
        <v>500</v>
      </c>
      <c r="I48" s="2"/>
      <c r="J48" s="2" t="s">
        <v>773</v>
      </c>
      <c r="K48" s="2"/>
      <c r="L48" s="2"/>
      <c r="M48" s="2" t="s">
        <v>500</v>
      </c>
      <c r="N48" s="2" t="s">
        <v>95</v>
      </c>
      <c r="O48" s="2">
        <v>0.0</v>
      </c>
      <c r="P48" s="2">
        <v>0.0</v>
      </c>
      <c r="Q48" s="2">
        <v>1.0</v>
      </c>
      <c r="R48" s="2">
        <v>0.0</v>
      </c>
      <c r="S48" s="3"/>
      <c r="T48" s="3" t="s">
        <v>500</v>
      </c>
      <c r="U48" s="3"/>
      <c r="V48" s="3"/>
      <c r="W48" s="3"/>
      <c r="X48" s="3" t="s">
        <v>87</v>
      </c>
      <c r="Y48" s="3" t="s">
        <v>65</v>
      </c>
      <c r="Z48" s="3"/>
      <c r="AA48" s="5" t="str">
        <f t="shared" si="1"/>
        <v>Auto</v>
      </c>
      <c r="AB48" s="5">
        <f t="shared" si="2"/>
        <v>0</v>
      </c>
      <c r="AC48" s="5">
        <f t="shared" si="3"/>
        <v>0</v>
      </c>
      <c r="AD48" s="5">
        <f t="shared" si="4"/>
        <v>1</v>
      </c>
      <c r="AE48" s="5">
        <f t="shared" si="5"/>
        <v>0</v>
      </c>
      <c r="AF48" s="2" t="s">
        <v>780</v>
      </c>
    </row>
    <row r="49" ht="15.75" customHeight="1">
      <c r="A49" s="2" t="s">
        <v>782</v>
      </c>
      <c r="B49" s="2" t="s">
        <v>783</v>
      </c>
      <c r="C49" s="2" t="s">
        <v>694</v>
      </c>
      <c r="D49" s="2" t="s">
        <v>71</v>
      </c>
      <c r="E49" s="2"/>
      <c r="F49" s="2" t="s">
        <v>500</v>
      </c>
      <c r="G49" s="2" t="s">
        <v>93</v>
      </c>
      <c r="H49" s="2" t="s">
        <v>500</v>
      </c>
      <c r="I49" s="2"/>
      <c r="J49" s="2" t="s">
        <v>786</v>
      </c>
      <c r="K49" s="2"/>
      <c r="L49" s="2"/>
      <c r="M49" s="2" t="s">
        <v>500</v>
      </c>
      <c r="N49" s="2" t="s">
        <v>95</v>
      </c>
      <c r="O49" s="2">
        <v>0.0</v>
      </c>
      <c r="P49" s="2">
        <v>0.0</v>
      </c>
      <c r="Q49" s="2">
        <v>1.0</v>
      </c>
      <c r="R49" s="2">
        <v>0.0</v>
      </c>
      <c r="S49" s="3"/>
      <c r="T49" s="3" t="s">
        <v>500</v>
      </c>
      <c r="U49" s="3"/>
      <c r="V49" s="3"/>
      <c r="W49" s="3"/>
      <c r="X49" s="3" t="s">
        <v>87</v>
      </c>
      <c r="Y49" s="3" t="s">
        <v>65</v>
      </c>
      <c r="Z49" s="3"/>
      <c r="AA49" s="5" t="str">
        <f t="shared" si="1"/>
        <v>Auto</v>
      </c>
      <c r="AB49" s="5">
        <f t="shared" si="2"/>
        <v>0</v>
      </c>
      <c r="AC49" s="5">
        <f t="shared" si="3"/>
        <v>0</v>
      </c>
      <c r="AD49" s="5">
        <f t="shared" si="4"/>
        <v>1</v>
      </c>
      <c r="AE49" s="5">
        <f t="shared" si="5"/>
        <v>0</v>
      </c>
      <c r="AF49" s="2" t="s">
        <v>795</v>
      </c>
    </row>
    <row r="50" ht="15.75" customHeight="1">
      <c r="A50" s="2" t="s">
        <v>797</v>
      </c>
      <c r="B50" s="2" t="s">
        <v>798</v>
      </c>
      <c r="C50" s="2" t="s">
        <v>694</v>
      </c>
      <c r="D50" s="2" t="s">
        <v>71</v>
      </c>
      <c r="E50" s="2"/>
      <c r="F50" s="2" t="s">
        <v>500</v>
      </c>
      <c r="G50" s="2" t="s">
        <v>93</v>
      </c>
      <c r="H50" s="2" t="s">
        <v>500</v>
      </c>
      <c r="I50" s="2"/>
      <c r="J50" s="2" t="s">
        <v>800</v>
      </c>
      <c r="K50" s="2"/>
      <c r="L50" s="2"/>
      <c r="M50" s="2" t="s">
        <v>500</v>
      </c>
      <c r="N50" s="2" t="s">
        <v>95</v>
      </c>
      <c r="O50" s="2">
        <v>0.0</v>
      </c>
      <c r="P50" s="2">
        <v>0.0</v>
      </c>
      <c r="Q50" s="2">
        <v>1.0</v>
      </c>
      <c r="R50" s="2">
        <v>0.0</v>
      </c>
      <c r="S50" s="3"/>
      <c r="T50" s="3" t="s">
        <v>500</v>
      </c>
      <c r="U50" s="3"/>
      <c r="V50" s="3"/>
      <c r="W50" s="3"/>
      <c r="X50" s="3" t="s">
        <v>87</v>
      </c>
      <c r="Y50" s="3" t="s">
        <v>65</v>
      </c>
      <c r="Z50" s="3"/>
      <c r="AA50" s="5" t="str">
        <f t="shared" si="1"/>
        <v>Auto</v>
      </c>
      <c r="AB50" s="5">
        <f t="shared" si="2"/>
        <v>0</v>
      </c>
      <c r="AC50" s="5">
        <f t="shared" si="3"/>
        <v>0</v>
      </c>
      <c r="AD50" s="5">
        <f t="shared" si="4"/>
        <v>1</v>
      </c>
      <c r="AE50" s="5">
        <f t="shared" si="5"/>
        <v>0</v>
      </c>
      <c r="AF50" s="2" t="s">
        <v>806</v>
      </c>
    </row>
    <row r="51" ht="15.75" customHeight="1">
      <c r="A51" s="2" t="s">
        <v>807</v>
      </c>
      <c r="B51" s="2" t="s">
        <v>809</v>
      </c>
      <c r="C51" s="2" t="s">
        <v>694</v>
      </c>
      <c r="D51" s="2" t="s">
        <v>71</v>
      </c>
      <c r="E51" s="2"/>
      <c r="F51" s="2" t="s">
        <v>500</v>
      </c>
      <c r="G51" s="2" t="s">
        <v>93</v>
      </c>
      <c r="H51" s="2" t="s">
        <v>500</v>
      </c>
      <c r="I51" s="2"/>
      <c r="J51" s="2" t="s">
        <v>800</v>
      </c>
      <c r="K51" s="2"/>
      <c r="L51" s="2"/>
      <c r="M51" s="2" t="s">
        <v>500</v>
      </c>
      <c r="N51" s="2" t="s">
        <v>95</v>
      </c>
      <c r="O51" s="2">
        <v>0.0</v>
      </c>
      <c r="P51" s="2">
        <v>0.0</v>
      </c>
      <c r="Q51" s="2">
        <v>1.0</v>
      </c>
      <c r="R51" s="2">
        <v>0.0</v>
      </c>
      <c r="S51" s="3"/>
      <c r="T51" s="3" t="s">
        <v>500</v>
      </c>
      <c r="U51" s="3"/>
      <c r="V51" s="3"/>
      <c r="W51" s="3"/>
      <c r="X51" s="3" t="s">
        <v>87</v>
      </c>
      <c r="Y51" s="3" t="s">
        <v>65</v>
      </c>
      <c r="Z51" s="3"/>
      <c r="AA51" s="5" t="str">
        <f t="shared" si="1"/>
        <v>Auto</v>
      </c>
      <c r="AB51" s="5">
        <f t="shared" si="2"/>
        <v>0</v>
      </c>
      <c r="AC51" s="5">
        <f t="shared" si="3"/>
        <v>0</v>
      </c>
      <c r="AD51" s="5">
        <f t="shared" si="4"/>
        <v>1</v>
      </c>
      <c r="AE51" s="5">
        <f t="shared" si="5"/>
        <v>0</v>
      </c>
      <c r="AF51" s="2" t="s">
        <v>820</v>
      </c>
    </row>
    <row r="52" ht="15.75" customHeight="1">
      <c r="A52" s="2" t="s">
        <v>822</v>
      </c>
      <c r="B52" s="2" t="s">
        <v>823</v>
      </c>
      <c r="C52" s="2" t="s">
        <v>694</v>
      </c>
      <c r="D52" s="2" t="s">
        <v>71</v>
      </c>
      <c r="E52" s="2"/>
      <c r="F52" s="2" t="s">
        <v>500</v>
      </c>
      <c r="G52" s="2" t="s">
        <v>93</v>
      </c>
      <c r="H52" s="2" t="s">
        <v>500</v>
      </c>
      <c r="I52" s="2"/>
      <c r="J52" s="2" t="s">
        <v>824</v>
      </c>
      <c r="K52" s="2"/>
      <c r="L52" s="2"/>
      <c r="M52" s="2" t="s">
        <v>500</v>
      </c>
      <c r="N52" s="2" t="s">
        <v>95</v>
      </c>
      <c r="O52" s="2">
        <v>0.0</v>
      </c>
      <c r="P52" s="2">
        <v>0.0</v>
      </c>
      <c r="Q52" s="2">
        <v>1.0</v>
      </c>
      <c r="R52" s="2">
        <v>0.0</v>
      </c>
      <c r="S52" s="3"/>
      <c r="T52" s="3" t="s">
        <v>500</v>
      </c>
      <c r="U52" s="3"/>
      <c r="V52" s="3"/>
      <c r="W52" s="3"/>
      <c r="X52" s="3" t="s">
        <v>87</v>
      </c>
      <c r="Y52" s="3" t="s">
        <v>65</v>
      </c>
      <c r="Z52" s="3"/>
      <c r="AA52" s="5" t="str">
        <f t="shared" si="1"/>
        <v>Auto</v>
      </c>
      <c r="AB52" s="5">
        <f t="shared" si="2"/>
        <v>0</v>
      </c>
      <c r="AC52" s="5">
        <f t="shared" si="3"/>
        <v>0</v>
      </c>
      <c r="AD52" s="5">
        <f t="shared" si="4"/>
        <v>1</v>
      </c>
      <c r="AE52" s="5">
        <f t="shared" si="5"/>
        <v>0</v>
      </c>
      <c r="AF52" s="2" t="s">
        <v>832</v>
      </c>
    </row>
    <row r="53" ht="15.75" customHeight="1">
      <c r="A53" s="2" t="s">
        <v>833</v>
      </c>
      <c r="B53" s="2" t="s">
        <v>834</v>
      </c>
      <c r="C53" s="2" t="s">
        <v>694</v>
      </c>
      <c r="D53" s="2" t="s">
        <v>71</v>
      </c>
      <c r="E53" s="2"/>
      <c r="F53" s="2" t="s">
        <v>500</v>
      </c>
      <c r="G53" s="2" t="s">
        <v>93</v>
      </c>
      <c r="H53" s="2" t="s">
        <v>500</v>
      </c>
      <c r="I53" s="2"/>
      <c r="J53" s="2" t="s">
        <v>837</v>
      </c>
      <c r="K53" s="2"/>
      <c r="L53" s="2"/>
      <c r="M53" s="2" t="s">
        <v>500</v>
      </c>
      <c r="N53" s="2" t="s">
        <v>95</v>
      </c>
      <c r="O53" s="2">
        <v>0.0</v>
      </c>
      <c r="P53" s="2">
        <v>0.0</v>
      </c>
      <c r="Q53" s="2">
        <v>1.0</v>
      </c>
      <c r="R53" s="2">
        <v>0.0</v>
      </c>
      <c r="S53" s="3"/>
      <c r="T53" s="3" t="s">
        <v>500</v>
      </c>
      <c r="U53" s="3"/>
      <c r="V53" s="3"/>
      <c r="W53" s="3"/>
      <c r="X53" s="3" t="s">
        <v>87</v>
      </c>
      <c r="Y53" s="3" t="s">
        <v>65</v>
      </c>
      <c r="Z53" s="3"/>
      <c r="AA53" s="5" t="str">
        <f t="shared" si="1"/>
        <v>Auto</v>
      </c>
      <c r="AB53" s="5">
        <f t="shared" si="2"/>
        <v>0</v>
      </c>
      <c r="AC53" s="5">
        <f t="shared" si="3"/>
        <v>0</v>
      </c>
      <c r="AD53" s="5">
        <f t="shared" si="4"/>
        <v>1</v>
      </c>
      <c r="AE53" s="5">
        <f t="shared" si="5"/>
        <v>0</v>
      </c>
      <c r="AF53" s="2" t="s">
        <v>839</v>
      </c>
    </row>
    <row r="54" ht="15.75" customHeight="1">
      <c r="A54" s="2" t="s">
        <v>840</v>
      </c>
      <c r="B54" s="2" t="s">
        <v>841</v>
      </c>
      <c r="C54" s="2" t="s">
        <v>694</v>
      </c>
      <c r="D54" s="2" t="s">
        <v>71</v>
      </c>
      <c r="E54" s="2"/>
      <c r="F54" s="2" t="s">
        <v>500</v>
      </c>
      <c r="G54" s="2" t="s">
        <v>93</v>
      </c>
      <c r="H54" s="2" t="s">
        <v>500</v>
      </c>
      <c r="I54" s="2"/>
      <c r="J54" s="2" t="s">
        <v>843</v>
      </c>
      <c r="K54" s="2"/>
      <c r="L54" s="2"/>
      <c r="M54" s="2" t="s">
        <v>500</v>
      </c>
      <c r="N54" s="2" t="s">
        <v>95</v>
      </c>
      <c r="O54" s="2">
        <v>0.0</v>
      </c>
      <c r="P54" s="2">
        <v>0.0</v>
      </c>
      <c r="Q54" s="2">
        <v>1.0</v>
      </c>
      <c r="R54" s="2">
        <v>0.0</v>
      </c>
      <c r="S54" s="3"/>
      <c r="T54" s="3" t="s">
        <v>500</v>
      </c>
      <c r="U54" s="3"/>
      <c r="V54" s="3"/>
      <c r="W54" s="3"/>
      <c r="X54" s="3" t="s">
        <v>87</v>
      </c>
      <c r="Y54" s="3" t="s">
        <v>65</v>
      </c>
      <c r="Z54" s="3"/>
      <c r="AA54" s="5" t="str">
        <f t="shared" si="1"/>
        <v>Auto</v>
      </c>
      <c r="AB54" s="5">
        <f t="shared" si="2"/>
        <v>0</v>
      </c>
      <c r="AC54" s="5">
        <f t="shared" si="3"/>
        <v>0</v>
      </c>
      <c r="AD54" s="5">
        <f t="shared" si="4"/>
        <v>1</v>
      </c>
      <c r="AE54" s="5">
        <f t="shared" si="5"/>
        <v>0</v>
      </c>
      <c r="AF54" s="2" t="s">
        <v>850</v>
      </c>
    </row>
    <row r="55" ht="15.75" customHeight="1">
      <c r="A55" s="2" t="s">
        <v>851</v>
      </c>
      <c r="B55" s="2" t="s">
        <v>852</v>
      </c>
      <c r="C55" s="2" t="s">
        <v>694</v>
      </c>
      <c r="D55" s="2" t="s">
        <v>71</v>
      </c>
      <c r="E55" s="2"/>
      <c r="F55" s="2" t="s">
        <v>500</v>
      </c>
      <c r="G55" s="2" t="s">
        <v>93</v>
      </c>
      <c r="H55" s="2" t="s">
        <v>500</v>
      </c>
      <c r="I55" s="2"/>
      <c r="J55" s="2" t="s">
        <v>854</v>
      </c>
      <c r="K55" s="2"/>
      <c r="L55" s="2"/>
      <c r="M55" s="2" t="s">
        <v>500</v>
      </c>
      <c r="N55" s="2" t="s">
        <v>95</v>
      </c>
      <c r="O55" s="2">
        <v>0.0</v>
      </c>
      <c r="P55" s="2">
        <v>0.0</v>
      </c>
      <c r="Q55" s="2">
        <v>1.0</v>
      </c>
      <c r="R55" s="2">
        <v>0.0</v>
      </c>
      <c r="S55" s="3"/>
      <c r="T55" s="3" t="s">
        <v>500</v>
      </c>
      <c r="U55" s="3"/>
      <c r="V55" s="3"/>
      <c r="W55" s="3"/>
      <c r="X55" s="3" t="s">
        <v>87</v>
      </c>
      <c r="Y55" s="3" t="s">
        <v>65</v>
      </c>
      <c r="Z55" s="3"/>
      <c r="AA55" s="5" t="str">
        <f t="shared" si="1"/>
        <v>Auto</v>
      </c>
      <c r="AB55" s="5">
        <f t="shared" si="2"/>
        <v>0</v>
      </c>
      <c r="AC55" s="5">
        <f t="shared" si="3"/>
        <v>0</v>
      </c>
      <c r="AD55" s="5">
        <f t="shared" si="4"/>
        <v>1</v>
      </c>
      <c r="AE55" s="5">
        <f t="shared" si="5"/>
        <v>0</v>
      </c>
      <c r="AF55" s="2" t="s">
        <v>862</v>
      </c>
    </row>
    <row r="56" ht="15.75" customHeight="1">
      <c r="A56" s="2" t="s">
        <v>864</v>
      </c>
      <c r="B56" s="2" t="s">
        <v>707</v>
      </c>
      <c r="C56" s="2" t="s">
        <v>694</v>
      </c>
      <c r="D56" s="2" t="s">
        <v>118</v>
      </c>
      <c r="E56" s="2" t="s">
        <v>165</v>
      </c>
      <c r="F56" s="2" t="s">
        <v>226</v>
      </c>
      <c r="G56" s="2" t="s">
        <v>165</v>
      </c>
      <c r="H56" s="2" t="s">
        <v>226</v>
      </c>
      <c r="I56" s="2" t="s">
        <v>867</v>
      </c>
      <c r="J56" s="2" t="s">
        <v>869</v>
      </c>
      <c r="K56" s="2"/>
      <c r="L56" s="2" t="s">
        <v>165</v>
      </c>
      <c r="M56" s="2" t="s">
        <v>226</v>
      </c>
      <c r="N56" s="2" t="s">
        <v>105</v>
      </c>
      <c r="O56" s="2">
        <v>0.0</v>
      </c>
      <c r="P56" s="2">
        <v>1.0</v>
      </c>
      <c r="Q56" s="2">
        <v>1.0</v>
      </c>
      <c r="R56" s="2">
        <v>0.0</v>
      </c>
      <c r="S56" s="3" t="s">
        <v>165</v>
      </c>
      <c r="T56" s="3" t="s">
        <v>226</v>
      </c>
      <c r="U56" s="4">
        <v>1.0</v>
      </c>
      <c r="V56" s="4">
        <v>0.0</v>
      </c>
      <c r="W56" s="4">
        <v>0.0</v>
      </c>
      <c r="X56" s="3" t="s">
        <v>87</v>
      </c>
      <c r="Y56" s="3" t="s">
        <v>65</v>
      </c>
      <c r="Z56" s="3"/>
      <c r="AA56" s="5" t="str">
        <f t="shared" si="1"/>
        <v>Manual</v>
      </c>
      <c r="AB56" s="5">
        <f t="shared" si="2"/>
        <v>1</v>
      </c>
      <c r="AC56" s="5">
        <f t="shared" si="3"/>
        <v>0</v>
      </c>
      <c r="AD56" s="5">
        <f t="shared" si="4"/>
        <v>0</v>
      </c>
      <c r="AE56" s="5">
        <f t="shared" si="5"/>
        <v>1</v>
      </c>
      <c r="AF56" s="2" t="s">
        <v>878</v>
      </c>
    </row>
    <row r="57" ht="15.75" customHeight="1">
      <c r="A57" s="2" t="s">
        <v>879</v>
      </c>
      <c r="B57" s="2" t="s">
        <v>707</v>
      </c>
      <c r="C57" s="2" t="s">
        <v>694</v>
      </c>
      <c r="D57" s="2" t="s">
        <v>149</v>
      </c>
      <c r="E57" s="2" t="s">
        <v>226</v>
      </c>
      <c r="F57" s="2" t="s">
        <v>165</v>
      </c>
      <c r="G57" s="2" t="s">
        <v>226</v>
      </c>
      <c r="H57" s="2" t="s">
        <v>165</v>
      </c>
      <c r="I57" s="2" t="s">
        <v>881</v>
      </c>
      <c r="J57" s="2" t="s">
        <v>882</v>
      </c>
      <c r="K57" s="2"/>
      <c r="L57" s="2" t="s">
        <v>226</v>
      </c>
      <c r="M57" s="2" t="s">
        <v>165</v>
      </c>
      <c r="N57" s="2" t="s">
        <v>105</v>
      </c>
      <c r="O57" s="2">
        <v>0.0</v>
      </c>
      <c r="P57" s="2">
        <v>1.0</v>
      </c>
      <c r="Q57" s="2">
        <v>1.0</v>
      </c>
      <c r="R57" s="2">
        <v>0.0</v>
      </c>
      <c r="S57" s="3" t="s">
        <v>226</v>
      </c>
      <c r="T57" s="3" t="s">
        <v>165</v>
      </c>
      <c r="U57" s="4">
        <v>1.0</v>
      </c>
      <c r="V57" s="4">
        <v>0.0</v>
      </c>
      <c r="W57" s="4">
        <v>0.0</v>
      </c>
      <c r="X57" s="3" t="s">
        <v>87</v>
      </c>
      <c r="Y57" s="3" t="s">
        <v>65</v>
      </c>
      <c r="Z57" s="3"/>
      <c r="AA57" s="5" t="str">
        <f t="shared" si="1"/>
        <v>Manual</v>
      </c>
      <c r="AB57" s="5">
        <f t="shared" si="2"/>
        <v>1</v>
      </c>
      <c r="AC57" s="5">
        <f t="shared" si="3"/>
        <v>0</v>
      </c>
      <c r="AD57" s="5">
        <f t="shared" si="4"/>
        <v>0</v>
      </c>
      <c r="AE57" s="5">
        <f t="shared" si="5"/>
        <v>1</v>
      </c>
      <c r="AF57" s="2" t="s">
        <v>878</v>
      </c>
    </row>
    <row r="58" ht="15.75" customHeight="1">
      <c r="A58" s="2" t="s">
        <v>892</v>
      </c>
      <c r="B58" s="2" t="s">
        <v>893</v>
      </c>
      <c r="C58" s="2" t="s">
        <v>894</v>
      </c>
      <c r="D58" s="2" t="s">
        <v>75</v>
      </c>
      <c r="E58" s="2" t="s">
        <v>895</v>
      </c>
      <c r="F58" s="2" t="s">
        <v>896</v>
      </c>
      <c r="G58" s="2" t="s">
        <v>897</v>
      </c>
      <c r="H58" s="2" t="s">
        <v>898</v>
      </c>
      <c r="I58" s="2" t="s">
        <v>899</v>
      </c>
      <c r="J58" s="2" t="s">
        <v>900</v>
      </c>
      <c r="K58" s="2"/>
      <c r="L58" s="2" t="s">
        <v>897</v>
      </c>
      <c r="M58" s="2" t="s">
        <v>898</v>
      </c>
      <c r="N58" s="2" t="s">
        <v>105</v>
      </c>
      <c r="O58" s="2">
        <v>0.0</v>
      </c>
      <c r="P58" s="2">
        <v>1.0</v>
      </c>
      <c r="Q58" s="2">
        <v>1.0</v>
      </c>
      <c r="R58" s="2">
        <v>0.0</v>
      </c>
      <c r="S58" s="3" t="s">
        <v>895</v>
      </c>
      <c r="T58" s="3" t="s">
        <v>896</v>
      </c>
      <c r="U58" s="3"/>
      <c r="V58" s="3"/>
      <c r="W58" s="3"/>
      <c r="X58" s="3" t="s">
        <v>87</v>
      </c>
      <c r="Y58" s="3" t="s">
        <v>65</v>
      </c>
      <c r="Z58" s="3"/>
      <c r="AA58" s="5" t="str">
        <f t="shared" si="1"/>
        <v>Auto</v>
      </c>
      <c r="AB58" s="5">
        <f t="shared" si="2"/>
        <v>0</v>
      </c>
      <c r="AC58" s="5">
        <f t="shared" si="3"/>
        <v>1</v>
      </c>
      <c r="AD58" s="5">
        <f t="shared" si="4"/>
        <v>1</v>
      </c>
      <c r="AE58" s="5">
        <f t="shared" si="5"/>
        <v>0</v>
      </c>
      <c r="AF58" s="2" t="s">
        <v>905</v>
      </c>
    </row>
    <row r="59" ht="15.75" customHeight="1">
      <c r="A59" s="2" t="s">
        <v>906</v>
      </c>
      <c r="B59" s="2" t="s">
        <v>907</v>
      </c>
      <c r="C59" s="2" t="s">
        <v>894</v>
      </c>
      <c r="D59" s="2" t="s">
        <v>75</v>
      </c>
      <c r="E59" s="2"/>
      <c r="F59" s="2" t="s">
        <v>908</v>
      </c>
      <c r="G59" s="2" t="s">
        <v>93</v>
      </c>
      <c r="H59" s="2" t="s">
        <v>908</v>
      </c>
      <c r="I59" s="2"/>
      <c r="J59" s="2" t="s">
        <v>911</v>
      </c>
      <c r="K59" s="2"/>
      <c r="L59" s="2"/>
      <c r="M59" s="2" t="s">
        <v>908</v>
      </c>
      <c r="N59" s="2" t="s">
        <v>95</v>
      </c>
      <c r="O59" s="2">
        <v>0.0</v>
      </c>
      <c r="P59" s="2">
        <v>0.0</v>
      </c>
      <c r="Q59" s="2">
        <v>1.0</v>
      </c>
      <c r="R59" s="2">
        <v>0.0</v>
      </c>
      <c r="S59" s="3"/>
      <c r="T59" s="3" t="s">
        <v>908</v>
      </c>
      <c r="U59" s="3"/>
      <c r="V59" s="3"/>
      <c r="W59" s="3"/>
      <c r="X59" s="3" t="s">
        <v>87</v>
      </c>
      <c r="Y59" s="3" t="s">
        <v>65</v>
      </c>
      <c r="Z59" s="3"/>
      <c r="AA59" s="5" t="str">
        <f t="shared" si="1"/>
        <v>Auto</v>
      </c>
      <c r="AB59" s="5">
        <f t="shared" si="2"/>
        <v>0</v>
      </c>
      <c r="AC59" s="5">
        <f t="shared" si="3"/>
        <v>0</v>
      </c>
      <c r="AD59" s="5">
        <f t="shared" si="4"/>
        <v>1</v>
      </c>
      <c r="AE59" s="5">
        <f t="shared" si="5"/>
        <v>0</v>
      </c>
      <c r="AF59" s="2" t="s">
        <v>917</v>
      </c>
    </row>
    <row r="60" ht="15.75" customHeight="1">
      <c r="A60" s="2" t="s">
        <v>918</v>
      </c>
      <c r="B60" s="2" t="s">
        <v>919</v>
      </c>
      <c r="C60" s="2" t="s">
        <v>894</v>
      </c>
      <c r="D60" s="2" t="s">
        <v>75</v>
      </c>
      <c r="E60" s="2"/>
      <c r="F60" s="2" t="s">
        <v>908</v>
      </c>
      <c r="G60" s="2" t="s">
        <v>93</v>
      </c>
      <c r="H60" s="2" t="s">
        <v>908</v>
      </c>
      <c r="I60" s="2"/>
      <c r="J60" s="2" t="s">
        <v>920</v>
      </c>
      <c r="K60" s="2"/>
      <c r="L60" s="2"/>
      <c r="M60" s="2" t="s">
        <v>908</v>
      </c>
      <c r="N60" s="2" t="s">
        <v>95</v>
      </c>
      <c r="O60" s="2">
        <v>0.0</v>
      </c>
      <c r="P60" s="2">
        <v>0.0</v>
      </c>
      <c r="Q60" s="2">
        <v>1.0</v>
      </c>
      <c r="R60" s="2">
        <v>0.0</v>
      </c>
      <c r="S60" s="3"/>
      <c r="T60" s="3" t="s">
        <v>908</v>
      </c>
      <c r="U60" s="3"/>
      <c r="V60" s="3"/>
      <c r="W60" s="3"/>
      <c r="X60" s="3" t="s">
        <v>87</v>
      </c>
      <c r="Y60" s="3" t="s">
        <v>65</v>
      </c>
      <c r="Z60" s="3"/>
      <c r="AA60" s="5" t="str">
        <f t="shared" si="1"/>
        <v>Auto</v>
      </c>
      <c r="AB60" s="5">
        <f t="shared" si="2"/>
        <v>0</v>
      </c>
      <c r="AC60" s="5">
        <f t="shared" si="3"/>
        <v>0</v>
      </c>
      <c r="AD60" s="5">
        <f t="shared" si="4"/>
        <v>1</v>
      </c>
      <c r="AE60" s="5">
        <f t="shared" si="5"/>
        <v>0</v>
      </c>
      <c r="AF60" s="2" t="s">
        <v>925</v>
      </c>
    </row>
    <row r="61" ht="15.75" customHeight="1">
      <c r="A61" s="2" t="s">
        <v>926</v>
      </c>
      <c r="B61" s="2" t="s">
        <v>927</v>
      </c>
      <c r="C61" s="2" t="s">
        <v>894</v>
      </c>
      <c r="D61" s="2" t="s">
        <v>71</v>
      </c>
      <c r="E61" s="2" t="s">
        <v>928</v>
      </c>
      <c r="F61" s="2" t="s">
        <v>500</v>
      </c>
      <c r="G61" s="2" t="s">
        <v>931</v>
      </c>
      <c r="H61" s="2" t="s">
        <v>500</v>
      </c>
      <c r="I61" s="2" t="s">
        <v>932</v>
      </c>
      <c r="J61" s="2" t="s">
        <v>933</v>
      </c>
      <c r="K61" s="2"/>
      <c r="L61" s="2" t="s">
        <v>931</v>
      </c>
      <c r="M61" s="2" t="s">
        <v>500</v>
      </c>
      <c r="N61" s="2" t="s">
        <v>105</v>
      </c>
      <c r="O61" s="2">
        <v>0.0</v>
      </c>
      <c r="P61" s="2">
        <v>1.0</v>
      </c>
      <c r="Q61" s="2">
        <v>1.0</v>
      </c>
      <c r="R61" s="2">
        <v>0.0</v>
      </c>
      <c r="S61" s="3" t="s">
        <v>928</v>
      </c>
      <c r="T61" s="3" t="s">
        <v>500</v>
      </c>
      <c r="U61" s="3"/>
      <c r="V61" s="3"/>
      <c r="W61" s="3"/>
      <c r="X61" s="3" t="s">
        <v>87</v>
      </c>
      <c r="Y61" s="3" t="s">
        <v>65</v>
      </c>
      <c r="Z61" s="3"/>
      <c r="AA61" s="5" t="str">
        <f t="shared" si="1"/>
        <v>Auto</v>
      </c>
      <c r="AB61" s="5">
        <f t="shared" si="2"/>
        <v>0</v>
      </c>
      <c r="AC61" s="5">
        <f t="shared" si="3"/>
        <v>1</v>
      </c>
      <c r="AD61" s="5">
        <f t="shared" si="4"/>
        <v>1</v>
      </c>
      <c r="AE61" s="5">
        <f t="shared" si="5"/>
        <v>0</v>
      </c>
      <c r="AF61" s="2" t="s">
        <v>938</v>
      </c>
    </row>
    <row r="62" ht="15.75" customHeight="1">
      <c r="A62" s="2" t="s">
        <v>940</v>
      </c>
      <c r="B62" s="2" t="s">
        <v>941</v>
      </c>
      <c r="C62" s="2" t="s">
        <v>894</v>
      </c>
      <c r="D62" s="2" t="s">
        <v>71</v>
      </c>
      <c r="E62" s="2" t="s">
        <v>942</v>
      </c>
      <c r="F62" s="2" t="s">
        <v>943</v>
      </c>
      <c r="G62" s="2" t="s">
        <v>944</v>
      </c>
      <c r="H62" s="2" t="s">
        <v>945</v>
      </c>
      <c r="I62" s="2" t="s">
        <v>946</v>
      </c>
      <c r="J62" s="2" t="s">
        <v>947</v>
      </c>
      <c r="K62" s="2"/>
      <c r="L62" s="2" t="s">
        <v>944</v>
      </c>
      <c r="M62" s="2" t="s">
        <v>945</v>
      </c>
      <c r="N62" s="2" t="s">
        <v>86</v>
      </c>
      <c r="O62" s="2">
        <v>0.0</v>
      </c>
      <c r="P62" s="2">
        <v>1.0</v>
      </c>
      <c r="Q62" s="2">
        <v>1.0</v>
      </c>
      <c r="R62" s="2">
        <v>0.0</v>
      </c>
      <c r="S62" s="3" t="s">
        <v>942</v>
      </c>
      <c r="T62" s="3" t="s">
        <v>943</v>
      </c>
      <c r="U62" s="3"/>
      <c r="V62" s="3"/>
      <c r="W62" s="3"/>
      <c r="X62" s="3" t="s">
        <v>87</v>
      </c>
      <c r="Y62" s="3" t="s">
        <v>65</v>
      </c>
      <c r="Z62" s="3"/>
      <c r="AA62" s="5" t="str">
        <f t="shared" si="1"/>
        <v>Auto</v>
      </c>
      <c r="AB62" s="5">
        <f t="shared" si="2"/>
        <v>0</v>
      </c>
      <c r="AC62" s="5">
        <f t="shared" si="3"/>
        <v>1</v>
      </c>
      <c r="AD62" s="5">
        <f t="shared" si="4"/>
        <v>1</v>
      </c>
      <c r="AE62" s="5">
        <f t="shared" si="5"/>
        <v>0</v>
      </c>
      <c r="AF62" s="2" t="s">
        <v>957</v>
      </c>
    </row>
    <row r="63" ht="15.75" customHeight="1">
      <c r="A63" s="2" t="s">
        <v>959</v>
      </c>
      <c r="B63" s="2" t="s">
        <v>960</v>
      </c>
      <c r="C63" s="2" t="s">
        <v>894</v>
      </c>
      <c r="D63" s="2" t="s">
        <v>149</v>
      </c>
      <c r="E63" s="2" t="s">
        <v>961</v>
      </c>
      <c r="F63" s="2" t="s">
        <v>962</v>
      </c>
      <c r="G63" s="2" t="s">
        <v>961</v>
      </c>
      <c r="H63" s="2" t="s">
        <v>962</v>
      </c>
      <c r="I63" s="2" t="s">
        <v>964</v>
      </c>
      <c r="J63" s="2" t="s">
        <v>965</v>
      </c>
      <c r="K63" s="2"/>
      <c r="L63" s="2" t="s">
        <v>961</v>
      </c>
      <c r="M63" s="2" t="s">
        <v>962</v>
      </c>
      <c r="N63" s="2" t="s">
        <v>105</v>
      </c>
      <c r="O63" s="2">
        <v>0.0</v>
      </c>
      <c r="P63" s="2">
        <v>1.0</v>
      </c>
      <c r="Q63" s="2">
        <v>1.0</v>
      </c>
      <c r="R63" s="2">
        <v>0.0</v>
      </c>
      <c r="S63" s="3" t="s">
        <v>961</v>
      </c>
      <c r="T63" s="3" t="s">
        <v>962</v>
      </c>
      <c r="U63" s="4">
        <v>1.0</v>
      </c>
      <c r="V63" s="4">
        <v>0.0</v>
      </c>
      <c r="W63" s="4">
        <v>0.0</v>
      </c>
      <c r="X63" s="3" t="s">
        <v>87</v>
      </c>
      <c r="Y63" s="3" t="s">
        <v>65</v>
      </c>
      <c r="Z63" s="3"/>
      <c r="AA63" s="5" t="str">
        <f t="shared" si="1"/>
        <v>Manual</v>
      </c>
      <c r="AB63" s="5">
        <f t="shared" si="2"/>
        <v>1</v>
      </c>
      <c r="AC63" s="5">
        <f t="shared" si="3"/>
        <v>0</v>
      </c>
      <c r="AD63" s="5">
        <f t="shared" si="4"/>
        <v>0</v>
      </c>
      <c r="AE63" s="5">
        <f t="shared" si="5"/>
        <v>1</v>
      </c>
      <c r="AF63" s="2" t="s">
        <v>973</v>
      </c>
    </row>
    <row r="64" ht="15.75" customHeight="1">
      <c r="A64" s="2" t="s">
        <v>975</v>
      </c>
      <c r="B64" s="2" t="s">
        <v>919</v>
      </c>
      <c r="C64" s="2" t="s">
        <v>894</v>
      </c>
      <c r="D64" s="2" t="s">
        <v>149</v>
      </c>
      <c r="E64" s="2" t="s">
        <v>961</v>
      </c>
      <c r="F64" s="2" t="s">
        <v>962</v>
      </c>
      <c r="G64" s="2" t="s">
        <v>961</v>
      </c>
      <c r="H64" s="2" t="s">
        <v>962</v>
      </c>
      <c r="I64" s="2" t="s">
        <v>978</v>
      </c>
      <c r="J64" s="2" t="s">
        <v>979</v>
      </c>
      <c r="K64" s="2"/>
      <c r="L64" s="2" t="s">
        <v>961</v>
      </c>
      <c r="M64" s="2" t="s">
        <v>962</v>
      </c>
      <c r="N64" s="2" t="s">
        <v>105</v>
      </c>
      <c r="O64" s="2">
        <v>0.0</v>
      </c>
      <c r="P64" s="2">
        <v>1.0</v>
      </c>
      <c r="Q64" s="2">
        <v>1.0</v>
      </c>
      <c r="R64" s="2">
        <v>0.0</v>
      </c>
      <c r="S64" s="3" t="s">
        <v>961</v>
      </c>
      <c r="T64" s="3" t="s">
        <v>962</v>
      </c>
      <c r="U64" s="4">
        <v>1.0</v>
      </c>
      <c r="V64" s="4">
        <v>0.0</v>
      </c>
      <c r="W64" s="4">
        <v>0.0</v>
      </c>
      <c r="X64" s="3" t="s">
        <v>87</v>
      </c>
      <c r="Y64" s="3" t="s">
        <v>65</v>
      </c>
      <c r="Z64" s="3"/>
      <c r="AA64" s="5" t="str">
        <f t="shared" si="1"/>
        <v>Manual</v>
      </c>
      <c r="AB64" s="5">
        <f t="shared" si="2"/>
        <v>1</v>
      </c>
      <c r="AC64" s="5">
        <f t="shared" si="3"/>
        <v>0</v>
      </c>
      <c r="AD64" s="5">
        <f t="shared" si="4"/>
        <v>0</v>
      </c>
      <c r="AE64" s="5">
        <f t="shared" si="5"/>
        <v>1</v>
      </c>
      <c r="AF64" s="2" t="s">
        <v>987</v>
      </c>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F$64"/>
  <dataValidations>
    <dataValidation type="list" allowBlank="1" sqref="X2:X64">
      <formula1>"No,Yes"</formula1>
    </dataValidation>
    <dataValidation type="list" allowBlank="1" sqref="Y2:Y64">
      <formula1>"Needs review,Reviewed"</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42.0"/>
    <col customWidth="1" min="3" max="3" width="11.0"/>
    <col customWidth="1" min="4" max="4" width="23.0"/>
    <col customWidth="1" min="5" max="6" width="38.0"/>
    <col customWidth="1" min="7" max="10" width="42.0"/>
    <col customWidth="1" min="11" max="13" width="38.0"/>
    <col customWidth="1" min="14" max="14" width="39.0"/>
    <col customWidth="1" min="15" max="17" width="10.0"/>
    <col customWidth="1" min="18" max="18" width="21.0"/>
    <col customWidth="1" min="19" max="19" width="27.0"/>
    <col customWidth="1" min="20" max="20" width="70.0"/>
    <col customWidth="1" min="21" max="26" width="8.71"/>
  </cols>
  <sheetData>
    <row r="1">
      <c r="A1" s="1" t="s">
        <v>1</v>
      </c>
      <c r="B1" s="1" t="s">
        <v>8</v>
      </c>
      <c r="C1" s="1" t="s">
        <v>10</v>
      </c>
      <c r="D1" s="1" t="s">
        <v>12</v>
      </c>
      <c r="E1" s="1" t="s">
        <v>15</v>
      </c>
      <c r="F1" s="1" t="s">
        <v>16</v>
      </c>
      <c r="G1" s="1" t="s">
        <v>19</v>
      </c>
      <c r="H1" s="1" t="s">
        <v>22</v>
      </c>
      <c r="I1" s="1" t="s">
        <v>23</v>
      </c>
      <c r="J1" s="1" t="s">
        <v>25</v>
      </c>
      <c r="K1" s="1" t="s">
        <v>27</v>
      </c>
      <c r="L1" s="1" t="s">
        <v>28</v>
      </c>
      <c r="M1" s="1" t="s">
        <v>30</v>
      </c>
      <c r="N1" s="1" t="s">
        <v>33</v>
      </c>
      <c r="O1" s="1" t="s">
        <v>39</v>
      </c>
      <c r="P1" s="1" t="s">
        <v>41</v>
      </c>
      <c r="Q1" s="1" t="s">
        <v>44</v>
      </c>
      <c r="R1" s="1" t="s">
        <v>46</v>
      </c>
      <c r="S1" s="1" t="s">
        <v>140</v>
      </c>
      <c r="T1" s="1" t="s">
        <v>70</v>
      </c>
    </row>
    <row r="2">
      <c r="A2" s="2" t="s">
        <v>141</v>
      </c>
      <c r="B2" s="2" t="s">
        <v>90</v>
      </c>
      <c r="C2" s="2" t="s">
        <v>74</v>
      </c>
      <c r="D2" s="2" t="s">
        <v>71</v>
      </c>
      <c r="E2" s="2" t="s">
        <v>142</v>
      </c>
      <c r="F2" s="2" t="s">
        <v>142</v>
      </c>
      <c r="G2" s="2" t="s">
        <v>143</v>
      </c>
      <c r="H2" s="2" t="s">
        <v>143</v>
      </c>
      <c r="I2" s="2" t="s">
        <v>144</v>
      </c>
      <c r="J2" s="2" t="s">
        <v>144</v>
      </c>
      <c r="K2" s="2" t="s">
        <v>143</v>
      </c>
      <c r="L2" s="2"/>
      <c r="M2" s="2"/>
      <c r="N2" s="2" t="s">
        <v>145</v>
      </c>
      <c r="O2" s="2">
        <v>1.0</v>
      </c>
      <c r="P2" s="2">
        <v>0.0</v>
      </c>
      <c r="Q2" s="2">
        <v>0.0</v>
      </c>
      <c r="R2" s="2">
        <v>1.0</v>
      </c>
      <c r="S2" s="2">
        <v>0.0</v>
      </c>
      <c r="T2" s="2" t="s">
        <v>146</v>
      </c>
    </row>
    <row r="3">
      <c r="A3" s="2" t="s">
        <v>89</v>
      </c>
      <c r="B3" s="2" t="s">
        <v>90</v>
      </c>
      <c r="C3" s="2" t="s">
        <v>74</v>
      </c>
      <c r="D3" s="2" t="s">
        <v>75</v>
      </c>
      <c r="E3" s="2" t="s">
        <v>91</v>
      </c>
      <c r="F3" s="2"/>
      <c r="G3" s="2" t="s">
        <v>92</v>
      </c>
      <c r="H3" s="2" t="s">
        <v>93</v>
      </c>
      <c r="I3" s="2" t="s">
        <v>94</v>
      </c>
      <c r="J3" s="2"/>
      <c r="K3" s="2"/>
      <c r="L3" s="2" t="s">
        <v>92</v>
      </c>
      <c r="M3" s="2"/>
      <c r="N3" s="2" t="s">
        <v>95</v>
      </c>
      <c r="O3" s="7">
        <v>1.0</v>
      </c>
      <c r="P3" s="7">
        <v>0.0</v>
      </c>
      <c r="Q3" s="2">
        <v>0.0</v>
      </c>
      <c r="R3" s="7">
        <v>1.0</v>
      </c>
      <c r="S3" s="2">
        <v>0.0</v>
      </c>
      <c r="T3" s="2" t="s">
        <v>96</v>
      </c>
    </row>
    <row r="4">
      <c r="A4" s="2" t="s">
        <v>134</v>
      </c>
      <c r="B4" s="2" t="s">
        <v>90</v>
      </c>
      <c r="C4" s="2" t="s">
        <v>74</v>
      </c>
      <c r="D4" s="2" t="s">
        <v>118</v>
      </c>
      <c r="E4" s="2" t="s">
        <v>135</v>
      </c>
      <c r="F4" s="2" t="s">
        <v>136</v>
      </c>
      <c r="G4" s="2" t="s">
        <v>135</v>
      </c>
      <c r="H4" s="2" t="s">
        <v>137</v>
      </c>
      <c r="I4" s="2" t="s">
        <v>138</v>
      </c>
      <c r="J4" s="2" t="s">
        <v>139</v>
      </c>
      <c r="K4" s="2" t="s">
        <v>135</v>
      </c>
      <c r="L4" s="2"/>
      <c r="M4" s="2" t="s">
        <v>92</v>
      </c>
      <c r="N4" s="2" t="s">
        <v>132</v>
      </c>
      <c r="O4" s="2">
        <v>1.0</v>
      </c>
      <c r="P4" s="2">
        <v>0.0</v>
      </c>
      <c r="Q4" s="2">
        <v>1.0</v>
      </c>
      <c r="R4" s="2">
        <v>0.0</v>
      </c>
      <c r="S4" s="2">
        <v>0.0</v>
      </c>
      <c r="T4" s="2" t="s">
        <v>147</v>
      </c>
    </row>
    <row r="5">
      <c r="A5" s="2" t="s">
        <v>164</v>
      </c>
      <c r="B5" s="2" t="s">
        <v>90</v>
      </c>
      <c r="C5" s="2" t="s">
        <v>74</v>
      </c>
      <c r="D5" s="2" t="s">
        <v>149</v>
      </c>
      <c r="E5" s="2" t="s">
        <v>165</v>
      </c>
      <c r="F5" s="2" t="s">
        <v>165</v>
      </c>
      <c r="G5" s="2" t="s">
        <v>165</v>
      </c>
      <c r="H5" s="2" t="s">
        <v>165</v>
      </c>
      <c r="I5" s="2" t="s">
        <v>166</v>
      </c>
      <c r="J5" s="2" t="s">
        <v>168</v>
      </c>
      <c r="K5" s="2" t="s">
        <v>165</v>
      </c>
      <c r="L5" s="2"/>
      <c r="M5" s="2"/>
      <c r="N5" s="2" t="s">
        <v>171</v>
      </c>
      <c r="O5" s="2">
        <v>1.0</v>
      </c>
      <c r="P5" s="2">
        <v>0.0</v>
      </c>
      <c r="Q5" s="2">
        <v>0.0</v>
      </c>
      <c r="R5" s="2">
        <v>1.0</v>
      </c>
      <c r="S5" s="2">
        <v>1.0</v>
      </c>
      <c r="T5" s="2" t="s">
        <v>178</v>
      </c>
    </row>
    <row r="6">
      <c r="A6" s="2" t="s">
        <v>179</v>
      </c>
      <c r="B6" s="2" t="s">
        <v>180</v>
      </c>
      <c r="C6" s="2" t="s">
        <v>74</v>
      </c>
      <c r="D6" s="2" t="s">
        <v>71</v>
      </c>
      <c r="E6" s="2" t="s">
        <v>181</v>
      </c>
      <c r="F6" s="2" t="s">
        <v>181</v>
      </c>
      <c r="G6" s="2" t="s">
        <v>182</v>
      </c>
      <c r="H6" s="2" t="s">
        <v>182</v>
      </c>
      <c r="I6" s="2" t="s">
        <v>183</v>
      </c>
      <c r="J6" s="2" t="s">
        <v>183</v>
      </c>
      <c r="K6" s="2" t="s">
        <v>182</v>
      </c>
      <c r="L6" s="2"/>
      <c r="M6" s="2"/>
      <c r="N6" s="2" t="s">
        <v>145</v>
      </c>
      <c r="O6" s="2">
        <v>1.0</v>
      </c>
      <c r="P6" s="2">
        <v>0.0</v>
      </c>
      <c r="Q6" s="2">
        <v>0.0</v>
      </c>
      <c r="R6" s="2">
        <v>1.0</v>
      </c>
      <c r="S6" s="2">
        <v>0.0</v>
      </c>
      <c r="T6" s="2" t="s">
        <v>185</v>
      </c>
    </row>
    <row r="7">
      <c r="A7" s="2" t="s">
        <v>188</v>
      </c>
      <c r="B7" s="2" t="s">
        <v>180</v>
      </c>
      <c r="C7" s="2" t="s">
        <v>74</v>
      </c>
      <c r="D7" s="2" t="s">
        <v>75</v>
      </c>
      <c r="E7" s="2" t="s">
        <v>191</v>
      </c>
      <c r="F7" s="2" t="s">
        <v>191</v>
      </c>
      <c r="G7" s="2" t="s">
        <v>194</v>
      </c>
      <c r="H7" s="2" t="s">
        <v>194</v>
      </c>
      <c r="I7" s="2" t="s">
        <v>196</v>
      </c>
      <c r="J7" s="2" t="s">
        <v>196</v>
      </c>
      <c r="K7" s="2" t="s">
        <v>194</v>
      </c>
      <c r="L7" s="2"/>
      <c r="M7" s="2"/>
      <c r="N7" s="2" t="s">
        <v>145</v>
      </c>
      <c r="O7" s="2">
        <v>1.0</v>
      </c>
      <c r="P7" s="2">
        <v>0.0</v>
      </c>
      <c r="Q7" s="2">
        <v>0.0</v>
      </c>
      <c r="R7" s="2">
        <v>1.0</v>
      </c>
      <c r="S7" s="2">
        <v>0.0</v>
      </c>
      <c r="T7" s="2" t="s">
        <v>198</v>
      </c>
    </row>
    <row r="8">
      <c r="A8" s="2" t="s">
        <v>199</v>
      </c>
      <c r="B8" s="2" t="s">
        <v>180</v>
      </c>
      <c r="C8" s="2" t="s">
        <v>74</v>
      </c>
      <c r="D8" s="2" t="s">
        <v>118</v>
      </c>
      <c r="E8" s="2" t="s">
        <v>135</v>
      </c>
      <c r="F8" s="2" t="s">
        <v>135</v>
      </c>
      <c r="G8" s="2" t="s">
        <v>135</v>
      </c>
      <c r="H8" s="2" t="s">
        <v>135</v>
      </c>
      <c r="I8" s="2" t="s">
        <v>200</v>
      </c>
      <c r="J8" s="2" t="s">
        <v>200</v>
      </c>
      <c r="K8" s="2" t="s">
        <v>135</v>
      </c>
      <c r="L8" s="2"/>
      <c r="M8" s="2"/>
      <c r="N8" s="2" t="s">
        <v>145</v>
      </c>
      <c r="O8" s="2">
        <v>1.0</v>
      </c>
      <c r="P8" s="2">
        <v>0.0</v>
      </c>
      <c r="Q8" s="2">
        <v>0.0</v>
      </c>
      <c r="R8" s="2">
        <v>1.0</v>
      </c>
      <c r="S8" s="2">
        <v>0.0</v>
      </c>
      <c r="T8" s="2" t="s">
        <v>201</v>
      </c>
    </row>
    <row r="9">
      <c r="A9" s="2" t="s">
        <v>202</v>
      </c>
      <c r="B9" s="2" t="s">
        <v>180</v>
      </c>
      <c r="C9" s="2" t="s">
        <v>74</v>
      </c>
      <c r="D9" s="2" t="s">
        <v>149</v>
      </c>
      <c r="E9" s="2" t="s">
        <v>165</v>
      </c>
      <c r="F9" s="2" t="s">
        <v>165</v>
      </c>
      <c r="G9" s="2" t="s">
        <v>165</v>
      </c>
      <c r="H9" s="2" t="s">
        <v>165</v>
      </c>
      <c r="I9" s="2" t="s">
        <v>209</v>
      </c>
      <c r="J9" s="2" t="s">
        <v>209</v>
      </c>
      <c r="K9" s="2" t="s">
        <v>165</v>
      </c>
      <c r="L9" s="2"/>
      <c r="M9" s="2"/>
      <c r="N9" s="2" t="s">
        <v>145</v>
      </c>
      <c r="O9" s="2">
        <v>1.0</v>
      </c>
      <c r="P9" s="2">
        <v>0.0</v>
      </c>
      <c r="Q9" s="2">
        <v>0.0</v>
      </c>
      <c r="R9" s="2">
        <v>1.0</v>
      </c>
      <c r="S9" s="2">
        <v>0.0</v>
      </c>
      <c r="T9" s="2" t="s">
        <v>213</v>
      </c>
    </row>
    <row r="10">
      <c r="A10" s="2" t="s">
        <v>214</v>
      </c>
      <c r="B10" s="2" t="s">
        <v>215</v>
      </c>
      <c r="C10" s="2" t="s">
        <v>74</v>
      </c>
      <c r="D10" s="2" t="s">
        <v>71</v>
      </c>
      <c r="E10" s="2" t="s">
        <v>216</v>
      </c>
      <c r="F10" s="2" t="s">
        <v>216</v>
      </c>
      <c r="G10" s="2" t="s">
        <v>217</v>
      </c>
      <c r="H10" s="2" t="s">
        <v>217</v>
      </c>
      <c r="I10" s="2" t="s">
        <v>218</v>
      </c>
      <c r="J10" s="2" t="s">
        <v>218</v>
      </c>
      <c r="K10" s="2" t="s">
        <v>217</v>
      </c>
      <c r="L10" s="2"/>
      <c r="M10" s="2"/>
      <c r="N10" s="2" t="s">
        <v>145</v>
      </c>
      <c r="O10" s="2">
        <v>1.0</v>
      </c>
      <c r="P10" s="2">
        <v>0.0</v>
      </c>
      <c r="Q10" s="2">
        <v>0.0</v>
      </c>
      <c r="R10" s="2">
        <v>1.0</v>
      </c>
      <c r="S10" s="2">
        <v>0.0</v>
      </c>
      <c r="T10" s="2" t="s">
        <v>219</v>
      </c>
    </row>
    <row r="11">
      <c r="A11" s="2" t="s">
        <v>220</v>
      </c>
      <c r="B11" s="2" t="s">
        <v>215</v>
      </c>
      <c r="C11" s="2" t="s">
        <v>74</v>
      </c>
      <c r="D11" s="2" t="s">
        <v>75</v>
      </c>
      <c r="E11" s="2" t="s">
        <v>191</v>
      </c>
      <c r="F11" s="2" t="s">
        <v>191</v>
      </c>
      <c r="G11" s="2" t="s">
        <v>194</v>
      </c>
      <c r="H11" s="2" t="s">
        <v>194</v>
      </c>
      <c r="I11" s="2" t="s">
        <v>223</v>
      </c>
      <c r="J11" s="2" t="s">
        <v>223</v>
      </c>
      <c r="K11" s="2" t="s">
        <v>194</v>
      </c>
      <c r="L11" s="2"/>
      <c r="M11" s="2"/>
      <c r="N11" s="2" t="s">
        <v>145</v>
      </c>
      <c r="O11" s="2">
        <v>1.0</v>
      </c>
      <c r="P11" s="2">
        <v>0.0</v>
      </c>
      <c r="Q11" s="2">
        <v>0.0</v>
      </c>
      <c r="R11" s="2">
        <v>1.0</v>
      </c>
      <c r="S11" s="2">
        <v>0.0</v>
      </c>
      <c r="T11" s="2" t="s">
        <v>229</v>
      </c>
    </row>
    <row r="12">
      <c r="A12" s="2" t="s">
        <v>230</v>
      </c>
      <c r="B12" s="2" t="s">
        <v>215</v>
      </c>
      <c r="C12" s="2" t="s">
        <v>74</v>
      </c>
      <c r="D12" s="2" t="s">
        <v>118</v>
      </c>
      <c r="E12" s="2" t="s">
        <v>231</v>
      </c>
      <c r="F12" s="2" t="s">
        <v>231</v>
      </c>
      <c r="G12" s="2" t="s">
        <v>231</v>
      </c>
      <c r="H12" s="2" t="s">
        <v>231</v>
      </c>
      <c r="I12" s="2" t="s">
        <v>232</v>
      </c>
      <c r="J12" s="2" t="s">
        <v>232</v>
      </c>
      <c r="K12" s="2" t="s">
        <v>231</v>
      </c>
      <c r="L12" s="2"/>
      <c r="M12" s="2"/>
      <c r="N12" s="2" t="s">
        <v>145</v>
      </c>
      <c r="O12" s="2">
        <v>1.0</v>
      </c>
      <c r="P12" s="2">
        <v>0.0</v>
      </c>
      <c r="Q12" s="2">
        <v>0.0</v>
      </c>
      <c r="R12" s="2">
        <v>1.0</v>
      </c>
      <c r="S12" s="2">
        <v>0.0</v>
      </c>
      <c r="T12" s="2" t="s">
        <v>233</v>
      </c>
    </row>
    <row r="13">
      <c r="A13" s="2" t="s">
        <v>234</v>
      </c>
      <c r="B13" s="2" t="s">
        <v>215</v>
      </c>
      <c r="C13" s="2" t="s">
        <v>74</v>
      </c>
      <c r="D13" s="2" t="s">
        <v>149</v>
      </c>
      <c r="E13" s="2" t="s">
        <v>165</v>
      </c>
      <c r="F13" s="2" t="s">
        <v>165</v>
      </c>
      <c r="G13" s="2" t="s">
        <v>165</v>
      </c>
      <c r="H13" s="2" t="s">
        <v>165</v>
      </c>
      <c r="I13" s="2" t="s">
        <v>235</v>
      </c>
      <c r="J13" s="2" t="s">
        <v>235</v>
      </c>
      <c r="K13" s="2" t="s">
        <v>165</v>
      </c>
      <c r="L13" s="2"/>
      <c r="M13" s="2"/>
      <c r="N13" s="2" t="s">
        <v>145</v>
      </c>
      <c r="O13" s="2">
        <v>1.0</v>
      </c>
      <c r="P13" s="2">
        <v>0.0</v>
      </c>
      <c r="Q13" s="2">
        <v>0.0</v>
      </c>
      <c r="R13" s="2">
        <v>1.0</v>
      </c>
      <c r="S13" s="2">
        <v>0.0</v>
      </c>
      <c r="T13" s="2" t="s">
        <v>241</v>
      </c>
    </row>
    <row r="14">
      <c r="A14" s="2" t="s">
        <v>242</v>
      </c>
      <c r="B14" s="2" t="s">
        <v>117</v>
      </c>
      <c r="C14" s="2" t="s">
        <v>74</v>
      </c>
      <c r="D14" s="2" t="s">
        <v>71</v>
      </c>
      <c r="E14" s="2" t="s">
        <v>245</v>
      </c>
      <c r="F14" s="2" t="s">
        <v>245</v>
      </c>
      <c r="G14" s="2" t="s">
        <v>246</v>
      </c>
      <c r="H14" s="2" t="s">
        <v>246</v>
      </c>
      <c r="I14" s="2" t="s">
        <v>247</v>
      </c>
      <c r="J14" s="2" t="s">
        <v>248</v>
      </c>
      <c r="K14" s="2" t="s">
        <v>246</v>
      </c>
      <c r="L14" s="2"/>
      <c r="M14" s="2"/>
      <c r="N14" s="2" t="s">
        <v>171</v>
      </c>
      <c r="O14" s="2">
        <v>1.0</v>
      </c>
      <c r="P14" s="2">
        <v>0.0</v>
      </c>
      <c r="Q14" s="2">
        <v>0.0</v>
      </c>
      <c r="R14" s="2">
        <v>1.0</v>
      </c>
      <c r="S14" s="2">
        <v>1.0</v>
      </c>
      <c r="T14" s="2" t="s">
        <v>249</v>
      </c>
    </row>
    <row r="15">
      <c r="A15" s="2" t="s">
        <v>250</v>
      </c>
      <c r="B15" s="2" t="s">
        <v>117</v>
      </c>
      <c r="C15" s="2" t="s">
        <v>74</v>
      </c>
      <c r="D15" s="2" t="s">
        <v>75</v>
      </c>
      <c r="E15" s="2" t="s">
        <v>251</v>
      </c>
      <c r="F15" s="2" t="s">
        <v>191</v>
      </c>
      <c r="G15" s="2" t="s">
        <v>194</v>
      </c>
      <c r="H15" s="2" t="s">
        <v>194</v>
      </c>
      <c r="I15" s="2" t="s">
        <v>252</v>
      </c>
      <c r="J15" s="2" t="s">
        <v>253</v>
      </c>
      <c r="K15" s="2" t="s">
        <v>194</v>
      </c>
      <c r="L15" s="2"/>
      <c r="M15" s="2"/>
      <c r="N15" s="2" t="s">
        <v>171</v>
      </c>
      <c r="O15" s="2">
        <v>1.0</v>
      </c>
      <c r="P15" s="2">
        <v>0.0</v>
      </c>
      <c r="Q15" s="2">
        <v>0.0</v>
      </c>
      <c r="R15" s="2">
        <v>1.0</v>
      </c>
      <c r="S15" s="2">
        <v>1.0</v>
      </c>
      <c r="T15" s="2" t="s">
        <v>257</v>
      </c>
    </row>
    <row r="16">
      <c r="A16" s="2" t="s">
        <v>116</v>
      </c>
      <c r="B16" s="2" t="s">
        <v>117</v>
      </c>
      <c r="C16" s="2" t="s">
        <v>74</v>
      </c>
      <c r="D16" s="2" t="s">
        <v>118</v>
      </c>
      <c r="E16" s="2" t="s">
        <v>119</v>
      </c>
      <c r="F16" s="2" t="s">
        <v>120</v>
      </c>
      <c r="G16" s="2" t="s">
        <v>119</v>
      </c>
      <c r="H16" s="2" t="s">
        <v>120</v>
      </c>
      <c r="I16" s="2" t="s">
        <v>121</v>
      </c>
      <c r="J16" s="2" t="s">
        <v>122</v>
      </c>
      <c r="K16" s="2"/>
      <c r="L16" s="2" t="s">
        <v>119</v>
      </c>
      <c r="M16" s="2" t="s">
        <v>120</v>
      </c>
      <c r="N16" s="2" t="s">
        <v>105</v>
      </c>
      <c r="O16" s="2">
        <v>0.0</v>
      </c>
      <c r="P16" s="2">
        <v>1.0</v>
      </c>
      <c r="Q16" s="2">
        <v>1.0</v>
      </c>
      <c r="R16" s="2">
        <v>0.0</v>
      </c>
      <c r="S16" s="2">
        <v>0.0</v>
      </c>
      <c r="T16" s="2" t="s">
        <v>123</v>
      </c>
    </row>
    <row r="17">
      <c r="A17" s="2" t="s">
        <v>148</v>
      </c>
      <c r="B17" s="2" t="s">
        <v>117</v>
      </c>
      <c r="C17" s="2" t="s">
        <v>74</v>
      </c>
      <c r="D17" s="2" t="s">
        <v>149</v>
      </c>
      <c r="E17" s="2" t="s">
        <v>150</v>
      </c>
      <c r="F17" s="2" t="s">
        <v>151</v>
      </c>
      <c r="G17" s="2" t="s">
        <v>150</v>
      </c>
      <c r="H17" s="2" t="s">
        <v>151</v>
      </c>
      <c r="I17" s="2" t="s">
        <v>152</v>
      </c>
      <c r="J17" s="2" t="s">
        <v>153</v>
      </c>
      <c r="K17" s="2"/>
      <c r="L17" s="2" t="s">
        <v>150</v>
      </c>
      <c r="M17" s="2" t="s">
        <v>151</v>
      </c>
      <c r="N17" s="2" t="s">
        <v>105</v>
      </c>
      <c r="O17" s="2">
        <v>0.0</v>
      </c>
      <c r="P17" s="2">
        <v>1.0</v>
      </c>
      <c r="Q17" s="2">
        <v>1.0</v>
      </c>
      <c r="R17" s="2">
        <v>0.0</v>
      </c>
      <c r="S17" s="2">
        <v>0.0</v>
      </c>
      <c r="T17" s="2" t="s">
        <v>154</v>
      </c>
    </row>
    <row r="18">
      <c r="A18" s="2" t="s">
        <v>262</v>
      </c>
      <c r="B18" s="2" t="s">
        <v>263</v>
      </c>
      <c r="C18" s="2" t="s">
        <v>74</v>
      </c>
      <c r="D18" s="2" t="s">
        <v>71</v>
      </c>
      <c r="E18" s="2" t="s">
        <v>264</v>
      </c>
      <c r="F18" s="2" t="s">
        <v>264</v>
      </c>
      <c r="G18" s="2" t="s">
        <v>266</v>
      </c>
      <c r="H18" s="2" t="s">
        <v>266</v>
      </c>
      <c r="I18" s="2" t="s">
        <v>267</v>
      </c>
      <c r="J18" s="2" t="s">
        <v>267</v>
      </c>
      <c r="K18" s="2" t="s">
        <v>266</v>
      </c>
      <c r="L18" s="2"/>
      <c r="M18" s="2"/>
      <c r="N18" s="2" t="s">
        <v>145</v>
      </c>
      <c r="O18" s="2">
        <v>1.0</v>
      </c>
      <c r="P18" s="2">
        <v>0.0</v>
      </c>
      <c r="Q18" s="2">
        <v>0.0</v>
      </c>
      <c r="R18" s="2">
        <v>1.0</v>
      </c>
      <c r="S18" s="2">
        <v>0.0</v>
      </c>
      <c r="T18" s="2" t="s">
        <v>272</v>
      </c>
    </row>
    <row r="19">
      <c r="A19" s="2" t="s">
        <v>274</v>
      </c>
      <c r="B19" s="2" t="s">
        <v>263</v>
      </c>
      <c r="C19" s="2" t="s">
        <v>74</v>
      </c>
      <c r="D19" s="2" t="s">
        <v>75</v>
      </c>
      <c r="E19" s="2" t="s">
        <v>191</v>
      </c>
      <c r="F19" s="2" t="s">
        <v>191</v>
      </c>
      <c r="G19" s="2" t="s">
        <v>194</v>
      </c>
      <c r="H19" s="2" t="s">
        <v>194</v>
      </c>
      <c r="I19" s="2" t="s">
        <v>276</v>
      </c>
      <c r="J19" s="2" t="s">
        <v>276</v>
      </c>
      <c r="K19" s="2" t="s">
        <v>194</v>
      </c>
      <c r="L19" s="2"/>
      <c r="M19" s="2"/>
      <c r="N19" s="2" t="s">
        <v>145</v>
      </c>
      <c r="O19" s="2">
        <v>1.0</v>
      </c>
      <c r="P19" s="2">
        <v>0.0</v>
      </c>
      <c r="Q19" s="2">
        <v>0.0</v>
      </c>
      <c r="R19" s="2">
        <v>1.0</v>
      </c>
      <c r="S19" s="2">
        <v>0.0</v>
      </c>
      <c r="T19" s="2" t="s">
        <v>277</v>
      </c>
    </row>
    <row r="20">
      <c r="A20" s="2" t="s">
        <v>278</v>
      </c>
      <c r="B20" s="2" t="s">
        <v>263</v>
      </c>
      <c r="C20" s="2" t="s">
        <v>74</v>
      </c>
      <c r="D20" s="2" t="s">
        <v>118</v>
      </c>
      <c r="E20" s="2" t="s">
        <v>279</v>
      </c>
      <c r="F20" s="2" t="s">
        <v>279</v>
      </c>
      <c r="G20" s="2" t="s">
        <v>279</v>
      </c>
      <c r="H20" s="2" t="s">
        <v>279</v>
      </c>
      <c r="I20" s="2" t="s">
        <v>280</v>
      </c>
      <c r="J20" s="2" t="s">
        <v>280</v>
      </c>
      <c r="K20" s="2" t="s">
        <v>279</v>
      </c>
      <c r="L20" s="2"/>
      <c r="M20" s="2"/>
      <c r="N20" s="2" t="s">
        <v>145</v>
      </c>
      <c r="O20" s="2">
        <v>1.0</v>
      </c>
      <c r="P20" s="2">
        <v>0.0</v>
      </c>
      <c r="Q20" s="2">
        <v>0.0</v>
      </c>
      <c r="R20" s="2">
        <v>1.0</v>
      </c>
      <c r="S20" s="2">
        <v>0.0</v>
      </c>
      <c r="T20" s="2" t="s">
        <v>281</v>
      </c>
    </row>
    <row r="21" ht="15.75" customHeight="1">
      <c r="A21" s="2" t="s">
        <v>283</v>
      </c>
      <c r="B21" s="2" t="s">
        <v>263</v>
      </c>
      <c r="C21" s="2" t="s">
        <v>74</v>
      </c>
      <c r="D21" s="2" t="s">
        <v>149</v>
      </c>
      <c r="E21" s="2" t="s">
        <v>165</v>
      </c>
      <c r="F21" s="2" t="s">
        <v>165</v>
      </c>
      <c r="G21" s="2" t="s">
        <v>165</v>
      </c>
      <c r="H21" s="2" t="s">
        <v>165</v>
      </c>
      <c r="I21" s="2" t="s">
        <v>287</v>
      </c>
      <c r="J21" s="2" t="s">
        <v>287</v>
      </c>
      <c r="K21" s="2" t="s">
        <v>165</v>
      </c>
      <c r="L21" s="2"/>
      <c r="M21" s="2"/>
      <c r="N21" s="2" t="s">
        <v>145</v>
      </c>
      <c r="O21" s="2">
        <v>1.0</v>
      </c>
      <c r="P21" s="2">
        <v>0.0</v>
      </c>
      <c r="Q21" s="2">
        <v>0.0</v>
      </c>
      <c r="R21" s="2">
        <v>1.0</v>
      </c>
      <c r="S21" s="2">
        <v>0.0</v>
      </c>
      <c r="T21" s="2" t="s">
        <v>293</v>
      </c>
    </row>
    <row r="22" ht="15.75" customHeight="1">
      <c r="A22" s="2" t="s">
        <v>294</v>
      </c>
      <c r="B22" s="2" t="s">
        <v>295</v>
      </c>
      <c r="C22" s="2" t="s">
        <v>74</v>
      </c>
      <c r="D22" s="2" t="s">
        <v>71</v>
      </c>
      <c r="E22" s="2" t="s">
        <v>296</v>
      </c>
      <c r="F22" s="2" t="s">
        <v>296</v>
      </c>
      <c r="G22" s="2" t="s">
        <v>297</v>
      </c>
      <c r="H22" s="2" t="s">
        <v>297</v>
      </c>
      <c r="I22" s="2" t="s">
        <v>298</v>
      </c>
      <c r="J22" s="2" t="s">
        <v>298</v>
      </c>
      <c r="K22" s="2" t="s">
        <v>297</v>
      </c>
      <c r="L22" s="2"/>
      <c r="M22" s="2"/>
      <c r="N22" s="2" t="s">
        <v>145</v>
      </c>
      <c r="O22" s="2">
        <v>1.0</v>
      </c>
      <c r="P22" s="2">
        <v>0.0</v>
      </c>
      <c r="Q22" s="2">
        <v>0.0</v>
      </c>
      <c r="R22" s="2">
        <v>1.0</v>
      </c>
      <c r="S22" s="2">
        <v>0.0</v>
      </c>
      <c r="T22" s="2" t="s">
        <v>299</v>
      </c>
    </row>
    <row r="23" ht="15.75" customHeight="1">
      <c r="A23" s="2" t="s">
        <v>300</v>
      </c>
      <c r="B23" s="2" t="s">
        <v>295</v>
      </c>
      <c r="C23" s="2" t="s">
        <v>74</v>
      </c>
      <c r="D23" s="2" t="s">
        <v>75</v>
      </c>
      <c r="E23" s="2" t="s">
        <v>191</v>
      </c>
      <c r="F23" s="2" t="s">
        <v>191</v>
      </c>
      <c r="G23" s="2" t="s">
        <v>194</v>
      </c>
      <c r="H23" s="2" t="s">
        <v>194</v>
      </c>
      <c r="I23" s="2" t="s">
        <v>302</v>
      </c>
      <c r="J23" s="2" t="s">
        <v>302</v>
      </c>
      <c r="K23" s="2" t="s">
        <v>194</v>
      </c>
      <c r="L23" s="2"/>
      <c r="M23" s="2"/>
      <c r="N23" s="2" t="s">
        <v>145</v>
      </c>
      <c r="O23" s="2">
        <v>1.0</v>
      </c>
      <c r="P23" s="2">
        <v>0.0</v>
      </c>
      <c r="Q23" s="2">
        <v>0.0</v>
      </c>
      <c r="R23" s="2">
        <v>1.0</v>
      </c>
      <c r="S23" s="2">
        <v>0.0</v>
      </c>
      <c r="T23" s="2" t="s">
        <v>307</v>
      </c>
    </row>
    <row r="24" ht="15.75" customHeight="1">
      <c r="A24" s="2" t="s">
        <v>308</v>
      </c>
      <c r="B24" s="2" t="s">
        <v>295</v>
      </c>
      <c r="C24" s="2" t="s">
        <v>74</v>
      </c>
      <c r="D24" s="2" t="s">
        <v>118</v>
      </c>
      <c r="E24" s="2" t="s">
        <v>135</v>
      </c>
      <c r="F24" s="2" t="s">
        <v>135</v>
      </c>
      <c r="G24" s="2" t="s">
        <v>135</v>
      </c>
      <c r="H24" s="2" t="s">
        <v>135</v>
      </c>
      <c r="I24" s="2" t="s">
        <v>309</v>
      </c>
      <c r="J24" s="2" t="s">
        <v>309</v>
      </c>
      <c r="K24" s="2" t="s">
        <v>135</v>
      </c>
      <c r="L24" s="2"/>
      <c r="M24" s="2"/>
      <c r="N24" s="2" t="s">
        <v>145</v>
      </c>
      <c r="O24" s="2">
        <v>1.0</v>
      </c>
      <c r="P24" s="2">
        <v>0.0</v>
      </c>
      <c r="Q24" s="2">
        <v>0.0</v>
      </c>
      <c r="R24" s="2">
        <v>1.0</v>
      </c>
      <c r="S24" s="2">
        <v>0.0</v>
      </c>
      <c r="T24" s="2" t="s">
        <v>310</v>
      </c>
    </row>
    <row r="25" ht="15.75" customHeight="1">
      <c r="A25" s="2" t="s">
        <v>311</v>
      </c>
      <c r="B25" s="2" t="s">
        <v>295</v>
      </c>
      <c r="C25" s="2" t="s">
        <v>74</v>
      </c>
      <c r="D25" s="2" t="s">
        <v>149</v>
      </c>
      <c r="E25" s="2" t="s">
        <v>165</v>
      </c>
      <c r="F25" s="2" t="s">
        <v>165</v>
      </c>
      <c r="G25" s="2" t="s">
        <v>165</v>
      </c>
      <c r="H25" s="2" t="s">
        <v>165</v>
      </c>
      <c r="I25" s="2" t="s">
        <v>312</v>
      </c>
      <c r="J25" s="2" t="s">
        <v>312</v>
      </c>
      <c r="K25" s="2" t="s">
        <v>165</v>
      </c>
      <c r="L25" s="2"/>
      <c r="M25" s="2"/>
      <c r="N25" s="2" t="s">
        <v>145</v>
      </c>
      <c r="O25" s="2">
        <v>1.0</v>
      </c>
      <c r="P25" s="2">
        <v>0.0</v>
      </c>
      <c r="Q25" s="2">
        <v>0.0</v>
      </c>
      <c r="R25" s="2">
        <v>1.0</v>
      </c>
      <c r="S25" s="2">
        <v>0.0</v>
      </c>
      <c r="T25" s="2" t="s">
        <v>315</v>
      </c>
    </row>
    <row r="26" ht="15.75" customHeight="1">
      <c r="A26" s="2" t="s">
        <v>317</v>
      </c>
      <c r="B26" s="2" t="s">
        <v>318</v>
      </c>
      <c r="C26" s="2" t="s">
        <v>74</v>
      </c>
      <c r="D26" s="2" t="s">
        <v>71</v>
      </c>
      <c r="E26" s="2" t="s">
        <v>319</v>
      </c>
      <c r="F26" s="2" t="s">
        <v>319</v>
      </c>
      <c r="G26" s="2" t="s">
        <v>320</v>
      </c>
      <c r="H26" s="2" t="s">
        <v>320</v>
      </c>
      <c r="I26" s="2" t="s">
        <v>323</v>
      </c>
      <c r="J26" s="2" t="s">
        <v>323</v>
      </c>
      <c r="K26" s="2" t="s">
        <v>320</v>
      </c>
      <c r="L26" s="2"/>
      <c r="M26" s="2"/>
      <c r="N26" s="2" t="s">
        <v>145</v>
      </c>
      <c r="O26" s="2">
        <v>1.0</v>
      </c>
      <c r="P26" s="2">
        <v>0.0</v>
      </c>
      <c r="Q26" s="2">
        <v>0.0</v>
      </c>
      <c r="R26" s="2">
        <v>1.0</v>
      </c>
      <c r="S26" s="2">
        <v>0.0</v>
      </c>
      <c r="T26" s="2" t="s">
        <v>324</v>
      </c>
    </row>
    <row r="27" ht="15.75" customHeight="1">
      <c r="A27" s="2" t="s">
        <v>325</v>
      </c>
      <c r="B27" s="2" t="s">
        <v>318</v>
      </c>
      <c r="C27" s="2" t="s">
        <v>74</v>
      </c>
      <c r="D27" s="2" t="s">
        <v>75</v>
      </c>
      <c r="E27" s="2" t="s">
        <v>191</v>
      </c>
      <c r="F27" s="2" t="s">
        <v>191</v>
      </c>
      <c r="G27" s="2" t="s">
        <v>194</v>
      </c>
      <c r="H27" s="2" t="s">
        <v>194</v>
      </c>
      <c r="I27" s="2" t="s">
        <v>326</v>
      </c>
      <c r="J27" s="2" t="s">
        <v>326</v>
      </c>
      <c r="K27" s="2" t="s">
        <v>194</v>
      </c>
      <c r="L27" s="2"/>
      <c r="M27" s="2"/>
      <c r="N27" s="2" t="s">
        <v>145</v>
      </c>
      <c r="O27" s="2">
        <v>1.0</v>
      </c>
      <c r="P27" s="2">
        <v>0.0</v>
      </c>
      <c r="Q27" s="2">
        <v>0.0</v>
      </c>
      <c r="R27" s="2">
        <v>1.0</v>
      </c>
      <c r="S27" s="2">
        <v>0.0</v>
      </c>
      <c r="T27" s="2" t="s">
        <v>327</v>
      </c>
    </row>
    <row r="28" ht="15.75" customHeight="1">
      <c r="A28" s="2" t="s">
        <v>328</v>
      </c>
      <c r="B28" s="2" t="s">
        <v>318</v>
      </c>
      <c r="C28" s="2" t="s">
        <v>74</v>
      </c>
      <c r="D28" s="2" t="s">
        <v>118</v>
      </c>
      <c r="E28" s="2" t="s">
        <v>231</v>
      </c>
      <c r="F28" s="2" t="s">
        <v>231</v>
      </c>
      <c r="G28" s="2" t="s">
        <v>231</v>
      </c>
      <c r="H28" s="2" t="s">
        <v>231</v>
      </c>
      <c r="I28" s="2" t="s">
        <v>332</v>
      </c>
      <c r="J28" s="2" t="s">
        <v>332</v>
      </c>
      <c r="K28" s="2" t="s">
        <v>231</v>
      </c>
      <c r="L28" s="2"/>
      <c r="M28" s="2"/>
      <c r="N28" s="2" t="s">
        <v>145</v>
      </c>
      <c r="O28" s="2">
        <v>1.0</v>
      </c>
      <c r="P28" s="2">
        <v>0.0</v>
      </c>
      <c r="Q28" s="2">
        <v>0.0</v>
      </c>
      <c r="R28" s="2">
        <v>1.0</v>
      </c>
      <c r="S28" s="2">
        <v>0.0</v>
      </c>
      <c r="T28" s="2" t="s">
        <v>335</v>
      </c>
    </row>
    <row r="29" ht="15.75" customHeight="1">
      <c r="A29" s="2" t="s">
        <v>336</v>
      </c>
      <c r="B29" s="2" t="s">
        <v>318</v>
      </c>
      <c r="C29" s="2" t="s">
        <v>74</v>
      </c>
      <c r="D29" s="2" t="s">
        <v>149</v>
      </c>
      <c r="E29" s="2" t="s">
        <v>165</v>
      </c>
      <c r="F29" s="2" t="s">
        <v>165</v>
      </c>
      <c r="G29" s="2" t="s">
        <v>165</v>
      </c>
      <c r="H29" s="2" t="s">
        <v>165</v>
      </c>
      <c r="I29" s="2" t="s">
        <v>337</v>
      </c>
      <c r="J29" s="2" t="s">
        <v>337</v>
      </c>
      <c r="K29" s="2" t="s">
        <v>165</v>
      </c>
      <c r="L29" s="2"/>
      <c r="M29" s="2"/>
      <c r="N29" s="2" t="s">
        <v>145</v>
      </c>
      <c r="O29" s="2">
        <v>1.0</v>
      </c>
      <c r="P29" s="2">
        <v>0.0</v>
      </c>
      <c r="Q29" s="2">
        <v>0.0</v>
      </c>
      <c r="R29" s="2">
        <v>1.0</v>
      </c>
      <c r="S29" s="2">
        <v>0.0</v>
      </c>
      <c r="T29" s="2" t="s">
        <v>338</v>
      </c>
    </row>
    <row r="30" ht="15.75" customHeight="1">
      <c r="A30" s="2" t="s">
        <v>97</v>
      </c>
      <c r="B30" s="2" t="s">
        <v>98</v>
      </c>
      <c r="C30" s="2" t="s">
        <v>74</v>
      </c>
      <c r="D30" s="2" t="s">
        <v>71</v>
      </c>
      <c r="E30" s="2" t="s">
        <v>99</v>
      </c>
      <c r="F30" s="2" t="s">
        <v>100</v>
      </c>
      <c r="G30" s="2" t="s">
        <v>101</v>
      </c>
      <c r="H30" s="2" t="s">
        <v>102</v>
      </c>
      <c r="I30" s="2" t="s">
        <v>103</v>
      </c>
      <c r="J30" s="2" t="s">
        <v>104</v>
      </c>
      <c r="K30" s="2"/>
      <c r="L30" s="2" t="s">
        <v>101</v>
      </c>
      <c r="M30" s="2" t="s">
        <v>102</v>
      </c>
      <c r="N30" s="2" t="s">
        <v>105</v>
      </c>
      <c r="O30" s="2">
        <v>0.0</v>
      </c>
      <c r="P30" s="2">
        <v>1.0</v>
      </c>
      <c r="Q30" s="2">
        <v>1.0</v>
      </c>
      <c r="R30" s="2">
        <v>0.0</v>
      </c>
      <c r="S30" s="2">
        <v>0.0</v>
      </c>
      <c r="T30" s="2" t="s">
        <v>106</v>
      </c>
    </row>
    <row r="31" ht="15.75" customHeight="1">
      <c r="A31" s="2" t="s">
        <v>345</v>
      </c>
      <c r="B31" s="2" t="s">
        <v>98</v>
      </c>
      <c r="C31" s="2" t="s">
        <v>74</v>
      </c>
      <c r="D31" s="2" t="s">
        <v>75</v>
      </c>
      <c r="E31" s="2" t="s">
        <v>191</v>
      </c>
      <c r="F31" s="2" t="s">
        <v>191</v>
      </c>
      <c r="G31" s="2" t="s">
        <v>194</v>
      </c>
      <c r="H31" s="2" t="s">
        <v>194</v>
      </c>
      <c r="I31" s="2" t="s">
        <v>346</v>
      </c>
      <c r="J31" s="2" t="s">
        <v>346</v>
      </c>
      <c r="K31" s="2" t="s">
        <v>194</v>
      </c>
      <c r="L31" s="2"/>
      <c r="M31" s="2"/>
      <c r="N31" s="2" t="s">
        <v>145</v>
      </c>
      <c r="O31" s="2">
        <v>1.0</v>
      </c>
      <c r="P31" s="2">
        <v>0.0</v>
      </c>
      <c r="Q31" s="2">
        <v>0.0</v>
      </c>
      <c r="R31" s="2">
        <v>1.0</v>
      </c>
      <c r="S31" s="2">
        <v>0.0</v>
      </c>
      <c r="T31" s="2" t="s">
        <v>347</v>
      </c>
    </row>
    <row r="32" ht="15.75" customHeight="1">
      <c r="A32" s="2" t="s">
        <v>348</v>
      </c>
      <c r="B32" s="2" t="s">
        <v>98</v>
      </c>
      <c r="C32" s="2" t="s">
        <v>74</v>
      </c>
      <c r="D32" s="2" t="s">
        <v>118</v>
      </c>
      <c r="E32" s="2" t="s">
        <v>279</v>
      </c>
      <c r="F32" s="2" t="s">
        <v>279</v>
      </c>
      <c r="G32" s="2" t="s">
        <v>279</v>
      </c>
      <c r="H32" s="2" t="s">
        <v>279</v>
      </c>
      <c r="I32" s="2" t="s">
        <v>349</v>
      </c>
      <c r="J32" s="2" t="s">
        <v>349</v>
      </c>
      <c r="K32" s="2" t="s">
        <v>279</v>
      </c>
      <c r="L32" s="2"/>
      <c r="M32" s="2"/>
      <c r="N32" s="2" t="s">
        <v>145</v>
      </c>
      <c r="O32" s="2">
        <v>1.0</v>
      </c>
      <c r="P32" s="2">
        <v>0.0</v>
      </c>
      <c r="Q32" s="2">
        <v>0.0</v>
      </c>
      <c r="R32" s="2">
        <v>1.0</v>
      </c>
      <c r="S32" s="2">
        <v>0.0</v>
      </c>
      <c r="T32" s="2" t="s">
        <v>350</v>
      </c>
    </row>
    <row r="33" ht="15.75" customHeight="1">
      <c r="A33" s="2" t="s">
        <v>351</v>
      </c>
      <c r="B33" s="2" t="s">
        <v>98</v>
      </c>
      <c r="C33" s="2" t="s">
        <v>74</v>
      </c>
      <c r="D33" s="2" t="s">
        <v>149</v>
      </c>
      <c r="E33" s="2" t="s">
        <v>165</v>
      </c>
      <c r="F33" s="2" t="s">
        <v>165</v>
      </c>
      <c r="G33" s="2" t="s">
        <v>165</v>
      </c>
      <c r="H33" s="2" t="s">
        <v>165</v>
      </c>
      <c r="I33" s="2" t="s">
        <v>352</v>
      </c>
      <c r="J33" s="2" t="s">
        <v>352</v>
      </c>
      <c r="K33" s="2" t="s">
        <v>165</v>
      </c>
      <c r="L33" s="2"/>
      <c r="M33" s="2"/>
      <c r="N33" s="2" t="s">
        <v>145</v>
      </c>
      <c r="O33" s="2">
        <v>1.0</v>
      </c>
      <c r="P33" s="2">
        <v>0.0</v>
      </c>
      <c r="Q33" s="2">
        <v>0.0</v>
      </c>
      <c r="R33" s="2">
        <v>1.0</v>
      </c>
      <c r="S33" s="2">
        <v>0.0</v>
      </c>
      <c r="T33" s="2" t="s">
        <v>353</v>
      </c>
    </row>
    <row r="34" ht="15.75" customHeight="1">
      <c r="A34" s="2" t="s">
        <v>354</v>
      </c>
      <c r="B34" s="2" t="s">
        <v>355</v>
      </c>
      <c r="C34" s="2" t="s">
        <v>157</v>
      </c>
      <c r="D34" s="2" t="s">
        <v>71</v>
      </c>
      <c r="E34" s="2" t="s">
        <v>159</v>
      </c>
      <c r="F34" s="2" t="s">
        <v>159</v>
      </c>
      <c r="G34" s="2" t="s">
        <v>161</v>
      </c>
      <c r="H34" s="2" t="s">
        <v>161</v>
      </c>
      <c r="I34" s="2" t="s">
        <v>356</v>
      </c>
      <c r="J34" s="2" t="s">
        <v>357</v>
      </c>
      <c r="K34" s="2" t="s">
        <v>161</v>
      </c>
      <c r="L34" s="2"/>
      <c r="M34" s="2"/>
      <c r="N34" s="2" t="s">
        <v>171</v>
      </c>
      <c r="O34" s="2">
        <v>1.0</v>
      </c>
      <c r="P34" s="2">
        <v>0.0</v>
      </c>
      <c r="Q34" s="2">
        <v>0.0</v>
      </c>
      <c r="R34" s="2">
        <v>1.0</v>
      </c>
      <c r="S34" s="2">
        <v>1.0</v>
      </c>
      <c r="T34" s="2" t="s">
        <v>363</v>
      </c>
    </row>
    <row r="35" ht="15.75" customHeight="1">
      <c r="A35" s="2" t="s">
        <v>364</v>
      </c>
      <c r="B35" s="2" t="s">
        <v>355</v>
      </c>
      <c r="C35" s="2" t="s">
        <v>157</v>
      </c>
      <c r="D35" s="2" t="s">
        <v>75</v>
      </c>
      <c r="E35" s="2" t="s">
        <v>365</v>
      </c>
      <c r="F35" s="2" t="s">
        <v>365</v>
      </c>
      <c r="G35" s="2" t="s">
        <v>366</v>
      </c>
      <c r="H35" s="2" t="s">
        <v>366</v>
      </c>
      <c r="I35" s="2" t="s">
        <v>367</v>
      </c>
      <c r="J35" s="2" t="s">
        <v>368</v>
      </c>
      <c r="K35" s="2" t="s">
        <v>366</v>
      </c>
      <c r="L35" s="2"/>
      <c r="M35" s="2"/>
      <c r="N35" s="2" t="s">
        <v>171</v>
      </c>
      <c r="O35" s="2">
        <v>1.0</v>
      </c>
      <c r="P35" s="2">
        <v>0.0</v>
      </c>
      <c r="Q35" s="2">
        <v>0.0</v>
      </c>
      <c r="R35" s="2">
        <v>1.0</v>
      </c>
      <c r="S35" s="2">
        <v>1.0</v>
      </c>
      <c r="T35" s="2" t="s">
        <v>369</v>
      </c>
    </row>
    <row r="36" ht="15.75" customHeight="1">
      <c r="A36" s="2" t="s">
        <v>370</v>
      </c>
      <c r="B36" s="2" t="s">
        <v>355</v>
      </c>
      <c r="C36" s="2" t="s">
        <v>157</v>
      </c>
      <c r="D36" s="2" t="s">
        <v>118</v>
      </c>
      <c r="E36" s="2" t="s">
        <v>225</v>
      </c>
      <c r="F36" s="2" t="s">
        <v>225</v>
      </c>
      <c r="G36" s="2" t="s">
        <v>225</v>
      </c>
      <c r="H36" s="2" t="s">
        <v>225</v>
      </c>
      <c r="I36" s="2" t="s">
        <v>372</v>
      </c>
      <c r="J36" s="2" t="s">
        <v>372</v>
      </c>
      <c r="K36" s="2" t="s">
        <v>225</v>
      </c>
      <c r="L36" s="2"/>
      <c r="M36" s="2"/>
      <c r="N36" s="2" t="s">
        <v>145</v>
      </c>
      <c r="O36" s="2">
        <v>1.0</v>
      </c>
      <c r="P36" s="2">
        <v>0.0</v>
      </c>
      <c r="Q36" s="2">
        <v>0.0</v>
      </c>
      <c r="R36" s="2">
        <v>1.0</v>
      </c>
      <c r="S36" s="2">
        <v>0.0</v>
      </c>
      <c r="T36" s="2" t="s">
        <v>375</v>
      </c>
    </row>
    <row r="37" ht="15.75" customHeight="1">
      <c r="A37" s="2" t="s">
        <v>376</v>
      </c>
      <c r="B37" s="2" t="s">
        <v>355</v>
      </c>
      <c r="C37" s="2" t="s">
        <v>157</v>
      </c>
      <c r="D37" s="2" t="s">
        <v>149</v>
      </c>
      <c r="E37" s="2" t="s">
        <v>165</v>
      </c>
      <c r="F37" s="2" t="s">
        <v>165</v>
      </c>
      <c r="G37" s="2" t="s">
        <v>165</v>
      </c>
      <c r="H37" s="2" t="s">
        <v>165</v>
      </c>
      <c r="I37" s="2" t="s">
        <v>377</v>
      </c>
      <c r="J37" s="2" t="s">
        <v>377</v>
      </c>
      <c r="K37" s="2" t="s">
        <v>165</v>
      </c>
      <c r="L37" s="2"/>
      <c r="M37" s="2"/>
      <c r="N37" s="2" t="s">
        <v>145</v>
      </c>
      <c r="O37" s="2">
        <v>1.0</v>
      </c>
      <c r="P37" s="2">
        <v>0.0</v>
      </c>
      <c r="Q37" s="2">
        <v>0.0</v>
      </c>
      <c r="R37" s="2">
        <v>1.0</v>
      </c>
      <c r="S37" s="2">
        <v>0.0</v>
      </c>
      <c r="T37" s="2" t="s">
        <v>378</v>
      </c>
    </row>
    <row r="38" ht="15.75" customHeight="1">
      <c r="A38" s="2" t="s">
        <v>379</v>
      </c>
      <c r="B38" s="2" t="s">
        <v>380</v>
      </c>
      <c r="C38" s="2" t="s">
        <v>157</v>
      </c>
      <c r="D38" s="2" t="s">
        <v>71</v>
      </c>
      <c r="E38" s="2" t="s">
        <v>381</v>
      </c>
      <c r="F38" s="2" t="s">
        <v>381</v>
      </c>
      <c r="G38" s="2" t="s">
        <v>382</v>
      </c>
      <c r="H38" s="2" t="s">
        <v>382</v>
      </c>
      <c r="I38" s="2" t="s">
        <v>383</v>
      </c>
      <c r="J38" s="2" t="s">
        <v>383</v>
      </c>
      <c r="K38" s="2" t="s">
        <v>382</v>
      </c>
      <c r="L38" s="2"/>
      <c r="M38" s="2"/>
      <c r="N38" s="2" t="s">
        <v>145</v>
      </c>
      <c r="O38" s="2">
        <v>1.0</v>
      </c>
      <c r="P38" s="2">
        <v>0.0</v>
      </c>
      <c r="Q38" s="2">
        <v>0.0</v>
      </c>
      <c r="R38" s="2">
        <v>1.0</v>
      </c>
      <c r="S38" s="2">
        <v>0.0</v>
      </c>
      <c r="T38" s="2" t="s">
        <v>387</v>
      </c>
    </row>
    <row r="39" ht="15.75" customHeight="1">
      <c r="A39" s="2" t="s">
        <v>388</v>
      </c>
      <c r="B39" s="2" t="s">
        <v>380</v>
      </c>
      <c r="C39" s="2" t="s">
        <v>157</v>
      </c>
      <c r="D39" s="2" t="s">
        <v>75</v>
      </c>
      <c r="E39" s="2" t="s">
        <v>365</v>
      </c>
      <c r="F39" s="2" t="s">
        <v>365</v>
      </c>
      <c r="G39" s="2" t="s">
        <v>366</v>
      </c>
      <c r="H39" s="2" t="s">
        <v>366</v>
      </c>
      <c r="I39" s="2" t="s">
        <v>390</v>
      </c>
      <c r="J39" s="2" t="s">
        <v>391</v>
      </c>
      <c r="K39" s="2" t="s">
        <v>366</v>
      </c>
      <c r="L39" s="2"/>
      <c r="M39" s="2"/>
      <c r="N39" s="2" t="s">
        <v>171</v>
      </c>
      <c r="O39" s="2">
        <v>1.0</v>
      </c>
      <c r="P39" s="2">
        <v>0.0</v>
      </c>
      <c r="Q39" s="2">
        <v>0.0</v>
      </c>
      <c r="R39" s="2">
        <v>1.0</v>
      </c>
      <c r="S39" s="2">
        <v>1.0</v>
      </c>
      <c r="T39" s="2" t="s">
        <v>392</v>
      </c>
    </row>
    <row r="40" ht="15.75" customHeight="1">
      <c r="A40" s="2" t="s">
        <v>393</v>
      </c>
      <c r="B40" s="2" t="s">
        <v>380</v>
      </c>
      <c r="C40" s="2" t="s">
        <v>157</v>
      </c>
      <c r="D40" s="2" t="s">
        <v>118</v>
      </c>
      <c r="E40" s="2" t="s">
        <v>226</v>
      </c>
      <c r="F40" s="2" t="s">
        <v>226</v>
      </c>
      <c r="G40" s="2" t="s">
        <v>226</v>
      </c>
      <c r="H40" s="2" t="s">
        <v>226</v>
      </c>
      <c r="I40" s="2" t="s">
        <v>394</v>
      </c>
      <c r="J40" s="2" t="s">
        <v>395</v>
      </c>
      <c r="K40" s="2" t="s">
        <v>226</v>
      </c>
      <c r="L40" s="2"/>
      <c r="M40" s="2"/>
      <c r="N40" s="2" t="s">
        <v>171</v>
      </c>
      <c r="O40" s="2">
        <v>1.0</v>
      </c>
      <c r="P40" s="2">
        <v>0.0</v>
      </c>
      <c r="Q40" s="2">
        <v>0.0</v>
      </c>
      <c r="R40" s="2">
        <v>1.0</v>
      </c>
      <c r="S40" s="2">
        <v>1.0</v>
      </c>
      <c r="T40" s="2" t="s">
        <v>399</v>
      </c>
    </row>
    <row r="41" ht="15.75" customHeight="1">
      <c r="A41" s="2" t="s">
        <v>400</v>
      </c>
      <c r="B41" s="2" t="s">
        <v>380</v>
      </c>
      <c r="C41" s="2" t="s">
        <v>157</v>
      </c>
      <c r="D41" s="2" t="s">
        <v>149</v>
      </c>
      <c r="E41" s="2" t="s">
        <v>165</v>
      </c>
      <c r="F41" s="2" t="s">
        <v>165</v>
      </c>
      <c r="G41" s="2" t="s">
        <v>165</v>
      </c>
      <c r="H41" s="2" t="s">
        <v>165</v>
      </c>
      <c r="I41" s="2" t="s">
        <v>403</v>
      </c>
      <c r="J41" s="2" t="s">
        <v>404</v>
      </c>
      <c r="K41" s="2" t="s">
        <v>165</v>
      </c>
      <c r="L41" s="2"/>
      <c r="M41" s="2"/>
      <c r="N41" s="2" t="s">
        <v>171</v>
      </c>
      <c r="O41" s="2">
        <v>1.0</v>
      </c>
      <c r="P41" s="2">
        <v>0.0</v>
      </c>
      <c r="Q41" s="2">
        <v>0.0</v>
      </c>
      <c r="R41" s="2">
        <v>1.0</v>
      </c>
      <c r="S41" s="2">
        <v>1.0</v>
      </c>
      <c r="T41" s="2" t="s">
        <v>405</v>
      </c>
    </row>
    <row r="42" ht="15.75" customHeight="1">
      <c r="A42" s="2" t="s">
        <v>406</v>
      </c>
      <c r="B42" s="2" t="s">
        <v>224</v>
      </c>
      <c r="C42" s="2" t="s">
        <v>157</v>
      </c>
      <c r="D42" s="2" t="s">
        <v>71</v>
      </c>
      <c r="E42" s="2" t="s">
        <v>407</v>
      </c>
      <c r="F42" s="2" t="s">
        <v>407</v>
      </c>
      <c r="G42" s="2" t="s">
        <v>408</v>
      </c>
      <c r="H42" s="2" t="s">
        <v>408</v>
      </c>
      <c r="I42" s="2" t="s">
        <v>409</v>
      </c>
      <c r="J42" s="2" t="s">
        <v>409</v>
      </c>
      <c r="K42" s="2" t="s">
        <v>408</v>
      </c>
      <c r="L42" s="2"/>
      <c r="M42" s="2"/>
      <c r="N42" s="2" t="s">
        <v>145</v>
      </c>
      <c r="O42" s="2">
        <v>1.0</v>
      </c>
      <c r="P42" s="2">
        <v>0.0</v>
      </c>
      <c r="Q42" s="2">
        <v>0.0</v>
      </c>
      <c r="R42" s="2">
        <v>1.0</v>
      </c>
      <c r="S42" s="2">
        <v>0.0</v>
      </c>
      <c r="T42" s="2" t="s">
        <v>413</v>
      </c>
    </row>
    <row r="43" ht="15.75" customHeight="1">
      <c r="A43" s="2" t="s">
        <v>414</v>
      </c>
      <c r="B43" s="2" t="s">
        <v>224</v>
      </c>
      <c r="C43" s="2" t="s">
        <v>157</v>
      </c>
      <c r="D43" s="2" t="s">
        <v>75</v>
      </c>
      <c r="E43" s="2" t="s">
        <v>365</v>
      </c>
      <c r="F43" s="2" t="s">
        <v>365</v>
      </c>
      <c r="G43" s="2" t="s">
        <v>366</v>
      </c>
      <c r="H43" s="2" t="s">
        <v>366</v>
      </c>
      <c r="I43" s="2" t="s">
        <v>419</v>
      </c>
      <c r="J43" s="2" t="s">
        <v>420</v>
      </c>
      <c r="K43" s="2" t="s">
        <v>366</v>
      </c>
      <c r="L43" s="2"/>
      <c r="M43" s="2"/>
      <c r="N43" s="2" t="s">
        <v>171</v>
      </c>
      <c r="O43" s="2">
        <v>1.0</v>
      </c>
      <c r="P43" s="2">
        <v>0.0</v>
      </c>
      <c r="Q43" s="2">
        <v>0.0</v>
      </c>
      <c r="R43" s="2">
        <v>1.0</v>
      </c>
      <c r="S43" s="2">
        <v>1.0</v>
      </c>
      <c r="T43" s="2" t="s">
        <v>421</v>
      </c>
    </row>
    <row r="44" ht="15.75" customHeight="1">
      <c r="A44" s="2" t="s">
        <v>222</v>
      </c>
      <c r="B44" s="2" t="s">
        <v>224</v>
      </c>
      <c r="C44" s="2" t="s">
        <v>157</v>
      </c>
      <c r="D44" s="2" t="s">
        <v>118</v>
      </c>
      <c r="E44" s="2" t="s">
        <v>225</v>
      </c>
      <c r="F44" s="2" t="s">
        <v>226</v>
      </c>
      <c r="G44" s="2" t="s">
        <v>225</v>
      </c>
      <c r="H44" s="2" t="s">
        <v>226</v>
      </c>
      <c r="I44" s="2" t="s">
        <v>227</v>
      </c>
      <c r="J44" s="2" t="s">
        <v>228</v>
      </c>
      <c r="K44" s="2"/>
      <c r="L44" s="2" t="s">
        <v>225</v>
      </c>
      <c r="M44" s="2" t="s">
        <v>226</v>
      </c>
      <c r="N44" s="2" t="s">
        <v>105</v>
      </c>
      <c r="O44" s="2">
        <v>0.0</v>
      </c>
      <c r="P44" s="2">
        <v>1.0</v>
      </c>
      <c r="Q44" s="2">
        <v>1.0</v>
      </c>
      <c r="R44" s="2">
        <v>0.0</v>
      </c>
      <c r="S44" s="2">
        <v>0.0</v>
      </c>
      <c r="T44" s="2" t="s">
        <v>236</v>
      </c>
    </row>
    <row r="45" ht="15.75" customHeight="1">
      <c r="A45" s="2" t="s">
        <v>422</v>
      </c>
      <c r="B45" s="2" t="s">
        <v>224</v>
      </c>
      <c r="C45" s="2" t="s">
        <v>157</v>
      </c>
      <c r="D45" s="2" t="s">
        <v>149</v>
      </c>
      <c r="E45" s="2" t="s">
        <v>165</v>
      </c>
      <c r="F45" s="2" t="s">
        <v>165</v>
      </c>
      <c r="G45" s="2" t="s">
        <v>165</v>
      </c>
      <c r="H45" s="2" t="s">
        <v>165</v>
      </c>
      <c r="I45" s="2" t="s">
        <v>423</v>
      </c>
      <c r="J45" s="2" t="s">
        <v>424</v>
      </c>
      <c r="K45" s="2" t="s">
        <v>165</v>
      </c>
      <c r="L45" s="2"/>
      <c r="M45" s="2"/>
      <c r="N45" s="2" t="s">
        <v>171</v>
      </c>
      <c r="O45" s="2">
        <v>1.0</v>
      </c>
      <c r="P45" s="2">
        <v>0.0</v>
      </c>
      <c r="Q45" s="2">
        <v>0.0</v>
      </c>
      <c r="R45" s="2">
        <v>1.0</v>
      </c>
      <c r="S45" s="2">
        <v>1.0</v>
      </c>
      <c r="T45" s="2" t="s">
        <v>425</v>
      </c>
    </row>
    <row r="46" ht="15.75" customHeight="1">
      <c r="A46" s="2" t="s">
        <v>169</v>
      </c>
      <c r="B46" s="2" t="s">
        <v>170</v>
      </c>
      <c r="C46" s="2" t="s">
        <v>157</v>
      </c>
      <c r="D46" s="2" t="s">
        <v>71</v>
      </c>
      <c r="E46" s="2" t="s">
        <v>172</v>
      </c>
      <c r="F46" s="2" t="s">
        <v>173</v>
      </c>
      <c r="G46" s="2" t="s">
        <v>174</v>
      </c>
      <c r="H46" s="2" t="s">
        <v>175</v>
      </c>
      <c r="I46" s="2" t="s">
        <v>176</v>
      </c>
      <c r="J46" s="2" t="s">
        <v>177</v>
      </c>
      <c r="K46" s="2"/>
      <c r="L46" s="2" t="s">
        <v>174</v>
      </c>
      <c r="M46" s="2" t="s">
        <v>175</v>
      </c>
      <c r="N46" s="2" t="s">
        <v>86</v>
      </c>
      <c r="O46" s="2">
        <v>0.0</v>
      </c>
      <c r="P46" s="2">
        <v>1.0</v>
      </c>
      <c r="Q46" s="2">
        <v>1.0</v>
      </c>
      <c r="R46" s="2">
        <v>0.0</v>
      </c>
      <c r="S46" s="2">
        <v>0.0</v>
      </c>
      <c r="T46" s="2" t="s">
        <v>184</v>
      </c>
    </row>
    <row r="47" ht="15.75" customHeight="1">
      <c r="A47" s="2" t="s">
        <v>427</v>
      </c>
      <c r="B47" s="2" t="s">
        <v>170</v>
      </c>
      <c r="C47" s="2" t="s">
        <v>157</v>
      </c>
      <c r="D47" s="2" t="s">
        <v>75</v>
      </c>
      <c r="E47" s="2" t="s">
        <v>365</v>
      </c>
      <c r="F47" s="2" t="s">
        <v>365</v>
      </c>
      <c r="G47" s="2" t="s">
        <v>366</v>
      </c>
      <c r="H47" s="2" t="s">
        <v>366</v>
      </c>
      <c r="I47" s="2" t="s">
        <v>428</v>
      </c>
      <c r="J47" s="2" t="s">
        <v>429</v>
      </c>
      <c r="K47" s="2" t="s">
        <v>366</v>
      </c>
      <c r="L47" s="2"/>
      <c r="M47" s="2"/>
      <c r="N47" s="2" t="s">
        <v>171</v>
      </c>
      <c r="O47" s="2">
        <v>1.0</v>
      </c>
      <c r="P47" s="2">
        <v>0.0</v>
      </c>
      <c r="Q47" s="2">
        <v>0.0</v>
      </c>
      <c r="R47" s="2">
        <v>1.0</v>
      </c>
      <c r="S47" s="2">
        <v>1.0</v>
      </c>
      <c r="T47" s="2" t="s">
        <v>430</v>
      </c>
    </row>
    <row r="48" ht="15.75" customHeight="1">
      <c r="A48" s="2" t="s">
        <v>432</v>
      </c>
      <c r="B48" s="2" t="s">
        <v>170</v>
      </c>
      <c r="C48" s="2" t="s">
        <v>157</v>
      </c>
      <c r="D48" s="2" t="s">
        <v>118</v>
      </c>
      <c r="E48" s="2" t="s">
        <v>225</v>
      </c>
      <c r="F48" s="2" t="s">
        <v>225</v>
      </c>
      <c r="G48" s="2" t="s">
        <v>225</v>
      </c>
      <c r="H48" s="2" t="s">
        <v>225</v>
      </c>
      <c r="I48" s="2" t="s">
        <v>436</v>
      </c>
      <c r="J48" s="2" t="s">
        <v>437</v>
      </c>
      <c r="K48" s="2" t="s">
        <v>225</v>
      </c>
      <c r="L48" s="2"/>
      <c r="M48" s="2"/>
      <c r="N48" s="2" t="s">
        <v>171</v>
      </c>
      <c r="O48" s="2">
        <v>1.0</v>
      </c>
      <c r="P48" s="2">
        <v>0.0</v>
      </c>
      <c r="Q48" s="2">
        <v>0.0</v>
      </c>
      <c r="R48" s="2">
        <v>1.0</v>
      </c>
      <c r="S48" s="2">
        <v>1.0</v>
      </c>
      <c r="T48" s="2" t="s">
        <v>438</v>
      </c>
    </row>
    <row r="49" ht="15.75" customHeight="1">
      <c r="A49" s="2" t="s">
        <v>439</v>
      </c>
      <c r="B49" s="2" t="s">
        <v>170</v>
      </c>
      <c r="C49" s="2" t="s">
        <v>157</v>
      </c>
      <c r="D49" s="2" t="s">
        <v>149</v>
      </c>
      <c r="E49" s="2" t="s">
        <v>165</v>
      </c>
      <c r="F49" s="2" t="s">
        <v>165</v>
      </c>
      <c r="G49" s="2" t="s">
        <v>165</v>
      </c>
      <c r="H49" s="2" t="s">
        <v>165</v>
      </c>
      <c r="I49" s="2" t="s">
        <v>440</v>
      </c>
      <c r="J49" s="2" t="s">
        <v>440</v>
      </c>
      <c r="K49" s="2" t="s">
        <v>165</v>
      </c>
      <c r="L49" s="2"/>
      <c r="M49" s="2"/>
      <c r="N49" s="2" t="s">
        <v>145</v>
      </c>
      <c r="O49" s="2">
        <v>1.0</v>
      </c>
      <c r="P49" s="2">
        <v>0.0</v>
      </c>
      <c r="Q49" s="2">
        <v>0.0</v>
      </c>
      <c r="R49" s="2">
        <v>1.0</v>
      </c>
      <c r="S49" s="2">
        <v>0.0</v>
      </c>
      <c r="T49" s="2" t="s">
        <v>450</v>
      </c>
    </row>
    <row r="50" ht="15.75" customHeight="1">
      <c r="A50" s="2" t="s">
        <v>186</v>
      </c>
      <c r="B50" s="2" t="s">
        <v>187</v>
      </c>
      <c r="C50" s="2" t="s">
        <v>157</v>
      </c>
      <c r="D50" s="2" t="s">
        <v>71</v>
      </c>
      <c r="E50" s="2" t="s">
        <v>189</v>
      </c>
      <c r="F50" s="2" t="s">
        <v>190</v>
      </c>
      <c r="G50" s="2" t="s">
        <v>192</v>
      </c>
      <c r="H50" s="2" t="s">
        <v>193</v>
      </c>
      <c r="I50" s="2" t="s">
        <v>195</v>
      </c>
      <c r="J50" s="2" t="s">
        <v>197</v>
      </c>
      <c r="K50" s="2"/>
      <c r="L50" s="2" t="s">
        <v>192</v>
      </c>
      <c r="M50" s="2" t="s">
        <v>193</v>
      </c>
      <c r="N50" s="2" t="s">
        <v>86</v>
      </c>
      <c r="O50" s="2">
        <v>0.0</v>
      </c>
      <c r="P50" s="2">
        <v>1.0</v>
      </c>
      <c r="Q50" s="2">
        <v>1.0</v>
      </c>
      <c r="R50" s="2">
        <v>0.0</v>
      </c>
      <c r="S50" s="2">
        <v>0.0</v>
      </c>
      <c r="T50" s="2" t="s">
        <v>203</v>
      </c>
    </row>
    <row r="51" ht="15.75" customHeight="1">
      <c r="A51" s="2" t="s">
        <v>451</v>
      </c>
      <c r="B51" s="2" t="s">
        <v>187</v>
      </c>
      <c r="C51" s="2" t="s">
        <v>157</v>
      </c>
      <c r="D51" s="2" t="s">
        <v>75</v>
      </c>
      <c r="E51" s="2" t="s">
        <v>452</v>
      </c>
      <c r="F51" s="2" t="s">
        <v>452</v>
      </c>
      <c r="G51" s="2" t="s">
        <v>453</v>
      </c>
      <c r="H51" s="2" t="s">
        <v>453</v>
      </c>
      <c r="I51" s="2" t="s">
        <v>454</v>
      </c>
      <c r="J51" s="2" t="s">
        <v>454</v>
      </c>
      <c r="K51" s="2" t="s">
        <v>453</v>
      </c>
      <c r="L51" s="2"/>
      <c r="M51" s="2"/>
      <c r="N51" s="2" t="s">
        <v>145</v>
      </c>
      <c r="O51" s="2">
        <v>1.0</v>
      </c>
      <c r="P51" s="2">
        <v>0.0</v>
      </c>
      <c r="Q51" s="2">
        <v>0.0</v>
      </c>
      <c r="R51" s="2">
        <v>1.0</v>
      </c>
      <c r="S51" s="2">
        <v>0.0</v>
      </c>
      <c r="T51" s="2" t="s">
        <v>457</v>
      </c>
    </row>
    <row r="52" ht="15.75" customHeight="1">
      <c r="A52" s="2" t="s">
        <v>458</v>
      </c>
      <c r="B52" s="2" t="s">
        <v>187</v>
      </c>
      <c r="C52" s="2" t="s">
        <v>157</v>
      </c>
      <c r="D52" s="2" t="s">
        <v>118</v>
      </c>
      <c r="E52" s="2" t="s">
        <v>226</v>
      </c>
      <c r="F52" s="2" t="s">
        <v>226</v>
      </c>
      <c r="G52" s="2" t="s">
        <v>226</v>
      </c>
      <c r="H52" s="2" t="s">
        <v>226</v>
      </c>
      <c r="I52" s="2" t="s">
        <v>465</v>
      </c>
      <c r="J52" s="2" t="s">
        <v>466</v>
      </c>
      <c r="K52" s="2" t="s">
        <v>226</v>
      </c>
      <c r="L52" s="2"/>
      <c r="M52" s="2"/>
      <c r="N52" s="2" t="s">
        <v>171</v>
      </c>
      <c r="O52" s="2">
        <v>1.0</v>
      </c>
      <c r="P52" s="2">
        <v>0.0</v>
      </c>
      <c r="Q52" s="2">
        <v>0.0</v>
      </c>
      <c r="R52" s="2">
        <v>1.0</v>
      </c>
      <c r="S52" s="2">
        <v>1.0</v>
      </c>
      <c r="T52" s="2" t="s">
        <v>467</v>
      </c>
    </row>
    <row r="53" ht="15.75" customHeight="1">
      <c r="A53" s="2" t="s">
        <v>468</v>
      </c>
      <c r="B53" s="2" t="s">
        <v>187</v>
      </c>
      <c r="C53" s="2" t="s">
        <v>157</v>
      </c>
      <c r="D53" s="2" t="s">
        <v>149</v>
      </c>
      <c r="E53" s="2" t="s">
        <v>165</v>
      </c>
      <c r="F53" s="2" t="s">
        <v>165</v>
      </c>
      <c r="G53" s="2" t="s">
        <v>165</v>
      </c>
      <c r="H53" s="2" t="s">
        <v>165</v>
      </c>
      <c r="I53" s="2" t="s">
        <v>469</v>
      </c>
      <c r="J53" s="2" t="s">
        <v>470</v>
      </c>
      <c r="K53" s="2" t="s">
        <v>165</v>
      </c>
      <c r="L53" s="2"/>
      <c r="M53" s="2"/>
      <c r="N53" s="2" t="s">
        <v>171</v>
      </c>
      <c r="O53" s="2">
        <v>1.0</v>
      </c>
      <c r="P53" s="2">
        <v>0.0</v>
      </c>
      <c r="Q53" s="2">
        <v>0.0</v>
      </c>
      <c r="R53" s="2">
        <v>1.0</v>
      </c>
      <c r="S53" s="2">
        <v>1.0</v>
      </c>
      <c r="T53" s="2" t="s">
        <v>471</v>
      </c>
    </row>
    <row r="54" ht="15.75" customHeight="1">
      <c r="A54" s="2" t="s">
        <v>473</v>
      </c>
      <c r="B54" s="2" t="s">
        <v>475</v>
      </c>
      <c r="C54" s="2" t="s">
        <v>157</v>
      </c>
      <c r="D54" s="2" t="s">
        <v>71</v>
      </c>
      <c r="E54" s="2" t="s">
        <v>477</v>
      </c>
      <c r="F54" s="2" t="s">
        <v>477</v>
      </c>
      <c r="G54" s="2" t="s">
        <v>478</v>
      </c>
      <c r="H54" s="2" t="s">
        <v>478</v>
      </c>
      <c r="I54" s="2" t="s">
        <v>481</v>
      </c>
      <c r="J54" s="2" t="s">
        <v>481</v>
      </c>
      <c r="K54" s="2" t="s">
        <v>478</v>
      </c>
      <c r="L54" s="2"/>
      <c r="M54" s="2"/>
      <c r="N54" s="2" t="s">
        <v>145</v>
      </c>
      <c r="O54" s="2">
        <v>1.0</v>
      </c>
      <c r="P54" s="2">
        <v>0.0</v>
      </c>
      <c r="Q54" s="2">
        <v>0.0</v>
      </c>
      <c r="R54" s="2">
        <v>1.0</v>
      </c>
      <c r="S54" s="2">
        <v>0.0</v>
      </c>
      <c r="T54" s="2" t="s">
        <v>486</v>
      </c>
    </row>
    <row r="55" ht="15.75" customHeight="1">
      <c r="A55" s="2" t="s">
        <v>487</v>
      </c>
      <c r="B55" s="2" t="s">
        <v>475</v>
      </c>
      <c r="C55" s="2" t="s">
        <v>157</v>
      </c>
      <c r="D55" s="2" t="s">
        <v>75</v>
      </c>
      <c r="E55" s="2" t="s">
        <v>488</v>
      </c>
      <c r="F55" s="2" t="s">
        <v>488</v>
      </c>
      <c r="G55" s="2" t="s">
        <v>453</v>
      </c>
      <c r="H55" s="2" t="s">
        <v>453</v>
      </c>
      <c r="I55" s="2" t="s">
        <v>489</v>
      </c>
      <c r="J55" s="2" t="s">
        <v>489</v>
      </c>
      <c r="K55" s="2" t="s">
        <v>453</v>
      </c>
      <c r="L55" s="2"/>
      <c r="M55" s="2"/>
      <c r="N55" s="2" t="s">
        <v>145</v>
      </c>
      <c r="O55" s="2">
        <v>1.0</v>
      </c>
      <c r="P55" s="2">
        <v>0.0</v>
      </c>
      <c r="Q55" s="2">
        <v>0.0</v>
      </c>
      <c r="R55" s="2">
        <v>1.0</v>
      </c>
      <c r="S55" s="2">
        <v>0.0</v>
      </c>
      <c r="T55" s="2" t="s">
        <v>490</v>
      </c>
    </row>
    <row r="56" ht="15.75" customHeight="1">
      <c r="A56" s="2" t="s">
        <v>491</v>
      </c>
      <c r="B56" s="2" t="s">
        <v>475</v>
      </c>
      <c r="C56" s="2" t="s">
        <v>157</v>
      </c>
      <c r="D56" s="2" t="s">
        <v>118</v>
      </c>
      <c r="E56" s="2" t="s">
        <v>226</v>
      </c>
      <c r="F56" s="2" t="s">
        <v>226</v>
      </c>
      <c r="G56" s="2" t="s">
        <v>226</v>
      </c>
      <c r="H56" s="2" t="s">
        <v>226</v>
      </c>
      <c r="I56" s="2" t="s">
        <v>494</v>
      </c>
      <c r="J56" s="2" t="s">
        <v>495</v>
      </c>
      <c r="K56" s="2" t="s">
        <v>226</v>
      </c>
      <c r="L56" s="2"/>
      <c r="M56" s="2"/>
      <c r="N56" s="2" t="s">
        <v>171</v>
      </c>
      <c r="O56" s="2">
        <v>1.0</v>
      </c>
      <c r="P56" s="2">
        <v>0.0</v>
      </c>
      <c r="Q56" s="2">
        <v>0.0</v>
      </c>
      <c r="R56" s="2">
        <v>1.0</v>
      </c>
      <c r="S56" s="2">
        <v>1.0</v>
      </c>
      <c r="T56" s="2" t="s">
        <v>497</v>
      </c>
    </row>
    <row r="57" ht="15.75" customHeight="1">
      <c r="A57" s="2" t="s">
        <v>498</v>
      </c>
      <c r="B57" s="2" t="s">
        <v>475</v>
      </c>
      <c r="C57" s="2" t="s">
        <v>157</v>
      </c>
      <c r="D57" s="2" t="s">
        <v>149</v>
      </c>
      <c r="E57" s="2" t="s">
        <v>165</v>
      </c>
      <c r="F57" s="2" t="s">
        <v>165</v>
      </c>
      <c r="G57" s="2" t="s">
        <v>165</v>
      </c>
      <c r="H57" s="2" t="s">
        <v>165</v>
      </c>
      <c r="I57" s="2" t="s">
        <v>502</v>
      </c>
      <c r="J57" s="2" t="s">
        <v>503</v>
      </c>
      <c r="K57" s="2" t="s">
        <v>165</v>
      </c>
      <c r="L57" s="2"/>
      <c r="M57" s="2"/>
      <c r="N57" s="2" t="s">
        <v>171</v>
      </c>
      <c r="O57" s="2">
        <v>1.0</v>
      </c>
      <c r="P57" s="2">
        <v>0.0</v>
      </c>
      <c r="Q57" s="2">
        <v>0.0</v>
      </c>
      <c r="R57" s="2">
        <v>1.0</v>
      </c>
      <c r="S57" s="2">
        <v>1.0</v>
      </c>
      <c r="T57" s="2" t="s">
        <v>504</v>
      </c>
    </row>
    <row r="58" ht="15.75" customHeight="1">
      <c r="A58" s="2" t="s">
        <v>155</v>
      </c>
      <c r="B58" s="2" t="s">
        <v>156</v>
      </c>
      <c r="C58" s="2" t="s">
        <v>157</v>
      </c>
      <c r="D58" s="2" t="s">
        <v>71</v>
      </c>
      <c r="E58" s="2" t="s">
        <v>158</v>
      </c>
      <c r="F58" s="2" t="s">
        <v>159</v>
      </c>
      <c r="G58" s="2" t="s">
        <v>160</v>
      </c>
      <c r="H58" s="2" t="s">
        <v>161</v>
      </c>
      <c r="I58" s="2" t="s">
        <v>162</v>
      </c>
      <c r="J58" s="2" t="s">
        <v>163</v>
      </c>
      <c r="K58" s="2"/>
      <c r="L58" s="2" t="s">
        <v>160</v>
      </c>
      <c r="M58" s="2" t="s">
        <v>161</v>
      </c>
      <c r="N58" s="2" t="s">
        <v>105</v>
      </c>
      <c r="O58" s="2">
        <v>0.0</v>
      </c>
      <c r="P58" s="2">
        <v>1.0</v>
      </c>
      <c r="Q58" s="2">
        <v>1.0</v>
      </c>
      <c r="R58" s="2">
        <v>0.0</v>
      </c>
      <c r="S58" s="2">
        <v>0.0</v>
      </c>
      <c r="T58" s="2" t="s">
        <v>167</v>
      </c>
    </row>
    <row r="59" ht="15.75" customHeight="1">
      <c r="A59" s="2" t="s">
        <v>511</v>
      </c>
      <c r="B59" s="2" t="s">
        <v>156</v>
      </c>
      <c r="C59" s="2" t="s">
        <v>157</v>
      </c>
      <c r="D59" s="2" t="s">
        <v>75</v>
      </c>
      <c r="E59" s="2" t="s">
        <v>488</v>
      </c>
      <c r="F59" s="2" t="s">
        <v>488</v>
      </c>
      <c r="G59" s="2" t="s">
        <v>453</v>
      </c>
      <c r="H59" s="2" t="s">
        <v>453</v>
      </c>
      <c r="I59" s="2" t="s">
        <v>512</v>
      </c>
      <c r="J59" s="2" t="s">
        <v>512</v>
      </c>
      <c r="K59" s="2" t="s">
        <v>453</v>
      </c>
      <c r="L59" s="2"/>
      <c r="M59" s="2"/>
      <c r="N59" s="2" t="s">
        <v>145</v>
      </c>
      <c r="O59" s="2">
        <v>1.0</v>
      </c>
      <c r="P59" s="2">
        <v>0.0</v>
      </c>
      <c r="Q59" s="2">
        <v>0.0</v>
      </c>
      <c r="R59" s="2">
        <v>1.0</v>
      </c>
      <c r="S59" s="2">
        <v>0.0</v>
      </c>
      <c r="T59" s="2" t="s">
        <v>513</v>
      </c>
    </row>
    <row r="60" ht="15.75" customHeight="1">
      <c r="A60" s="2" t="s">
        <v>514</v>
      </c>
      <c r="B60" s="2" t="s">
        <v>156</v>
      </c>
      <c r="C60" s="2" t="s">
        <v>157</v>
      </c>
      <c r="D60" s="2" t="s">
        <v>118</v>
      </c>
      <c r="E60" s="2" t="s">
        <v>225</v>
      </c>
      <c r="F60" s="2" t="s">
        <v>225</v>
      </c>
      <c r="G60" s="2" t="s">
        <v>225</v>
      </c>
      <c r="H60" s="2" t="s">
        <v>225</v>
      </c>
      <c r="I60" s="2" t="s">
        <v>515</v>
      </c>
      <c r="J60" s="2" t="s">
        <v>515</v>
      </c>
      <c r="K60" s="2" t="s">
        <v>225</v>
      </c>
      <c r="L60" s="2"/>
      <c r="M60" s="2"/>
      <c r="N60" s="2" t="s">
        <v>145</v>
      </c>
      <c r="O60" s="2">
        <v>1.0</v>
      </c>
      <c r="P60" s="2">
        <v>0.0</v>
      </c>
      <c r="Q60" s="2">
        <v>0.0</v>
      </c>
      <c r="R60" s="2">
        <v>1.0</v>
      </c>
      <c r="S60" s="2">
        <v>0.0</v>
      </c>
      <c r="T60" s="2" t="s">
        <v>520</v>
      </c>
    </row>
    <row r="61" ht="15.75" customHeight="1">
      <c r="A61" s="2" t="s">
        <v>521</v>
      </c>
      <c r="B61" s="2" t="s">
        <v>156</v>
      </c>
      <c r="C61" s="2" t="s">
        <v>157</v>
      </c>
      <c r="D61" s="2" t="s">
        <v>149</v>
      </c>
      <c r="E61" s="2" t="s">
        <v>165</v>
      </c>
      <c r="F61" s="2" t="s">
        <v>165</v>
      </c>
      <c r="G61" s="2" t="s">
        <v>165</v>
      </c>
      <c r="H61" s="2" t="s">
        <v>165</v>
      </c>
      <c r="I61" s="2" t="s">
        <v>528</v>
      </c>
      <c r="J61" s="2" t="s">
        <v>528</v>
      </c>
      <c r="K61" s="2" t="s">
        <v>165</v>
      </c>
      <c r="L61" s="2"/>
      <c r="M61" s="2"/>
      <c r="N61" s="2" t="s">
        <v>145</v>
      </c>
      <c r="O61" s="2">
        <v>1.0</v>
      </c>
      <c r="P61" s="2">
        <v>0.0</v>
      </c>
      <c r="Q61" s="2">
        <v>0.0</v>
      </c>
      <c r="R61" s="2">
        <v>1.0</v>
      </c>
      <c r="S61" s="2">
        <v>0.0</v>
      </c>
      <c r="T61" s="2" t="s">
        <v>529</v>
      </c>
    </row>
    <row r="62" ht="15.75" customHeight="1">
      <c r="A62" s="2" t="s">
        <v>530</v>
      </c>
      <c r="B62" s="2" t="s">
        <v>531</v>
      </c>
      <c r="C62" s="2" t="s">
        <v>157</v>
      </c>
      <c r="D62" s="2" t="s">
        <v>71</v>
      </c>
      <c r="E62" s="2" t="s">
        <v>532</v>
      </c>
      <c r="F62" s="2" t="s">
        <v>532</v>
      </c>
      <c r="G62" s="2" t="s">
        <v>533</v>
      </c>
      <c r="H62" s="2" t="s">
        <v>533</v>
      </c>
      <c r="I62" s="2" t="s">
        <v>534</v>
      </c>
      <c r="J62" s="2" t="s">
        <v>534</v>
      </c>
      <c r="K62" s="2" t="s">
        <v>533</v>
      </c>
      <c r="L62" s="2"/>
      <c r="M62" s="2"/>
      <c r="N62" s="2" t="s">
        <v>145</v>
      </c>
      <c r="O62" s="2">
        <v>1.0</v>
      </c>
      <c r="P62" s="2">
        <v>0.0</v>
      </c>
      <c r="Q62" s="2">
        <v>0.0</v>
      </c>
      <c r="R62" s="2">
        <v>1.0</v>
      </c>
      <c r="S62" s="2">
        <v>0.0</v>
      </c>
      <c r="T62" s="2" t="s">
        <v>535</v>
      </c>
    </row>
    <row r="63" ht="15.75" customHeight="1">
      <c r="A63" s="2" t="s">
        <v>536</v>
      </c>
      <c r="B63" s="2" t="s">
        <v>531</v>
      </c>
      <c r="C63" s="2" t="s">
        <v>157</v>
      </c>
      <c r="D63" s="2" t="s">
        <v>75</v>
      </c>
      <c r="E63" s="2" t="s">
        <v>488</v>
      </c>
      <c r="F63" s="2" t="s">
        <v>488</v>
      </c>
      <c r="G63" s="2" t="s">
        <v>453</v>
      </c>
      <c r="H63" s="2" t="s">
        <v>453</v>
      </c>
      <c r="I63" s="2" t="s">
        <v>537</v>
      </c>
      <c r="J63" s="2" t="s">
        <v>537</v>
      </c>
      <c r="K63" s="2" t="s">
        <v>453</v>
      </c>
      <c r="L63" s="2"/>
      <c r="M63" s="2"/>
      <c r="N63" s="2" t="s">
        <v>145</v>
      </c>
      <c r="O63" s="2">
        <v>1.0</v>
      </c>
      <c r="P63" s="2">
        <v>0.0</v>
      </c>
      <c r="Q63" s="2">
        <v>0.0</v>
      </c>
      <c r="R63" s="2">
        <v>1.0</v>
      </c>
      <c r="S63" s="2">
        <v>0.0</v>
      </c>
      <c r="T63" s="2" t="s">
        <v>538</v>
      </c>
    </row>
    <row r="64" ht="15.75" customHeight="1">
      <c r="A64" s="2" t="s">
        <v>539</v>
      </c>
      <c r="B64" s="2" t="s">
        <v>531</v>
      </c>
      <c r="C64" s="2" t="s">
        <v>157</v>
      </c>
      <c r="D64" s="2" t="s">
        <v>118</v>
      </c>
      <c r="E64" s="2" t="s">
        <v>226</v>
      </c>
      <c r="F64" s="2" t="s">
        <v>226</v>
      </c>
      <c r="G64" s="2" t="s">
        <v>226</v>
      </c>
      <c r="H64" s="2" t="s">
        <v>226</v>
      </c>
      <c r="I64" s="2" t="s">
        <v>540</v>
      </c>
      <c r="J64" s="2" t="s">
        <v>541</v>
      </c>
      <c r="K64" s="2" t="s">
        <v>226</v>
      </c>
      <c r="L64" s="2"/>
      <c r="M64" s="2"/>
      <c r="N64" s="2" t="s">
        <v>171</v>
      </c>
      <c r="O64" s="2">
        <v>1.0</v>
      </c>
      <c r="P64" s="2">
        <v>0.0</v>
      </c>
      <c r="Q64" s="2">
        <v>0.0</v>
      </c>
      <c r="R64" s="2">
        <v>1.0</v>
      </c>
      <c r="S64" s="2">
        <v>1.0</v>
      </c>
      <c r="T64" s="2" t="s">
        <v>542</v>
      </c>
    </row>
    <row r="65" ht="15.75" customHeight="1">
      <c r="A65" s="2" t="s">
        <v>543</v>
      </c>
      <c r="B65" s="2" t="s">
        <v>531</v>
      </c>
      <c r="C65" s="2" t="s">
        <v>157</v>
      </c>
      <c r="D65" s="2" t="s">
        <v>149</v>
      </c>
      <c r="E65" s="2" t="s">
        <v>165</v>
      </c>
      <c r="F65" s="2" t="s">
        <v>165</v>
      </c>
      <c r="G65" s="2" t="s">
        <v>165</v>
      </c>
      <c r="H65" s="2" t="s">
        <v>165</v>
      </c>
      <c r="I65" s="2" t="s">
        <v>544</v>
      </c>
      <c r="J65" s="2" t="s">
        <v>545</v>
      </c>
      <c r="K65" s="2" t="s">
        <v>165</v>
      </c>
      <c r="L65" s="2"/>
      <c r="M65" s="2"/>
      <c r="N65" s="2" t="s">
        <v>171</v>
      </c>
      <c r="O65" s="2">
        <v>1.0</v>
      </c>
      <c r="P65" s="2">
        <v>0.0</v>
      </c>
      <c r="Q65" s="2">
        <v>0.0</v>
      </c>
      <c r="R65" s="2">
        <v>1.0</v>
      </c>
      <c r="S65" s="2">
        <v>1.0</v>
      </c>
      <c r="T65" s="2" t="s">
        <v>546</v>
      </c>
    </row>
    <row r="66" ht="15.75" customHeight="1">
      <c r="A66" s="2" t="s">
        <v>204</v>
      </c>
      <c r="B66" s="2" t="s">
        <v>205</v>
      </c>
      <c r="C66" s="2" t="s">
        <v>157</v>
      </c>
      <c r="D66" s="2" t="s">
        <v>71</v>
      </c>
      <c r="E66" s="2" t="s">
        <v>206</v>
      </c>
      <c r="F66" s="2" t="s">
        <v>207</v>
      </c>
      <c r="G66" s="2" t="s">
        <v>208</v>
      </c>
      <c r="H66" s="2" t="s">
        <v>210</v>
      </c>
      <c r="I66" s="2" t="s">
        <v>211</v>
      </c>
      <c r="J66" s="2" t="s">
        <v>212</v>
      </c>
      <c r="K66" s="2"/>
      <c r="L66" s="2" t="s">
        <v>208</v>
      </c>
      <c r="M66" s="2" t="s">
        <v>210</v>
      </c>
      <c r="N66" s="2" t="s">
        <v>86</v>
      </c>
      <c r="O66" s="2">
        <v>0.0</v>
      </c>
      <c r="P66" s="2">
        <v>1.0</v>
      </c>
      <c r="Q66" s="2">
        <v>1.0</v>
      </c>
      <c r="R66" s="2">
        <v>0.0</v>
      </c>
      <c r="S66" s="2">
        <v>0.0</v>
      </c>
      <c r="T66" s="2" t="s">
        <v>221</v>
      </c>
    </row>
    <row r="67" ht="15.75" customHeight="1">
      <c r="A67" s="2" t="s">
        <v>547</v>
      </c>
      <c r="B67" s="2" t="s">
        <v>205</v>
      </c>
      <c r="C67" s="2" t="s">
        <v>157</v>
      </c>
      <c r="D67" s="2" t="s">
        <v>75</v>
      </c>
      <c r="E67" s="2" t="s">
        <v>548</v>
      </c>
      <c r="F67" s="2" t="s">
        <v>548</v>
      </c>
      <c r="G67" s="2" t="s">
        <v>92</v>
      </c>
      <c r="H67" s="2" t="s">
        <v>92</v>
      </c>
      <c r="I67" s="2" t="s">
        <v>551</v>
      </c>
      <c r="J67" s="2" t="s">
        <v>551</v>
      </c>
      <c r="K67" s="2" t="s">
        <v>92</v>
      </c>
      <c r="L67" s="2"/>
      <c r="M67" s="2"/>
      <c r="N67" s="2" t="s">
        <v>145</v>
      </c>
      <c r="O67" s="2">
        <v>1.0</v>
      </c>
      <c r="P67" s="2">
        <v>0.0</v>
      </c>
      <c r="Q67" s="2">
        <v>0.0</v>
      </c>
      <c r="R67" s="2">
        <v>1.0</v>
      </c>
      <c r="S67" s="2">
        <v>0.0</v>
      </c>
      <c r="T67" s="2" t="s">
        <v>558</v>
      </c>
    </row>
    <row r="68" ht="15.75" customHeight="1">
      <c r="A68" s="2" t="s">
        <v>559</v>
      </c>
      <c r="B68" s="2" t="s">
        <v>205</v>
      </c>
      <c r="C68" s="2" t="s">
        <v>157</v>
      </c>
      <c r="D68" s="2" t="s">
        <v>118</v>
      </c>
      <c r="E68" s="2" t="s">
        <v>225</v>
      </c>
      <c r="F68" s="2" t="s">
        <v>225</v>
      </c>
      <c r="G68" s="2" t="s">
        <v>225</v>
      </c>
      <c r="H68" s="2" t="s">
        <v>225</v>
      </c>
      <c r="I68" s="2" t="s">
        <v>560</v>
      </c>
      <c r="J68" s="2" t="s">
        <v>560</v>
      </c>
      <c r="K68" s="2" t="s">
        <v>225</v>
      </c>
      <c r="L68" s="2"/>
      <c r="M68" s="2"/>
      <c r="N68" s="2" t="s">
        <v>145</v>
      </c>
      <c r="O68" s="2">
        <v>1.0</v>
      </c>
      <c r="P68" s="2">
        <v>0.0</v>
      </c>
      <c r="Q68" s="2">
        <v>0.0</v>
      </c>
      <c r="R68" s="2">
        <v>1.0</v>
      </c>
      <c r="S68" s="2">
        <v>0.0</v>
      </c>
      <c r="T68" s="2" t="s">
        <v>561</v>
      </c>
    </row>
    <row r="69" ht="15.75" customHeight="1">
      <c r="A69" s="2" t="s">
        <v>562</v>
      </c>
      <c r="B69" s="2" t="s">
        <v>205</v>
      </c>
      <c r="C69" s="2" t="s">
        <v>157</v>
      </c>
      <c r="D69" s="2" t="s">
        <v>149</v>
      </c>
      <c r="E69" s="2" t="s">
        <v>165</v>
      </c>
      <c r="F69" s="2" t="s">
        <v>165</v>
      </c>
      <c r="G69" s="2" t="s">
        <v>165</v>
      </c>
      <c r="H69" s="2" t="s">
        <v>165</v>
      </c>
      <c r="I69" s="2" t="s">
        <v>563</v>
      </c>
      <c r="J69" s="2" t="s">
        <v>564</v>
      </c>
      <c r="K69" s="2" t="s">
        <v>165</v>
      </c>
      <c r="L69" s="2"/>
      <c r="M69" s="2"/>
      <c r="N69" s="2" t="s">
        <v>171</v>
      </c>
      <c r="O69" s="2">
        <v>1.0</v>
      </c>
      <c r="P69" s="2">
        <v>0.0</v>
      </c>
      <c r="Q69" s="2">
        <v>0.0</v>
      </c>
      <c r="R69" s="2">
        <v>1.0</v>
      </c>
      <c r="S69" s="2">
        <v>1.0</v>
      </c>
      <c r="T69" s="2" t="s">
        <v>565</v>
      </c>
    </row>
    <row r="70" ht="15.75" customHeight="1">
      <c r="A70" s="2" t="s">
        <v>566</v>
      </c>
      <c r="B70" s="2" t="s">
        <v>567</v>
      </c>
      <c r="C70" s="2" t="s">
        <v>157</v>
      </c>
      <c r="D70" s="2" t="s">
        <v>71</v>
      </c>
      <c r="E70" s="2" t="s">
        <v>568</v>
      </c>
      <c r="F70" s="2" t="s">
        <v>568</v>
      </c>
      <c r="G70" s="2" t="s">
        <v>569</v>
      </c>
      <c r="H70" s="2" t="s">
        <v>569</v>
      </c>
      <c r="I70" s="2" t="s">
        <v>570</v>
      </c>
      <c r="J70" s="2" t="s">
        <v>570</v>
      </c>
      <c r="K70" s="2" t="s">
        <v>569</v>
      </c>
      <c r="L70" s="2"/>
      <c r="M70" s="2"/>
      <c r="N70" s="2" t="s">
        <v>145</v>
      </c>
      <c r="O70" s="2">
        <v>1.0</v>
      </c>
      <c r="P70" s="2">
        <v>0.0</v>
      </c>
      <c r="Q70" s="2">
        <v>0.0</v>
      </c>
      <c r="R70" s="2">
        <v>1.0</v>
      </c>
      <c r="S70" s="2">
        <v>0.0</v>
      </c>
      <c r="T70" s="2" t="s">
        <v>571</v>
      </c>
    </row>
    <row r="71" ht="15.75" customHeight="1">
      <c r="A71" s="2" t="s">
        <v>572</v>
      </c>
      <c r="B71" s="2" t="s">
        <v>567</v>
      </c>
      <c r="C71" s="2" t="s">
        <v>157</v>
      </c>
      <c r="D71" s="2" t="s">
        <v>75</v>
      </c>
      <c r="E71" s="2" t="s">
        <v>191</v>
      </c>
      <c r="F71" s="2" t="s">
        <v>191</v>
      </c>
      <c r="G71" s="2" t="s">
        <v>194</v>
      </c>
      <c r="H71" s="2" t="s">
        <v>194</v>
      </c>
      <c r="I71" s="2" t="s">
        <v>575</v>
      </c>
      <c r="J71" s="2" t="s">
        <v>575</v>
      </c>
      <c r="K71" s="2" t="s">
        <v>194</v>
      </c>
      <c r="L71" s="2"/>
      <c r="M71" s="2"/>
      <c r="N71" s="2" t="s">
        <v>145</v>
      </c>
      <c r="O71" s="2">
        <v>1.0</v>
      </c>
      <c r="P71" s="2">
        <v>0.0</v>
      </c>
      <c r="Q71" s="2">
        <v>0.0</v>
      </c>
      <c r="R71" s="2">
        <v>1.0</v>
      </c>
      <c r="S71" s="2">
        <v>0.0</v>
      </c>
      <c r="T71" s="2" t="s">
        <v>581</v>
      </c>
    </row>
    <row r="72" ht="15.75" customHeight="1">
      <c r="A72" s="2" t="s">
        <v>582</v>
      </c>
      <c r="B72" s="2" t="s">
        <v>567</v>
      </c>
      <c r="C72" s="2" t="s">
        <v>157</v>
      </c>
      <c r="D72" s="2" t="s">
        <v>118</v>
      </c>
      <c r="E72" s="2" t="s">
        <v>226</v>
      </c>
      <c r="F72" s="2" t="s">
        <v>226</v>
      </c>
      <c r="G72" s="2" t="s">
        <v>226</v>
      </c>
      <c r="H72" s="2" t="s">
        <v>226</v>
      </c>
      <c r="I72" s="2" t="s">
        <v>583</v>
      </c>
      <c r="J72" s="2" t="s">
        <v>584</v>
      </c>
      <c r="K72" s="2" t="s">
        <v>226</v>
      </c>
      <c r="L72" s="2"/>
      <c r="M72" s="2"/>
      <c r="N72" s="2" t="s">
        <v>171</v>
      </c>
      <c r="O72" s="2">
        <v>1.0</v>
      </c>
      <c r="P72" s="2">
        <v>0.0</v>
      </c>
      <c r="Q72" s="2">
        <v>0.0</v>
      </c>
      <c r="R72" s="2">
        <v>1.0</v>
      </c>
      <c r="S72" s="2">
        <v>1.0</v>
      </c>
      <c r="T72" s="2" t="s">
        <v>585</v>
      </c>
    </row>
    <row r="73" ht="15.75" customHeight="1">
      <c r="A73" s="2" t="s">
        <v>586</v>
      </c>
      <c r="B73" s="2" t="s">
        <v>567</v>
      </c>
      <c r="C73" s="2" t="s">
        <v>157</v>
      </c>
      <c r="D73" s="2" t="s">
        <v>149</v>
      </c>
      <c r="E73" s="2" t="s">
        <v>165</v>
      </c>
      <c r="F73" s="2" t="s">
        <v>165</v>
      </c>
      <c r="G73" s="2" t="s">
        <v>165</v>
      </c>
      <c r="H73" s="2" t="s">
        <v>165</v>
      </c>
      <c r="I73" s="2" t="s">
        <v>587</v>
      </c>
      <c r="J73" s="2" t="s">
        <v>588</v>
      </c>
      <c r="K73" s="2" t="s">
        <v>165</v>
      </c>
      <c r="L73" s="2"/>
      <c r="M73" s="2"/>
      <c r="N73" s="2" t="s">
        <v>171</v>
      </c>
      <c r="O73" s="2">
        <v>1.0</v>
      </c>
      <c r="P73" s="2">
        <v>0.0</v>
      </c>
      <c r="Q73" s="2">
        <v>0.0</v>
      </c>
      <c r="R73" s="2">
        <v>1.0</v>
      </c>
      <c r="S73" s="2">
        <v>1.0</v>
      </c>
      <c r="T73" s="2" t="s">
        <v>589</v>
      </c>
    </row>
    <row r="74" ht="15.75" customHeight="1">
      <c r="A74" s="2" t="s">
        <v>590</v>
      </c>
      <c r="B74" s="2" t="s">
        <v>256</v>
      </c>
      <c r="C74" s="2" t="s">
        <v>157</v>
      </c>
      <c r="D74" s="2" t="s">
        <v>71</v>
      </c>
      <c r="E74" s="2" t="s">
        <v>591</v>
      </c>
      <c r="F74" s="2" t="s">
        <v>591</v>
      </c>
      <c r="G74" s="2" t="s">
        <v>592</v>
      </c>
      <c r="H74" s="2" t="s">
        <v>592</v>
      </c>
      <c r="I74" s="2" t="s">
        <v>593</v>
      </c>
      <c r="J74" s="2" t="s">
        <v>593</v>
      </c>
      <c r="K74" s="2" t="s">
        <v>592</v>
      </c>
      <c r="L74" s="2"/>
      <c r="M74" s="2"/>
      <c r="N74" s="2" t="s">
        <v>145</v>
      </c>
      <c r="O74" s="2">
        <v>1.0</v>
      </c>
      <c r="P74" s="2">
        <v>0.0</v>
      </c>
      <c r="Q74" s="2">
        <v>0.0</v>
      </c>
      <c r="R74" s="2">
        <v>1.0</v>
      </c>
      <c r="S74" s="2">
        <v>0.0</v>
      </c>
      <c r="T74" s="2" t="s">
        <v>595</v>
      </c>
    </row>
    <row r="75" ht="15.75" customHeight="1">
      <c r="A75" s="2" t="s">
        <v>597</v>
      </c>
      <c r="B75" s="2" t="s">
        <v>256</v>
      </c>
      <c r="C75" s="2" t="s">
        <v>157</v>
      </c>
      <c r="D75" s="2" t="s">
        <v>75</v>
      </c>
      <c r="E75" s="2" t="s">
        <v>599</v>
      </c>
      <c r="F75" s="2" t="s">
        <v>599</v>
      </c>
      <c r="G75" s="2" t="s">
        <v>601</v>
      </c>
      <c r="H75" s="2" t="s">
        <v>601</v>
      </c>
      <c r="I75" s="2" t="s">
        <v>604</v>
      </c>
      <c r="J75" s="2" t="s">
        <v>604</v>
      </c>
      <c r="K75" s="2" t="s">
        <v>601</v>
      </c>
      <c r="L75" s="2"/>
      <c r="M75" s="2"/>
      <c r="N75" s="2" t="s">
        <v>145</v>
      </c>
      <c r="O75" s="2">
        <v>1.0</v>
      </c>
      <c r="P75" s="2">
        <v>0.0</v>
      </c>
      <c r="Q75" s="2">
        <v>0.0</v>
      </c>
      <c r="R75" s="2">
        <v>1.0</v>
      </c>
      <c r="S75" s="2">
        <v>0.0</v>
      </c>
      <c r="T75" s="2" t="s">
        <v>606</v>
      </c>
    </row>
    <row r="76" ht="15.75" customHeight="1">
      <c r="A76" s="2" t="s">
        <v>255</v>
      </c>
      <c r="B76" s="2" t="s">
        <v>256</v>
      </c>
      <c r="C76" s="2" t="s">
        <v>157</v>
      </c>
      <c r="D76" s="2" t="s">
        <v>118</v>
      </c>
      <c r="E76" s="2" t="s">
        <v>226</v>
      </c>
      <c r="F76" s="2" t="s">
        <v>258</v>
      </c>
      <c r="G76" s="2" t="s">
        <v>226</v>
      </c>
      <c r="H76" s="2" t="s">
        <v>259</v>
      </c>
      <c r="I76" s="2" t="s">
        <v>260</v>
      </c>
      <c r="J76" s="2" t="s">
        <v>261</v>
      </c>
      <c r="K76" s="2" t="s">
        <v>226</v>
      </c>
      <c r="L76" s="2"/>
      <c r="M76" s="2" t="s">
        <v>240</v>
      </c>
      <c r="N76" s="2" t="s">
        <v>132</v>
      </c>
      <c r="O76" s="2">
        <v>1.0</v>
      </c>
      <c r="P76" s="2">
        <v>0.0</v>
      </c>
      <c r="Q76" s="2">
        <v>1.0</v>
      </c>
      <c r="R76" s="2">
        <v>0.0</v>
      </c>
      <c r="S76" s="2">
        <v>0.0</v>
      </c>
      <c r="T76" s="2" t="s">
        <v>265</v>
      </c>
    </row>
    <row r="77" ht="15.75" customHeight="1">
      <c r="A77" s="2" t="s">
        <v>607</v>
      </c>
      <c r="B77" s="2" t="s">
        <v>256</v>
      </c>
      <c r="C77" s="2" t="s">
        <v>157</v>
      </c>
      <c r="D77" s="2" t="s">
        <v>149</v>
      </c>
      <c r="E77" s="2" t="s">
        <v>165</v>
      </c>
      <c r="F77" s="2" t="s">
        <v>165</v>
      </c>
      <c r="G77" s="2" t="s">
        <v>165</v>
      </c>
      <c r="H77" s="2" t="s">
        <v>165</v>
      </c>
      <c r="I77" s="2" t="s">
        <v>608</v>
      </c>
      <c r="J77" s="2" t="s">
        <v>609</v>
      </c>
      <c r="K77" s="2" t="s">
        <v>165</v>
      </c>
      <c r="L77" s="2"/>
      <c r="M77" s="2"/>
      <c r="N77" s="2" t="s">
        <v>171</v>
      </c>
      <c r="O77" s="2">
        <v>1.0</v>
      </c>
      <c r="P77" s="2">
        <v>0.0</v>
      </c>
      <c r="Q77" s="2">
        <v>0.0</v>
      </c>
      <c r="R77" s="2">
        <v>1.0</v>
      </c>
      <c r="S77" s="2">
        <v>1.0</v>
      </c>
      <c r="T77" s="2" t="s">
        <v>610</v>
      </c>
    </row>
    <row r="78" ht="15.75" customHeight="1">
      <c r="A78" s="2" t="s">
        <v>611</v>
      </c>
      <c r="B78" s="2" t="s">
        <v>238</v>
      </c>
      <c r="C78" s="2" t="s">
        <v>157</v>
      </c>
      <c r="D78" s="2" t="s">
        <v>71</v>
      </c>
      <c r="E78" s="2" t="s">
        <v>612</v>
      </c>
      <c r="F78" s="2" t="s">
        <v>613</v>
      </c>
      <c r="G78" s="2" t="s">
        <v>614</v>
      </c>
      <c r="H78" s="2" t="s">
        <v>614</v>
      </c>
      <c r="I78" s="2" t="s">
        <v>615</v>
      </c>
      <c r="J78" s="2" t="s">
        <v>616</v>
      </c>
      <c r="K78" s="2" t="s">
        <v>614</v>
      </c>
      <c r="L78" s="2"/>
      <c r="M78" s="2"/>
      <c r="N78" s="2" t="s">
        <v>171</v>
      </c>
      <c r="O78" s="2">
        <v>1.0</v>
      </c>
      <c r="P78" s="2">
        <v>0.0</v>
      </c>
      <c r="Q78" s="2">
        <v>0.0</v>
      </c>
      <c r="R78" s="2">
        <v>1.0</v>
      </c>
      <c r="S78" s="2">
        <v>1.0</v>
      </c>
      <c r="T78" s="2" t="s">
        <v>617</v>
      </c>
    </row>
    <row r="79" ht="15.75" customHeight="1">
      <c r="A79" s="2" t="s">
        <v>618</v>
      </c>
      <c r="B79" s="2" t="s">
        <v>238</v>
      </c>
      <c r="C79" s="2" t="s">
        <v>157</v>
      </c>
      <c r="D79" s="2" t="s">
        <v>75</v>
      </c>
      <c r="E79" s="2" t="s">
        <v>599</v>
      </c>
      <c r="F79" s="2" t="s">
        <v>599</v>
      </c>
      <c r="G79" s="2" t="s">
        <v>601</v>
      </c>
      <c r="H79" s="2" t="s">
        <v>601</v>
      </c>
      <c r="I79" s="2" t="s">
        <v>619</v>
      </c>
      <c r="J79" s="2" t="s">
        <v>619</v>
      </c>
      <c r="K79" s="2" t="s">
        <v>601</v>
      </c>
      <c r="L79" s="2"/>
      <c r="M79" s="2"/>
      <c r="N79" s="2" t="s">
        <v>145</v>
      </c>
      <c r="O79" s="2">
        <v>1.0</v>
      </c>
      <c r="P79" s="2">
        <v>0.0</v>
      </c>
      <c r="Q79" s="2">
        <v>0.0</v>
      </c>
      <c r="R79" s="2">
        <v>1.0</v>
      </c>
      <c r="S79" s="2">
        <v>0.0</v>
      </c>
      <c r="T79" s="2" t="s">
        <v>620</v>
      </c>
    </row>
    <row r="80" ht="15.75" customHeight="1">
      <c r="A80" s="2" t="s">
        <v>237</v>
      </c>
      <c r="B80" s="2" t="s">
        <v>238</v>
      </c>
      <c r="C80" s="2" t="s">
        <v>157</v>
      </c>
      <c r="D80" s="2" t="s">
        <v>118</v>
      </c>
      <c r="E80" s="2" t="s">
        <v>239</v>
      </c>
      <c r="F80" s="2" t="s">
        <v>240</v>
      </c>
      <c r="G80" s="2" t="s">
        <v>239</v>
      </c>
      <c r="H80" s="2" t="s">
        <v>240</v>
      </c>
      <c r="I80" s="2" t="s">
        <v>243</v>
      </c>
      <c r="J80" s="2" t="s">
        <v>244</v>
      </c>
      <c r="K80" s="2"/>
      <c r="L80" s="2" t="s">
        <v>239</v>
      </c>
      <c r="M80" s="2" t="s">
        <v>240</v>
      </c>
      <c r="N80" s="2" t="s">
        <v>105</v>
      </c>
      <c r="O80" s="2">
        <v>0.0</v>
      </c>
      <c r="P80" s="2">
        <v>1.0</v>
      </c>
      <c r="Q80" s="2">
        <v>1.0</v>
      </c>
      <c r="R80" s="2">
        <v>0.0</v>
      </c>
      <c r="S80" s="2">
        <v>0.0</v>
      </c>
      <c r="T80" s="2" t="s">
        <v>254</v>
      </c>
    </row>
    <row r="81" ht="15.75" customHeight="1">
      <c r="A81" s="2" t="s">
        <v>622</v>
      </c>
      <c r="B81" s="2" t="s">
        <v>238</v>
      </c>
      <c r="C81" s="2" t="s">
        <v>157</v>
      </c>
      <c r="D81" s="2" t="s">
        <v>149</v>
      </c>
      <c r="E81" s="2" t="s">
        <v>165</v>
      </c>
      <c r="F81" s="2" t="s">
        <v>165</v>
      </c>
      <c r="G81" s="2" t="s">
        <v>165</v>
      </c>
      <c r="H81" s="2" t="s">
        <v>165</v>
      </c>
      <c r="I81" s="2" t="s">
        <v>627</v>
      </c>
      <c r="J81" s="2" t="s">
        <v>629</v>
      </c>
      <c r="K81" s="2" t="s">
        <v>165</v>
      </c>
      <c r="L81" s="2"/>
      <c r="M81" s="2"/>
      <c r="N81" s="2" t="s">
        <v>171</v>
      </c>
      <c r="O81" s="2">
        <v>1.0</v>
      </c>
      <c r="P81" s="2">
        <v>0.0</v>
      </c>
      <c r="Q81" s="2">
        <v>0.0</v>
      </c>
      <c r="R81" s="2">
        <v>1.0</v>
      </c>
      <c r="S81" s="2">
        <v>1.0</v>
      </c>
      <c r="T81" s="2" t="s">
        <v>632</v>
      </c>
    </row>
    <row r="82" ht="15.75" customHeight="1">
      <c r="A82" s="2" t="s">
        <v>633</v>
      </c>
      <c r="B82" s="2" t="s">
        <v>634</v>
      </c>
      <c r="C82" s="2" t="s">
        <v>157</v>
      </c>
      <c r="D82" s="2" t="s">
        <v>71</v>
      </c>
      <c r="E82" s="2" t="s">
        <v>635</v>
      </c>
      <c r="F82" s="2" t="s">
        <v>635</v>
      </c>
      <c r="G82" s="2" t="s">
        <v>636</v>
      </c>
      <c r="H82" s="2" t="s">
        <v>636</v>
      </c>
      <c r="I82" s="2" t="s">
        <v>637</v>
      </c>
      <c r="J82" s="2" t="s">
        <v>637</v>
      </c>
      <c r="K82" s="2" t="s">
        <v>636</v>
      </c>
      <c r="L82" s="2"/>
      <c r="M82" s="2"/>
      <c r="N82" s="2" t="s">
        <v>145</v>
      </c>
      <c r="O82" s="2">
        <v>1.0</v>
      </c>
      <c r="P82" s="2">
        <v>0.0</v>
      </c>
      <c r="Q82" s="2">
        <v>0.0</v>
      </c>
      <c r="R82" s="2">
        <v>1.0</v>
      </c>
      <c r="S82" s="2">
        <v>0.0</v>
      </c>
      <c r="T82" s="2" t="s">
        <v>638</v>
      </c>
    </row>
    <row r="83" ht="15.75" customHeight="1">
      <c r="A83" s="2" t="s">
        <v>639</v>
      </c>
      <c r="B83" s="2" t="s">
        <v>634</v>
      </c>
      <c r="C83" s="2" t="s">
        <v>157</v>
      </c>
      <c r="D83" s="2" t="s">
        <v>75</v>
      </c>
      <c r="E83" s="2" t="s">
        <v>642</v>
      </c>
      <c r="F83" s="2" t="s">
        <v>642</v>
      </c>
      <c r="G83" s="2" t="s">
        <v>644</v>
      </c>
      <c r="H83" s="2" t="s">
        <v>644</v>
      </c>
      <c r="I83" s="2" t="s">
        <v>646</v>
      </c>
      <c r="J83" s="2" t="s">
        <v>646</v>
      </c>
      <c r="K83" s="2" t="s">
        <v>644</v>
      </c>
      <c r="L83" s="2"/>
      <c r="M83" s="2"/>
      <c r="N83" s="2" t="s">
        <v>145</v>
      </c>
      <c r="O83" s="2">
        <v>1.0</v>
      </c>
      <c r="P83" s="2">
        <v>0.0</v>
      </c>
      <c r="Q83" s="2">
        <v>0.0</v>
      </c>
      <c r="R83" s="2">
        <v>1.0</v>
      </c>
      <c r="S83" s="2">
        <v>0.0</v>
      </c>
      <c r="T83" s="2" t="s">
        <v>651</v>
      </c>
    </row>
    <row r="84" ht="15.75" customHeight="1">
      <c r="A84" s="2" t="s">
        <v>652</v>
      </c>
      <c r="B84" s="2" t="s">
        <v>634</v>
      </c>
      <c r="C84" s="2" t="s">
        <v>157</v>
      </c>
      <c r="D84" s="2" t="s">
        <v>118</v>
      </c>
      <c r="E84" s="2" t="s">
        <v>226</v>
      </c>
      <c r="F84" s="2" t="s">
        <v>226</v>
      </c>
      <c r="G84" s="2" t="s">
        <v>226</v>
      </c>
      <c r="H84" s="2" t="s">
        <v>226</v>
      </c>
      <c r="I84" s="2" t="s">
        <v>653</v>
      </c>
      <c r="J84" s="2" t="s">
        <v>654</v>
      </c>
      <c r="K84" s="2" t="s">
        <v>226</v>
      </c>
      <c r="L84" s="2"/>
      <c r="M84" s="2"/>
      <c r="N84" s="2" t="s">
        <v>171</v>
      </c>
      <c r="O84" s="2">
        <v>1.0</v>
      </c>
      <c r="P84" s="2">
        <v>0.0</v>
      </c>
      <c r="Q84" s="2">
        <v>0.0</v>
      </c>
      <c r="R84" s="2">
        <v>1.0</v>
      </c>
      <c r="S84" s="2">
        <v>1.0</v>
      </c>
      <c r="T84" s="2" t="s">
        <v>655</v>
      </c>
    </row>
    <row r="85" ht="15.75" customHeight="1">
      <c r="A85" s="2" t="s">
        <v>656</v>
      </c>
      <c r="B85" s="2" t="s">
        <v>634</v>
      </c>
      <c r="C85" s="2" t="s">
        <v>157</v>
      </c>
      <c r="D85" s="2" t="s">
        <v>149</v>
      </c>
      <c r="E85" s="2" t="s">
        <v>165</v>
      </c>
      <c r="F85" s="2" t="s">
        <v>165</v>
      </c>
      <c r="G85" s="2" t="s">
        <v>165</v>
      </c>
      <c r="H85" s="2" t="s">
        <v>165</v>
      </c>
      <c r="I85" s="2" t="s">
        <v>657</v>
      </c>
      <c r="J85" s="2" t="s">
        <v>658</v>
      </c>
      <c r="K85" s="2" t="s">
        <v>165</v>
      </c>
      <c r="L85" s="2"/>
      <c r="M85" s="2"/>
      <c r="N85" s="2" t="s">
        <v>171</v>
      </c>
      <c r="O85" s="2">
        <v>1.0</v>
      </c>
      <c r="P85" s="2">
        <v>0.0</v>
      </c>
      <c r="Q85" s="2">
        <v>0.0</v>
      </c>
      <c r="R85" s="2">
        <v>1.0</v>
      </c>
      <c r="S85" s="2">
        <v>1.0</v>
      </c>
      <c r="T85" s="2" t="s">
        <v>667</v>
      </c>
    </row>
    <row r="86" ht="15.75" customHeight="1">
      <c r="A86" s="2" t="s">
        <v>668</v>
      </c>
      <c r="B86" s="2" t="s">
        <v>669</v>
      </c>
      <c r="C86" s="2" t="s">
        <v>157</v>
      </c>
      <c r="D86" s="2" t="s">
        <v>71</v>
      </c>
      <c r="E86" s="2" t="s">
        <v>670</v>
      </c>
      <c r="F86" s="2" t="s">
        <v>670</v>
      </c>
      <c r="G86" s="2" t="s">
        <v>671</v>
      </c>
      <c r="H86" s="2" t="s">
        <v>671</v>
      </c>
      <c r="I86" s="2" t="s">
        <v>672</v>
      </c>
      <c r="J86" s="2" t="s">
        <v>672</v>
      </c>
      <c r="K86" s="2" t="s">
        <v>671</v>
      </c>
      <c r="L86" s="2"/>
      <c r="M86" s="2"/>
      <c r="N86" s="2" t="s">
        <v>145</v>
      </c>
      <c r="O86" s="2">
        <v>1.0</v>
      </c>
      <c r="P86" s="2">
        <v>0.0</v>
      </c>
      <c r="Q86" s="2">
        <v>0.0</v>
      </c>
      <c r="R86" s="2">
        <v>1.0</v>
      </c>
      <c r="S86" s="2">
        <v>0.0</v>
      </c>
      <c r="T86" s="2" t="s">
        <v>673</v>
      </c>
    </row>
    <row r="87" ht="15.75" customHeight="1">
      <c r="A87" s="2" t="s">
        <v>674</v>
      </c>
      <c r="B87" s="2" t="s">
        <v>669</v>
      </c>
      <c r="C87" s="2" t="s">
        <v>157</v>
      </c>
      <c r="D87" s="2" t="s">
        <v>75</v>
      </c>
      <c r="E87" s="2" t="s">
        <v>642</v>
      </c>
      <c r="F87" s="2" t="s">
        <v>642</v>
      </c>
      <c r="G87" s="2" t="s">
        <v>644</v>
      </c>
      <c r="H87" s="2" t="s">
        <v>644</v>
      </c>
      <c r="I87" s="2" t="s">
        <v>676</v>
      </c>
      <c r="J87" s="2" t="s">
        <v>676</v>
      </c>
      <c r="K87" s="2" t="s">
        <v>644</v>
      </c>
      <c r="L87" s="2"/>
      <c r="M87" s="2"/>
      <c r="N87" s="2" t="s">
        <v>145</v>
      </c>
      <c r="O87" s="2">
        <v>1.0</v>
      </c>
      <c r="P87" s="2">
        <v>0.0</v>
      </c>
      <c r="Q87" s="2">
        <v>0.0</v>
      </c>
      <c r="R87" s="2">
        <v>1.0</v>
      </c>
      <c r="S87" s="2">
        <v>0.0</v>
      </c>
      <c r="T87" s="2" t="s">
        <v>683</v>
      </c>
    </row>
    <row r="88" ht="15.75" customHeight="1">
      <c r="A88" s="2" t="s">
        <v>684</v>
      </c>
      <c r="B88" s="2" t="s">
        <v>669</v>
      </c>
      <c r="C88" s="2" t="s">
        <v>157</v>
      </c>
      <c r="D88" s="2" t="s">
        <v>118</v>
      </c>
      <c r="E88" s="2" t="s">
        <v>226</v>
      </c>
      <c r="F88" s="2" t="s">
        <v>226</v>
      </c>
      <c r="G88" s="2" t="s">
        <v>226</v>
      </c>
      <c r="H88" s="2" t="s">
        <v>226</v>
      </c>
      <c r="I88" s="2" t="s">
        <v>685</v>
      </c>
      <c r="J88" s="2" t="s">
        <v>686</v>
      </c>
      <c r="K88" s="2" t="s">
        <v>226</v>
      </c>
      <c r="L88" s="2"/>
      <c r="M88" s="2"/>
      <c r="N88" s="2" t="s">
        <v>171</v>
      </c>
      <c r="O88" s="2">
        <v>1.0</v>
      </c>
      <c r="P88" s="2">
        <v>0.0</v>
      </c>
      <c r="Q88" s="2">
        <v>0.0</v>
      </c>
      <c r="R88" s="2">
        <v>1.0</v>
      </c>
      <c r="S88" s="2">
        <v>1.0</v>
      </c>
      <c r="T88" s="2" t="s">
        <v>687</v>
      </c>
    </row>
    <row r="89" ht="15.75" customHeight="1">
      <c r="A89" s="2" t="s">
        <v>688</v>
      </c>
      <c r="B89" s="2" t="s">
        <v>669</v>
      </c>
      <c r="C89" s="2" t="s">
        <v>157</v>
      </c>
      <c r="D89" s="2" t="s">
        <v>149</v>
      </c>
      <c r="E89" s="2" t="s">
        <v>165</v>
      </c>
      <c r="F89" s="2" t="s">
        <v>165</v>
      </c>
      <c r="G89" s="2" t="s">
        <v>165</v>
      </c>
      <c r="H89" s="2" t="s">
        <v>165</v>
      </c>
      <c r="I89" s="2" t="s">
        <v>690</v>
      </c>
      <c r="J89" s="2" t="s">
        <v>692</v>
      </c>
      <c r="K89" s="2" t="s">
        <v>165</v>
      </c>
      <c r="L89" s="2"/>
      <c r="M89" s="2"/>
      <c r="N89" s="2" t="s">
        <v>171</v>
      </c>
      <c r="O89" s="2">
        <v>1.0</v>
      </c>
      <c r="P89" s="2">
        <v>0.0</v>
      </c>
      <c r="Q89" s="2">
        <v>0.0</v>
      </c>
      <c r="R89" s="2">
        <v>1.0</v>
      </c>
      <c r="S89" s="2">
        <v>1.0</v>
      </c>
      <c r="T89" s="2" t="s">
        <v>696</v>
      </c>
    </row>
    <row r="90" ht="15.75" customHeight="1">
      <c r="A90" s="2" t="s">
        <v>697</v>
      </c>
      <c r="B90" s="2" t="s">
        <v>698</v>
      </c>
      <c r="C90" s="2" t="s">
        <v>157</v>
      </c>
      <c r="D90" s="2" t="s">
        <v>71</v>
      </c>
      <c r="E90" s="2" t="s">
        <v>699</v>
      </c>
      <c r="F90" s="2" t="s">
        <v>699</v>
      </c>
      <c r="G90" s="2" t="s">
        <v>700</v>
      </c>
      <c r="H90" s="2" t="s">
        <v>700</v>
      </c>
      <c r="I90" s="2" t="s">
        <v>701</v>
      </c>
      <c r="J90" s="2" t="s">
        <v>701</v>
      </c>
      <c r="K90" s="2" t="s">
        <v>700</v>
      </c>
      <c r="L90" s="2"/>
      <c r="M90" s="2"/>
      <c r="N90" s="2" t="s">
        <v>145</v>
      </c>
      <c r="O90" s="2">
        <v>1.0</v>
      </c>
      <c r="P90" s="2">
        <v>0.0</v>
      </c>
      <c r="Q90" s="2">
        <v>0.0</v>
      </c>
      <c r="R90" s="2">
        <v>1.0</v>
      </c>
      <c r="S90" s="2">
        <v>0.0</v>
      </c>
      <c r="T90" s="2" t="s">
        <v>702</v>
      </c>
    </row>
    <row r="91" ht="15.75" customHeight="1">
      <c r="A91" s="2" t="s">
        <v>703</v>
      </c>
      <c r="B91" s="2" t="s">
        <v>698</v>
      </c>
      <c r="C91" s="2" t="s">
        <v>157</v>
      </c>
      <c r="D91" s="2" t="s">
        <v>75</v>
      </c>
      <c r="E91" s="2" t="s">
        <v>642</v>
      </c>
      <c r="F91" s="2" t="s">
        <v>642</v>
      </c>
      <c r="G91" s="2" t="s">
        <v>644</v>
      </c>
      <c r="H91" s="2" t="s">
        <v>644</v>
      </c>
      <c r="I91" s="2" t="s">
        <v>704</v>
      </c>
      <c r="J91" s="2" t="s">
        <v>704</v>
      </c>
      <c r="K91" s="2" t="s">
        <v>644</v>
      </c>
      <c r="L91" s="2"/>
      <c r="M91" s="2"/>
      <c r="N91" s="2" t="s">
        <v>145</v>
      </c>
      <c r="O91" s="2">
        <v>1.0</v>
      </c>
      <c r="P91" s="2">
        <v>0.0</v>
      </c>
      <c r="Q91" s="2">
        <v>0.0</v>
      </c>
      <c r="R91" s="2">
        <v>1.0</v>
      </c>
      <c r="S91" s="2">
        <v>0.0</v>
      </c>
      <c r="T91" s="2" t="s">
        <v>708</v>
      </c>
    </row>
    <row r="92" ht="15.75" customHeight="1">
      <c r="A92" s="2" t="s">
        <v>709</v>
      </c>
      <c r="B92" s="2" t="s">
        <v>698</v>
      </c>
      <c r="C92" s="2" t="s">
        <v>157</v>
      </c>
      <c r="D92" s="2" t="s">
        <v>118</v>
      </c>
      <c r="E92" s="2" t="s">
        <v>226</v>
      </c>
      <c r="F92" s="2" t="s">
        <v>226</v>
      </c>
      <c r="G92" s="2" t="s">
        <v>226</v>
      </c>
      <c r="H92" s="2" t="s">
        <v>226</v>
      </c>
      <c r="I92" s="2" t="s">
        <v>710</v>
      </c>
      <c r="J92" s="2" t="s">
        <v>711</v>
      </c>
      <c r="K92" s="2" t="s">
        <v>226</v>
      </c>
      <c r="L92" s="2"/>
      <c r="M92" s="2"/>
      <c r="N92" s="2" t="s">
        <v>171</v>
      </c>
      <c r="O92" s="2">
        <v>1.0</v>
      </c>
      <c r="P92" s="2">
        <v>0.0</v>
      </c>
      <c r="Q92" s="2">
        <v>0.0</v>
      </c>
      <c r="R92" s="2">
        <v>1.0</v>
      </c>
      <c r="S92" s="2">
        <v>1.0</v>
      </c>
      <c r="T92" s="2" t="s">
        <v>712</v>
      </c>
    </row>
    <row r="93" ht="15.75" customHeight="1">
      <c r="A93" s="2" t="s">
        <v>713</v>
      </c>
      <c r="B93" s="2" t="s">
        <v>698</v>
      </c>
      <c r="C93" s="2" t="s">
        <v>157</v>
      </c>
      <c r="D93" s="2" t="s">
        <v>149</v>
      </c>
      <c r="E93" s="2" t="s">
        <v>165</v>
      </c>
      <c r="F93" s="2" t="s">
        <v>165</v>
      </c>
      <c r="G93" s="2" t="s">
        <v>165</v>
      </c>
      <c r="H93" s="2" t="s">
        <v>165</v>
      </c>
      <c r="I93" s="2" t="s">
        <v>715</v>
      </c>
      <c r="J93" s="2" t="s">
        <v>716</v>
      </c>
      <c r="K93" s="2" t="s">
        <v>165</v>
      </c>
      <c r="L93" s="2"/>
      <c r="M93" s="2"/>
      <c r="N93" s="2" t="s">
        <v>171</v>
      </c>
      <c r="O93" s="2">
        <v>1.0</v>
      </c>
      <c r="P93" s="2">
        <v>0.0</v>
      </c>
      <c r="Q93" s="2">
        <v>0.0</v>
      </c>
      <c r="R93" s="2">
        <v>1.0</v>
      </c>
      <c r="S93" s="2">
        <v>1.0</v>
      </c>
      <c r="T93" s="2" t="s">
        <v>720</v>
      </c>
    </row>
    <row r="94" ht="15.75" customHeight="1">
      <c r="A94" s="2" t="s">
        <v>721</v>
      </c>
      <c r="B94" s="2" t="s">
        <v>722</v>
      </c>
      <c r="C94" s="2" t="s">
        <v>157</v>
      </c>
      <c r="D94" s="2" t="s">
        <v>71</v>
      </c>
      <c r="E94" s="2" t="s">
        <v>723</v>
      </c>
      <c r="F94" s="2" t="s">
        <v>723</v>
      </c>
      <c r="G94" s="2" t="s">
        <v>724</v>
      </c>
      <c r="H94" s="2" t="s">
        <v>724</v>
      </c>
      <c r="I94" s="2" t="s">
        <v>725</v>
      </c>
      <c r="J94" s="2" t="s">
        <v>725</v>
      </c>
      <c r="K94" s="2" t="s">
        <v>724</v>
      </c>
      <c r="L94" s="2"/>
      <c r="M94" s="2"/>
      <c r="N94" s="2" t="s">
        <v>145</v>
      </c>
      <c r="O94" s="2">
        <v>1.0</v>
      </c>
      <c r="P94" s="2">
        <v>0.0</v>
      </c>
      <c r="Q94" s="2">
        <v>0.0</v>
      </c>
      <c r="R94" s="2">
        <v>1.0</v>
      </c>
      <c r="S94" s="2">
        <v>0.0</v>
      </c>
      <c r="T94" s="2" t="s">
        <v>726</v>
      </c>
    </row>
    <row r="95" ht="15.75" customHeight="1">
      <c r="A95" s="2" t="s">
        <v>727</v>
      </c>
      <c r="B95" s="2" t="s">
        <v>722</v>
      </c>
      <c r="C95" s="2" t="s">
        <v>157</v>
      </c>
      <c r="D95" s="2" t="s">
        <v>75</v>
      </c>
      <c r="E95" s="2" t="s">
        <v>642</v>
      </c>
      <c r="F95" s="2" t="s">
        <v>642</v>
      </c>
      <c r="G95" s="2" t="s">
        <v>644</v>
      </c>
      <c r="H95" s="2" t="s">
        <v>644</v>
      </c>
      <c r="I95" s="2" t="s">
        <v>728</v>
      </c>
      <c r="J95" s="2" t="s">
        <v>728</v>
      </c>
      <c r="K95" s="2" t="s">
        <v>644</v>
      </c>
      <c r="L95" s="2"/>
      <c r="M95" s="2"/>
      <c r="N95" s="2" t="s">
        <v>145</v>
      </c>
      <c r="O95" s="2">
        <v>1.0</v>
      </c>
      <c r="P95" s="2">
        <v>0.0</v>
      </c>
      <c r="Q95" s="2">
        <v>0.0</v>
      </c>
      <c r="R95" s="2">
        <v>1.0</v>
      </c>
      <c r="S95" s="2">
        <v>0.0</v>
      </c>
      <c r="T95" s="2" t="s">
        <v>732</v>
      </c>
    </row>
    <row r="96" ht="15.75" customHeight="1">
      <c r="A96" s="2" t="s">
        <v>733</v>
      </c>
      <c r="B96" s="2" t="s">
        <v>722</v>
      </c>
      <c r="C96" s="2" t="s">
        <v>157</v>
      </c>
      <c r="D96" s="2" t="s">
        <v>118</v>
      </c>
      <c r="E96" s="2" t="s">
        <v>225</v>
      </c>
      <c r="F96" s="2" t="s">
        <v>225</v>
      </c>
      <c r="G96" s="2" t="s">
        <v>225</v>
      </c>
      <c r="H96" s="2" t="s">
        <v>225</v>
      </c>
      <c r="I96" s="2" t="s">
        <v>735</v>
      </c>
      <c r="J96" s="2" t="s">
        <v>736</v>
      </c>
      <c r="K96" s="2" t="s">
        <v>225</v>
      </c>
      <c r="L96" s="2"/>
      <c r="M96" s="2"/>
      <c r="N96" s="2" t="s">
        <v>171</v>
      </c>
      <c r="O96" s="2">
        <v>1.0</v>
      </c>
      <c r="P96" s="2">
        <v>0.0</v>
      </c>
      <c r="Q96" s="2">
        <v>0.0</v>
      </c>
      <c r="R96" s="2">
        <v>1.0</v>
      </c>
      <c r="S96" s="2">
        <v>1.0</v>
      </c>
      <c r="T96" s="2" t="s">
        <v>737</v>
      </c>
    </row>
    <row r="97" ht="15.75" customHeight="1">
      <c r="A97" s="2" t="s">
        <v>738</v>
      </c>
      <c r="B97" s="2" t="s">
        <v>722</v>
      </c>
      <c r="C97" s="2" t="s">
        <v>157</v>
      </c>
      <c r="D97" s="2" t="s">
        <v>149</v>
      </c>
      <c r="E97" s="2" t="s">
        <v>165</v>
      </c>
      <c r="F97" s="2" t="s">
        <v>165</v>
      </c>
      <c r="G97" s="2" t="s">
        <v>165</v>
      </c>
      <c r="H97" s="2" t="s">
        <v>165</v>
      </c>
      <c r="I97" s="2" t="s">
        <v>739</v>
      </c>
      <c r="J97" s="2" t="s">
        <v>740</v>
      </c>
      <c r="K97" s="2" t="s">
        <v>165</v>
      </c>
      <c r="L97" s="2"/>
      <c r="M97" s="2"/>
      <c r="N97" s="2" t="s">
        <v>171</v>
      </c>
      <c r="O97" s="2">
        <v>1.0</v>
      </c>
      <c r="P97" s="2">
        <v>0.0</v>
      </c>
      <c r="Q97" s="2">
        <v>0.0</v>
      </c>
      <c r="R97" s="2">
        <v>1.0</v>
      </c>
      <c r="S97" s="2">
        <v>1.0</v>
      </c>
      <c r="T97" s="2" t="s">
        <v>743</v>
      </c>
    </row>
    <row r="98" ht="15.75" customHeight="1">
      <c r="A98" s="2" t="s">
        <v>745</v>
      </c>
      <c r="B98" s="2" t="s">
        <v>746</v>
      </c>
      <c r="C98" s="2" t="s">
        <v>157</v>
      </c>
      <c r="D98" s="2" t="s">
        <v>71</v>
      </c>
      <c r="E98" s="2" t="s">
        <v>747</v>
      </c>
      <c r="F98" s="2" t="s">
        <v>747</v>
      </c>
      <c r="G98" s="2" t="s">
        <v>748</v>
      </c>
      <c r="H98" s="2" t="s">
        <v>748</v>
      </c>
      <c r="I98" s="2" t="s">
        <v>749</v>
      </c>
      <c r="J98" s="2" t="s">
        <v>749</v>
      </c>
      <c r="K98" s="2" t="s">
        <v>748</v>
      </c>
      <c r="L98" s="2"/>
      <c r="M98" s="2"/>
      <c r="N98" s="2" t="s">
        <v>145</v>
      </c>
      <c r="O98" s="2">
        <v>1.0</v>
      </c>
      <c r="P98" s="2">
        <v>0.0</v>
      </c>
      <c r="Q98" s="2">
        <v>0.0</v>
      </c>
      <c r="R98" s="2">
        <v>1.0</v>
      </c>
      <c r="S98" s="2">
        <v>0.0</v>
      </c>
      <c r="T98" s="2" t="s">
        <v>750</v>
      </c>
    </row>
    <row r="99" ht="15.75" customHeight="1">
      <c r="A99" s="2" t="s">
        <v>751</v>
      </c>
      <c r="B99" s="2" t="s">
        <v>746</v>
      </c>
      <c r="C99" s="2" t="s">
        <v>157</v>
      </c>
      <c r="D99" s="2" t="s">
        <v>75</v>
      </c>
      <c r="E99" s="2" t="s">
        <v>642</v>
      </c>
      <c r="F99" s="2" t="s">
        <v>642</v>
      </c>
      <c r="G99" s="2" t="s">
        <v>644</v>
      </c>
      <c r="H99" s="2" t="s">
        <v>644</v>
      </c>
      <c r="I99" s="2" t="s">
        <v>752</v>
      </c>
      <c r="J99" s="2" t="s">
        <v>752</v>
      </c>
      <c r="K99" s="2" t="s">
        <v>644</v>
      </c>
      <c r="L99" s="2"/>
      <c r="M99" s="2"/>
      <c r="N99" s="2" t="s">
        <v>145</v>
      </c>
      <c r="O99" s="2">
        <v>1.0</v>
      </c>
      <c r="P99" s="2">
        <v>0.0</v>
      </c>
      <c r="Q99" s="2">
        <v>0.0</v>
      </c>
      <c r="R99" s="2">
        <v>1.0</v>
      </c>
      <c r="S99" s="2">
        <v>0.0</v>
      </c>
      <c r="T99" s="2" t="s">
        <v>753</v>
      </c>
    </row>
    <row r="100" ht="15.75" customHeight="1">
      <c r="A100" s="2" t="s">
        <v>754</v>
      </c>
      <c r="B100" s="2" t="s">
        <v>746</v>
      </c>
      <c r="C100" s="2" t="s">
        <v>157</v>
      </c>
      <c r="D100" s="2" t="s">
        <v>118</v>
      </c>
      <c r="E100" s="2" t="s">
        <v>225</v>
      </c>
      <c r="F100" s="2" t="s">
        <v>225</v>
      </c>
      <c r="G100" s="2" t="s">
        <v>225</v>
      </c>
      <c r="H100" s="2" t="s">
        <v>225</v>
      </c>
      <c r="I100" s="2" t="s">
        <v>758</v>
      </c>
      <c r="J100" s="2" t="s">
        <v>759</v>
      </c>
      <c r="K100" s="2" t="s">
        <v>225</v>
      </c>
      <c r="L100" s="2"/>
      <c r="M100" s="2"/>
      <c r="N100" s="2" t="s">
        <v>171</v>
      </c>
      <c r="O100" s="2">
        <v>1.0</v>
      </c>
      <c r="P100" s="2">
        <v>0.0</v>
      </c>
      <c r="Q100" s="2">
        <v>0.0</v>
      </c>
      <c r="R100" s="2">
        <v>1.0</v>
      </c>
      <c r="S100" s="2">
        <v>1.0</v>
      </c>
      <c r="T100" s="2" t="s">
        <v>760</v>
      </c>
    </row>
    <row r="101" ht="15.75" customHeight="1">
      <c r="A101" s="2" t="s">
        <v>761</v>
      </c>
      <c r="B101" s="2" t="s">
        <v>746</v>
      </c>
      <c r="C101" s="2" t="s">
        <v>157</v>
      </c>
      <c r="D101" s="2" t="s">
        <v>149</v>
      </c>
      <c r="E101" s="2" t="s">
        <v>165</v>
      </c>
      <c r="F101" s="2" t="s">
        <v>165</v>
      </c>
      <c r="G101" s="2" t="s">
        <v>165</v>
      </c>
      <c r="H101" s="2" t="s">
        <v>165</v>
      </c>
      <c r="I101" s="2" t="s">
        <v>762</v>
      </c>
      <c r="J101" s="2" t="s">
        <v>763</v>
      </c>
      <c r="K101" s="2" t="s">
        <v>165</v>
      </c>
      <c r="L101" s="2"/>
      <c r="M101" s="2"/>
      <c r="N101" s="2" t="s">
        <v>171</v>
      </c>
      <c r="O101" s="2">
        <v>1.0</v>
      </c>
      <c r="P101" s="2">
        <v>0.0</v>
      </c>
      <c r="Q101" s="2">
        <v>0.0</v>
      </c>
      <c r="R101" s="2">
        <v>1.0</v>
      </c>
      <c r="S101" s="2">
        <v>1.0</v>
      </c>
      <c r="T101" s="2" t="s">
        <v>764</v>
      </c>
    </row>
    <row r="102" ht="15.75" customHeight="1">
      <c r="A102" s="2" t="s">
        <v>765</v>
      </c>
      <c r="B102" s="2" t="s">
        <v>766</v>
      </c>
      <c r="C102" s="2" t="s">
        <v>157</v>
      </c>
      <c r="D102" s="2" t="s">
        <v>71</v>
      </c>
      <c r="E102" s="2" t="s">
        <v>767</v>
      </c>
      <c r="F102" s="2" t="s">
        <v>767</v>
      </c>
      <c r="G102" s="2" t="s">
        <v>771</v>
      </c>
      <c r="H102" s="2" t="s">
        <v>771</v>
      </c>
      <c r="I102" s="2" t="s">
        <v>772</v>
      </c>
      <c r="J102" s="2" t="s">
        <v>772</v>
      </c>
      <c r="K102" s="2" t="s">
        <v>771</v>
      </c>
      <c r="L102" s="2"/>
      <c r="M102" s="2"/>
      <c r="N102" s="2" t="s">
        <v>145</v>
      </c>
      <c r="O102" s="2">
        <v>1.0</v>
      </c>
      <c r="P102" s="2">
        <v>0.0</v>
      </c>
      <c r="Q102" s="2">
        <v>0.0</v>
      </c>
      <c r="R102" s="2">
        <v>1.0</v>
      </c>
      <c r="S102" s="2">
        <v>0.0</v>
      </c>
      <c r="T102" s="2" t="s">
        <v>774</v>
      </c>
    </row>
    <row r="103" ht="15.75" customHeight="1">
      <c r="A103" s="2" t="s">
        <v>775</v>
      </c>
      <c r="B103" s="2" t="s">
        <v>766</v>
      </c>
      <c r="C103" s="2" t="s">
        <v>157</v>
      </c>
      <c r="D103" s="2" t="s">
        <v>75</v>
      </c>
      <c r="E103" s="2" t="s">
        <v>642</v>
      </c>
      <c r="F103" s="2" t="s">
        <v>642</v>
      </c>
      <c r="G103" s="2" t="s">
        <v>644</v>
      </c>
      <c r="H103" s="2" t="s">
        <v>644</v>
      </c>
      <c r="I103" s="2" t="s">
        <v>776</v>
      </c>
      <c r="J103" s="2" t="s">
        <v>776</v>
      </c>
      <c r="K103" s="2" t="s">
        <v>644</v>
      </c>
      <c r="L103" s="2"/>
      <c r="M103" s="2"/>
      <c r="N103" s="2" t="s">
        <v>145</v>
      </c>
      <c r="O103" s="2">
        <v>1.0</v>
      </c>
      <c r="P103" s="2">
        <v>0.0</v>
      </c>
      <c r="Q103" s="2">
        <v>0.0</v>
      </c>
      <c r="R103" s="2">
        <v>1.0</v>
      </c>
      <c r="S103" s="2">
        <v>0.0</v>
      </c>
      <c r="T103" s="2" t="s">
        <v>777</v>
      </c>
    </row>
    <row r="104" ht="15.75" customHeight="1">
      <c r="A104" s="2" t="s">
        <v>778</v>
      </c>
      <c r="B104" s="2" t="s">
        <v>766</v>
      </c>
      <c r="C104" s="2" t="s">
        <v>157</v>
      </c>
      <c r="D104" s="2" t="s">
        <v>118</v>
      </c>
      <c r="E104" s="2" t="s">
        <v>779</v>
      </c>
      <c r="F104" s="2" t="s">
        <v>781</v>
      </c>
      <c r="G104" s="2" t="s">
        <v>781</v>
      </c>
      <c r="H104" s="2" t="s">
        <v>781</v>
      </c>
      <c r="I104" s="2" t="s">
        <v>784</v>
      </c>
      <c r="J104" s="2" t="s">
        <v>785</v>
      </c>
      <c r="K104" s="2" t="s">
        <v>781</v>
      </c>
      <c r="L104" s="2"/>
      <c r="M104" s="2"/>
      <c r="N104" s="2" t="s">
        <v>171</v>
      </c>
      <c r="O104" s="2">
        <v>2.0</v>
      </c>
      <c r="P104" s="2">
        <v>0.0</v>
      </c>
      <c r="Q104" s="2">
        <v>0.0</v>
      </c>
      <c r="R104" s="2">
        <v>1.0</v>
      </c>
      <c r="S104" s="2">
        <v>1.0</v>
      </c>
      <c r="T104" s="2" t="s">
        <v>787</v>
      </c>
    </row>
    <row r="105" ht="15.75" customHeight="1">
      <c r="A105" s="2" t="s">
        <v>788</v>
      </c>
      <c r="B105" s="2" t="s">
        <v>766</v>
      </c>
      <c r="C105" s="2" t="s">
        <v>157</v>
      </c>
      <c r="D105" s="2" t="s">
        <v>149</v>
      </c>
      <c r="E105" s="2" t="s">
        <v>165</v>
      </c>
      <c r="F105" s="2" t="s">
        <v>165</v>
      </c>
      <c r="G105" s="2" t="s">
        <v>165</v>
      </c>
      <c r="H105" s="2" t="s">
        <v>165</v>
      </c>
      <c r="I105" s="2" t="s">
        <v>789</v>
      </c>
      <c r="J105" s="2" t="s">
        <v>790</v>
      </c>
      <c r="K105" s="2" t="s">
        <v>165</v>
      </c>
      <c r="L105" s="2"/>
      <c r="M105" s="2"/>
      <c r="N105" s="2" t="s">
        <v>171</v>
      </c>
      <c r="O105" s="2">
        <v>1.0</v>
      </c>
      <c r="P105" s="2">
        <v>0.0</v>
      </c>
      <c r="Q105" s="2">
        <v>0.0</v>
      </c>
      <c r="R105" s="2">
        <v>1.0</v>
      </c>
      <c r="S105" s="2">
        <v>1.0</v>
      </c>
      <c r="T105" s="2" t="s">
        <v>791</v>
      </c>
    </row>
    <row r="106" ht="15.75" customHeight="1">
      <c r="A106" s="2" t="s">
        <v>792</v>
      </c>
      <c r="B106" s="2" t="s">
        <v>793</v>
      </c>
      <c r="C106" s="2" t="s">
        <v>157</v>
      </c>
      <c r="D106" s="2" t="s">
        <v>71</v>
      </c>
      <c r="E106" s="2" t="s">
        <v>794</v>
      </c>
      <c r="F106" s="2" t="s">
        <v>794</v>
      </c>
      <c r="G106" s="2" t="s">
        <v>796</v>
      </c>
      <c r="H106" s="2" t="s">
        <v>796</v>
      </c>
      <c r="I106" s="2" t="s">
        <v>799</v>
      </c>
      <c r="J106" s="2" t="s">
        <v>799</v>
      </c>
      <c r="K106" s="2" t="s">
        <v>796</v>
      </c>
      <c r="L106" s="2"/>
      <c r="M106" s="2"/>
      <c r="N106" s="2" t="s">
        <v>145</v>
      </c>
      <c r="O106" s="2">
        <v>1.0</v>
      </c>
      <c r="P106" s="2">
        <v>0.0</v>
      </c>
      <c r="Q106" s="2">
        <v>0.0</v>
      </c>
      <c r="R106" s="2">
        <v>1.0</v>
      </c>
      <c r="S106" s="2">
        <v>0.0</v>
      </c>
      <c r="T106" s="2" t="s">
        <v>801</v>
      </c>
    </row>
    <row r="107" ht="15.75" customHeight="1">
      <c r="A107" s="2" t="s">
        <v>802</v>
      </c>
      <c r="B107" s="2" t="s">
        <v>793</v>
      </c>
      <c r="C107" s="2" t="s">
        <v>157</v>
      </c>
      <c r="D107" s="2" t="s">
        <v>75</v>
      </c>
      <c r="E107" s="2" t="s">
        <v>642</v>
      </c>
      <c r="F107" s="2" t="s">
        <v>642</v>
      </c>
      <c r="G107" s="2" t="s">
        <v>644</v>
      </c>
      <c r="H107" s="2" t="s">
        <v>644</v>
      </c>
      <c r="I107" s="2" t="s">
        <v>803</v>
      </c>
      <c r="J107" s="2" t="s">
        <v>803</v>
      </c>
      <c r="K107" s="2" t="s">
        <v>644</v>
      </c>
      <c r="L107" s="2"/>
      <c r="M107" s="2"/>
      <c r="N107" s="2" t="s">
        <v>145</v>
      </c>
      <c r="O107" s="2">
        <v>1.0</v>
      </c>
      <c r="P107" s="2">
        <v>0.0</v>
      </c>
      <c r="Q107" s="2">
        <v>0.0</v>
      </c>
      <c r="R107" s="2">
        <v>1.0</v>
      </c>
      <c r="S107" s="2">
        <v>0.0</v>
      </c>
      <c r="T107" s="2" t="s">
        <v>804</v>
      </c>
    </row>
    <row r="108" ht="15.75" customHeight="1">
      <c r="A108" s="2" t="s">
        <v>805</v>
      </c>
      <c r="B108" s="2" t="s">
        <v>793</v>
      </c>
      <c r="C108" s="2" t="s">
        <v>157</v>
      </c>
      <c r="D108" s="2" t="s">
        <v>118</v>
      </c>
      <c r="E108" s="2" t="s">
        <v>226</v>
      </c>
      <c r="F108" s="2" t="s">
        <v>226</v>
      </c>
      <c r="G108" s="2" t="s">
        <v>226</v>
      </c>
      <c r="H108" s="2" t="s">
        <v>226</v>
      </c>
      <c r="I108" s="2" t="s">
        <v>808</v>
      </c>
      <c r="J108" s="2" t="s">
        <v>810</v>
      </c>
      <c r="K108" s="2" t="s">
        <v>226</v>
      </c>
      <c r="L108" s="2"/>
      <c r="M108" s="2"/>
      <c r="N108" s="2" t="s">
        <v>171</v>
      </c>
      <c r="O108" s="2">
        <v>1.0</v>
      </c>
      <c r="P108" s="2">
        <v>0.0</v>
      </c>
      <c r="Q108" s="2">
        <v>0.0</v>
      </c>
      <c r="R108" s="2">
        <v>1.0</v>
      </c>
      <c r="S108" s="2">
        <v>1.0</v>
      </c>
      <c r="T108" s="2" t="s">
        <v>811</v>
      </c>
    </row>
    <row r="109" ht="15.75" customHeight="1">
      <c r="A109" s="2" t="s">
        <v>812</v>
      </c>
      <c r="B109" s="2" t="s">
        <v>793</v>
      </c>
      <c r="C109" s="2" t="s">
        <v>157</v>
      </c>
      <c r="D109" s="2" t="s">
        <v>149</v>
      </c>
      <c r="E109" s="2" t="s">
        <v>165</v>
      </c>
      <c r="F109" s="2" t="s">
        <v>165</v>
      </c>
      <c r="G109" s="2" t="s">
        <v>165</v>
      </c>
      <c r="H109" s="2" t="s">
        <v>165</v>
      </c>
      <c r="I109" s="2" t="s">
        <v>813</v>
      </c>
      <c r="J109" s="2" t="s">
        <v>814</v>
      </c>
      <c r="K109" s="2" t="s">
        <v>165</v>
      </c>
      <c r="L109" s="2"/>
      <c r="M109" s="2"/>
      <c r="N109" s="2" t="s">
        <v>171</v>
      </c>
      <c r="O109" s="2">
        <v>1.0</v>
      </c>
      <c r="P109" s="2">
        <v>0.0</v>
      </c>
      <c r="Q109" s="2">
        <v>0.0</v>
      </c>
      <c r="R109" s="2">
        <v>1.0</v>
      </c>
      <c r="S109" s="2">
        <v>1.0</v>
      </c>
      <c r="T109" s="2" t="s">
        <v>815</v>
      </c>
    </row>
    <row r="110" ht="15.75" customHeight="1">
      <c r="A110" s="2" t="s">
        <v>816</v>
      </c>
      <c r="B110" s="2" t="s">
        <v>817</v>
      </c>
      <c r="C110" s="2" t="s">
        <v>157</v>
      </c>
      <c r="D110" s="2" t="s">
        <v>71</v>
      </c>
      <c r="E110" s="2" t="s">
        <v>818</v>
      </c>
      <c r="F110" s="2" t="s">
        <v>818</v>
      </c>
      <c r="G110" s="2" t="s">
        <v>819</v>
      </c>
      <c r="H110" s="2" t="s">
        <v>819</v>
      </c>
      <c r="I110" s="2" t="s">
        <v>821</v>
      </c>
      <c r="J110" s="2" t="s">
        <v>821</v>
      </c>
      <c r="K110" s="2" t="s">
        <v>819</v>
      </c>
      <c r="L110" s="2"/>
      <c r="M110" s="2"/>
      <c r="N110" s="2" t="s">
        <v>145</v>
      </c>
      <c r="O110" s="2">
        <v>1.0</v>
      </c>
      <c r="P110" s="2">
        <v>0.0</v>
      </c>
      <c r="Q110" s="2">
        <v>0.0</v>
      </c>
      <c r="R110" s="2">
        <v>1.0</v>
      </c>
      <c r="S110" s="2">
        <v>0.0</v>
      </c>
      <c r="T110" s="2" t="s">
        <v>825</v>
      </c>
    </row>
    <row r="111" ht="15.75" customHeight="1">
      <c r="A111" s="2" t="s">
        <v>826</v>
      </c>
      <c r="B111" s="2" t="s">
        <v>817</v>
      </c>
      <c r="C111" s="2" t="s">
        <v>157</v>
      </c>
      <c r="D111" s="2" t="s">
        <v>75</v>
      </c>
      <c r="E111" s="2" t="s">
        <v>642</v>
      </c>
      <c r="F111" s="2" t="s">
        <v>642</v>
      </c>
      <c r="G111" s="2" t="s">
        <v>644</v>
      </c>
      <c r="H111" s="2" t="s">
        <v>644</v>
      </c>
      <c r="I111" s="2" t="s">
        <v>827</v>
      </c>
      <c r="J111" s="2" t="s">
        <v>827</v>
      </c>
      <c r="K111" s="2" t="s">
        <v>644</v>
      </c>
      <c r="L111" s="2"/>
      <c r="M111" s="2"/>
      <c r="N111" s="2" t="s">
        <v>145</v>
      </c>
      <c r="O111" s="2">
        <v>1.0</v>
      </c>
      <c r="P111" s="2">
        <v>0.0</v>
      </c>
      <c r="Q111" s="2">
        <v>0.0</v>
      </c>
      <c r="R111" s="2">
        <v>1.0</v>
      </c>
      <c r="S111" s="2">
        <v>0.0</v>
      </c>
      <c r="T111" s="2" t="s">
        <v>828</v>
      </c>
    </row>
    <row r="112" ht="15.75" customHeight="1">
      <c r="A112" s="2" t="s">
        <v>829</v>
      </c>
      <c r="B112" s="2" t="s">
        <v>817</v>
      </c>
      <c r="C112" s="2" t="s">
        <v>157</v>
      </c>
      <c r="D112" s="2" t="s">
        <v>118</v>
      </c>
      <c r="E112" s="2" t="s">
        <v>226</v>
      </c>
      <c r="F112" s="2" t="s">
        <v>226</v>
      </c>
      <c r="G112" s="2" t="s">
        <v>226</v>
      </c>
      <c r="H112" s="2" t="s">
        <v>226</v>
      </c>
      <c r="I112" s="2" t="s">
        <v>830</v>
      </c>
      <c r="J112" s="2" t="s">
        <v>831</v>
      </c>
      <c r="K112" s="2" t="s">
        <v>226</v>
      </c>
      <c r="L112" s="2"/>
      <c r="M112" s="2"/>
      <c r="N112" s="2" t="s">
        <v>171</v>
      </c>
      <c r="O112" s="2">
        <v>1.0</v>
      </c>
      <c r="P112" s="2">
        <v>0.0</v>
      </c>
      <c r="Q112" s="2">
        <v>0.0</v>
      </c>
      <c r="R112" s="2">
        <v>1.0</v>
      </c>
      <c r="S112" s="2">
        <v>1.0</v>
      </c>
      <c r="T112" s="2" t="s">
        <v>835</v>
      </c>
    </row>
    <row r="113" ht="15.75" customHeight="1">
      <c r="A113" s="2" t="s">
        <v>836</v>
      </c>
      <c r="B113" s="2" t="s">
        <v>817</v>
      </c>
      <c r="C113" s="2" t="s">
        <v>157</v>
      </c>
      <c r="D113" s="2" t="s">
        <v>149</v>
      </c>
      <c r="E113" s="2" t="s">
        <v>165</v>
      </c>
      <c r="F113" s="2" t="s">
        <v>165</v>
      </c>
      <c r="G113" s="2" t="s">
        <v>165</v>
      </c>
      <c r="H113" s="2" t="s">
        <v>165</v>
      </c>
      <c r="I113" s="2" t="s">
        <v>838</v>
      </c>
      <c r="J113" s="2" t="s">
        <v>842</v>
      </c>
      <c r="K113" s="2" t="s">
        <v>165</v>
      </c>
      <c r="L113" s="2"/>
      <c r="M113" s="2"/>
      <c r="N113" s="2" t="s">
        <v>171</v>
      </c>
      <c r="O113" s="2">
        <v>1.0</v>
      </c>
      <c r="P113" s="2">
        <v>0.0</v>
      </c>
      <c r="Q113" s="2">
        <v>0.0</v>
      </c>
      <c r="R113" s="2">
        <v>1.0</v>
      </c>
      <c r="S113" s="2">
        <v>1.0</v>
      </c>
      <c r="T113" s="2" t="s">
        <v>844</v>
      </c>
    </row>
    <row r="114" ht="15.75" customHeight="1">
      <c r="A114" s="2" t="s">
        <v>845</v>
      </c>
      <c r="B114" s="2" t="s">
        <v>846</v>
      </c>
      <c r="C114" s="2" t="s">
        <v>270</v>
      </c>
      <c r="D114" s="2" t="s">
        <v>71</v>
      </c>
      <c r="E114" s="2" t="s">
        <v>286</v>
      </c>
      <c r="F114" s="2" t="s">
        <v>286</v>
      </c>
      <c r="G114" s="2" t="s">
        <v>289</v>
      </c>
      <c r="H114" s="2" t="s">
        <v>289</v>
      </c>
      <c r="I114" s="2" t="s">
        <v>847</v>
      </c>
      <c r="J114" s="2" t="s">
        <v>847</v>
      </c>
      <c r="K114" s="2" t="s">
        <v>289</v>
      </c>
      <c r="L114" s="2"/>
      <c r="M114" s="2"/>
      <c r="N114" s="2" t="s">
        <v>145</v>
      </c>
      <c r="O114" s="2">
        <v>1.0</v>
      </c>
      <c r="P114" s="2">
        <v>0.0</v>
      </c>
      <c r="Q114" s="2">
        <v>0.0</v>
      </c>
      <c r="R114" s="2">
        <v>1.0</v>
      </c>
      <c r="S114" s="2">
        <v>0.0</v>
      </c>
      <c r="T114" s="2" t="s">
        <v>848</v>
      </c>
    </row>
    <row r="115" ht="15.75" customHeight="1">
      <c r="A115" s="2" t="s">
        <v>849</v>
      </c>
      <c r="B115" s="2" t="s">
        <v>846</v>
      </c>
      <c r="C115" s="2" t="s">
        <v>270</v>
      </c>
      <c r="D115" s="2" t="s">
        <v>75</v>
      </c>
      <c r="E115" s="2" t="s">
        <v>271</v>
      </c>
      <c r="F115" s="2" t="s">
        <v>271</v>
      </c>
      <c r="G115" s="2" t="s">
        <v>273</v>
      </c>
      <c r="H115" s="2" t="s">
        <v>273</v>
      </c>
      <c r="I115" s="2" t="s">
        <v>853</v>
      </c>
      <c r="J115" s="2" t="s">
        <v>853</v>
      </c>
      <c r="K115" s="2" t="s">
        <v>273</v>
      </c>
      <c r="L115" s="2"/>
      <c r="M115" s="2"/>
      <c r="N115" s="2" t="s">
        <v>145</v>
      </c>
      <c r="O115" s="2">
        <v>1.0</v>
      </c>
      <c r="P115" s="2">
        <v>0.0</v>
      </c>
      <c r="Q115" s="2">
        <v>0.0</v>
      </c>
      <c r="R115" s="2">
        <v>1.0</v>
      </c>
      <c r="S115" s="2">
        <v>0.0</v>
      </c>
      <c r="T115" s="2" t="s">
        <v>855</v>
      </c>
    </row>
    <row r="116" ht="15.75" customHeight="1">
      <c r="A116" s="2" t="s">
        <v>856</v>
      </c>
      <c r="B116" s="2" t="s">
        <v>846</v>
      </c>
      <c r="C116" s="2" t="s">
        <v>270</v>
      </c>
      <c r="D116" s="2" t="s">
        <v>118</v>
      </c>
      <c r="E116" s="2" t="s">
        <v>508</v>
      </c>
      <c r="F116" s="2" t="s">
        <v>508</v>
      </c>
      <c r="G116" s="2" t="s">
        <v>508</v>
      </c>
      <c r="H116" s="2" t="s">
        <v>508</v>
      </c>
      <c r="I116" s="2" t="s">
        <v>858</v>
      </c>
      <c r="J116" s="2" t="s">
        <v>859</v>
      </c>
      <c r="K116" s="2" t="s">
        <v>508</v>
      </c>
      <c r="L116" s="2"/>
      <c r="M116" s="2"/>
      <c r="N116" s="2" t="s">
        <v>171</v>
      </c>
      <c r="O116" s="2">
        <v>1.0</v>
      </c>
      <c r="P116" s="2">
        <v>0.0</v>
      </c>
      <c r="Q116" s="2">
        <v>0.0</v>
      </c>
      <c r="R116" s="2">
        <v>1.0</v>
      </c>
      <c r="S116" s="2">
        <v>1.0</v>
      </c>
      <c r="T116" s="2" t="s">
        <v>863</v>
      </c>
    </row>
    <row r="117" ht="15.75" customHeight="1">
      <c r="A117" s="2" t="s">
        <v>865</v>
      </c>
      <c r="B117" s="2" t="s">
        <v>846</v>
      </c>
      <c r="C117" s="2" t="s">
        <v>270</v>
      </c>
      <c r="D117" s="2" t="s">
        <v>149</v>
      </c>
      <c r="E117" s="2" t="s">
        <v>165</v>
      </c>
      <c r="F117" s="2" t="s">
        <v>165</v>
      </c>
      <c r="G117" s="2" t="s">
        <v>165</v>
      </c>
      <c r="H117" s="2" t="s">
        <v>165</v>
      </c>
      <c r="I117" s="2" t="s">
        <v>866</v>
      </c>
      <c r="J117" s="2" t="s">
        <v>868</v>
      </c>
      <c r="K117" s="2" t="s">
        <v>165</v>
      </c>
      <c r="L117" s="2"/>
      <c r="M117" s="2"/>
      <c r="N117" s="2" t="s">
        <v>171</v>
      </c>
      <c r="O117" s="2">
        <v>1.0</v>
      </c>
      <c r="P117" s="2">
        <v>0.0</v>
      </c>
      <c r="Q117" s="2">
        <v>0.0</v>
      </c>
      <c r="R117" s="2">
        <v>1.0</v>
      </c>
      <c r="S117" s="2">
        <v>1.0</v>
      </c>
      <c r="T117" s="2" t="s">
        <v>870</v>
      </c>
    </row>
    <row r="118" ht="15.75" customHeight="1">
      <c r="A118" s="2" t="s">
        <v>871</v>
      </c>
      <c r="B118" s="2" t="s">
        <v>872</v>
      </c>
      <c r="C118" s="2" t="s">
        <v>270</v>
      </c>
      <c r="D118" s="2" t="s">
        <v>71</v>
      </c>
      <c r="E118" s="2" t="s">
        <v>873</v>
      </c>
      <c r="F118" s="2" t="s">
        <v>873</v>
      </c>
      <c r="G118" s="2" t="s">
        <v>874</v>
      </c>
      <c r="H118" s="2" t="s">
        <v>874</v>
      </c>
      <c r="I118" s="2" t="s">
        <v>875</v>
      </c>
      <c r="J118" s="2" t="s">
        <v>875</v>
      </c>
      <c r="K118" s="2" t="s">
        <v>874</v>
      </c>
      <c r="L118" s="2"/>
      <c r="M118" s="2"/>
      <c r="N118" s="2" t="s">
        <v>145</v>
      </c>
      <c r="O118" s="2">
        <v>1.0</v>
      </c>
      <c r="P118" s="2">
        <v>0.0</v>
      </c>
      <c r="Q118" s="2">
        <v>0.0</v>
      </c>
      <c r="R118" s="2">
        <v>1.0</v>
      </c>
      <c r="S118" s="2">
        <v>0.0</v>
      </c>
      <c r="T118" s="2" t="s">
        <v>876</v>
      </c>
    </row>
    <row r="119" ht="15.75" customHeight="1">
      <c r="A119" s="2" t="s">
        <v>877</v>
      </c>
      <c r="B119" s="2" t="s">
        <v>872</v>
      </c>
      <c r="C119" s="2" t="s">
        <v>270</v>
      </c>
      <c r="D119" s="2" t="s">
        <v>75</v>
      </c>
      <c r="E119" s="2" t="s">
        <v>271</v>
      </c>
      <c r="F119" s="2" t="s">
        <v>271</v>
      </c>
      <c r="G119" s="2" t="s">
        <v>273</v>
      </c>
      <c r="H119" s="2" t="s">
        <v>273</v>
      </c>
      <c r="I119" s="2" t="s">
        <v>880</v>
      </c>
      <c r="J119" s="2" t="s">
        <v>880</v>
      </c>
      <c r="K119" s="2" t="s">
        <v>273</v>
      </c>
      <c r="L119" s="2"/>
      <c r="M119" s="2"/>
      <c r="N119" s="2" t="s">
        <v>145</v>
      </c>
      <c r="O119" s="2">
        <v>1.0</v>
      </c>
      <c r="P119" s="2">
        <v>0.0</v>
      </c>
      <c r="Q119" s="2">
        <v>0.0</v>
      </c>
      <c r="R119" s="2">
        <v>1.0</v>
      </c>
      <c r="S119" s="2">
        <v>0.0</v>
      </c>
      <c r="T119" s="2" t="s">
        <v>883</v>
      </c>
    </row>
    <row r="120" ht="15.75" customHeight="1">
      <c r="A120" s="2" t="s">
        <v>884</v>
      </c>
      <c r="B120" s="2" t="s">
        <v>872</v>
      </c>
      <c r="C120" s="2" t="s">
        <v>270</v>
      </c>
      <c r="D120" s="2" t="s">
        <v>118</v>
      </c>
      <c r="E120" s="2" t="s">
        <v>508</v>
      </c>
      <c r="F120" s="2" t="s">
        <v>508</v>
      </c>
      <c r="G120" s="2" t="s">
        <v>508</v>
      </c>
      <c r="H120" s="2" t="s">
        <v>508</v>
      </c>
      <c r="I120" s="2" t="s">
        <v>885</v>
      </c>
      <c r="J120" s="2" t="s">
        <v>886</v>
      </c>
      <c r="K120" s="2" t="s">
        <v>508</v>
      </c>
      <c r="L120" s="2"/>
      <c r="M120" s="2"/>
      <c r="N120" s="2" t="s">
        <v>171</v>
      </c>
      <c r="O120" s="2">
        <v>1.0</v>
      </c>
      <c r="P120" s="2">
        <v>0.0</v>
      </c>
      <c r="Q120" s="2">
        <v>0.0</v>
      </c>
      <c r="R120" s="2">
        <v>1.0</v>
      </c>
      <c r="S120" s="2">
        <v>1.0</v>
      </c>
      <c r="T120" s="2" t="s">
        <v>887</v>
      </c>
    </row>
    <row r="121" ht="15.75" customHeight="1">
      <c r="A121" s="2" t="s">
        <v>888</v>
      </c>
      <c r="B121" s="2" t="s">
        <v>872</v>
      </c>
      <c r="C121" s="2" t="s">
        <v>270</v>
      </c>
      <c r="D121" s="2" t="s">
        <v>149</v>
      </c>
      <c r="E121" s="2" t="s">
        <v>165</v>
      </c>
      <c r="F121" s="2" t="s">
        <v>165</v>
      </c>
      <c r="G121" s="2" t="s">
        <v>165</v>
      </c>
      <c r="H121" s="2" t="s">
        <v>165</v>
      </c>
      <c r="I121" s="2" t="s">
        <v>889</v>
      </c>
      <c r="J121" s="2" t="s">
        <v>890</v>
      </c>
      <c r="K121" s="2" t="s">
        <v>165</v>
      </c>
      <c r="L121" s="2"/>
      <c r="M121" s="2"/>
      <c r="N121" s="2" t="s">
        <v>171</v>
      </c>
      <c r="O121" s="2">
        <v>1.0</v>
      </c>
      <c r="P121" s="2">
        <v>0.0</v>
      </c>
      <c r="Q121" s="2">
        <v>0.0</v>
      </c>
      <c r="R121" s="2">
        <v>1.0</v>
      </c>
      <c r="S121" s="2">
        <v>1.0</v>
      </c>
      <c r="T121" s="2" t="s">
        <v>891</v>
      </c>
    </row>
    <row r="122" ht="15.75" customHeight="1">
      <c r="A122" s="2" t="s">
        <v>284</v>
      </c>
      <c r="B122" s="2" t="s">
        <v>285</v>
      </c>
      <c r="C122" s="2" t="s">
        <v>270</v>
      </c>
      <c r="D122" s="2" t="s">
        <v>71</v>
      </c>
      <c r="E122" s="2" t="s">
        <v>286</v>
      </c>
      <c r="F122" s="2" t="s">
        <v>288</v>
      </c>
      <c r="G122" s="2" t="s">
        <v>289</v>
      </c>
      <c r="H122" s="2" t="s">
        <v>290</v>
      </c>
      <c r="I122" s="2" t="s">
        <v>291</v>
      </c>
      <c r="J122" s="2" t="s">
        <v>292</v>
      </c>
      <c r="K122" s="2"/>
      <c r="L122" s="2" t="s">
        <v>289</v>
      </c>
      <c r="M122" s="2" t="s">
        <v>290</v>
      </c>
      <c r="N122" s="2" t="s">
        <v>86</v>
      </c>
      <c r="O122" s="2">
        <v>0.0</v>
      </c>
      <c r="P122" s="2">
        <v>1.0</v>
      </c>
      <c r="Q122" s="2">
        <v>1.0</v>
      </c>
      <c r="R122" s="2">
        <v>0.0</v>
      </c>
      <c r="S122" s="2">
        <v>0.0</v>
      </c>
      <c r="T122" s="2" t="s">
        <v>301</v>
      </c>
    </row>
    <row r="123" ht="15.75" customHeight="1">
      <c r="A123" s="2" t="s">
        <v>901</v>
      </c>
      <c r="B123" s="2" t="s">
        <v>285</v>
      </c>
      <c r="C123" s="2" t="s">
        <v>270</v>
      </c>
      <c r="D123" s="2" t="s">
        <v>75</v>
      </c>
      <c r="E123" s="2" t="s">
        <v>271</v>
      </c>
      <c r="F123" s="2" t="s">
        <v>271</v>
      </c>
      <c r="G123" s="2" t="s">
        <v>273</v>
      </c>
      <c r="H123" s="2" t="s">
        <v>273</v>
      </c>
      <c r="I123" s="2" t="s">
        <v>902</v>
      </c>
      <c r="J123" s="2" t="s">
        <v>902</v>
      </c>
      <c r="K123" s="2" t="s">
        <v>273</v>
      </c>
      <c r="L123" s="2"/>
      <c r="M123" s="2"/>
      <c r="N123" s="2" t="s">
        <v>145</v>
      </c>
      <c r="O123" s="2">
        <v>1.0</v>
      </c>
      <c r="P123" s="2">
        <v>0.0</v>
      </c>
      <c r="Q123" s="2">
        <v>0.0</v>
      </c>
      <c r="R123" s="2">
        <v>1.0</v>
      </c>
      <c r="S123" s="2">
        <v>0.0</v>
      </c>
      <c r="T123" s="2" t="s">
        <v>903</v>
      </c>
    </row>
    <row r="124" ht="15.75" customHeight="1">
      <c r="A124" s="2" t="s">
        <v>904</v>
      </c>
      <c r="B124" s="2" t="s">
        <v>285</v>
      </c>
      <c r="C124" s="2" t="s">
        <v>270</v>
      </c>
      <c r="D124" s="2" t="s">
        <v>118</v>
      </c>
      <c r="E124" s="2" t="s">
        <v>508</v>
      </c>
      <c r="F124" s="2" t="s">
        <v>508</v>
      </c>
      <c r="G124" s="2" t="s">
        <v>508</v>
      </c>
      <c r="H124" s="2" t="s">
        <v>508</v>
      </c>
      <c r="I124" s="2" t="s">
        <v>909</v>
      </c>
      <c r="J124" s="2" t="s">
        <v>910</v>
      </c>
      <c r="K124" s="2" t="s">
        <v>508</v>
      </c>
      <c r="L124" s="2"/>
      <c r="M124" s="2"/>
      <c r="N124" s="2" t="s">
        <v>171</v>
      </c>
      <c r="O124" s="2">
        <v>1.0</v>
      </c>
      <c r="P124" s="2">
        <v>0.0</v>
      </c>
      <c r="Q124" s="2">
        <v>0.0</v>
      </c>
      <c r="R124" s="2">
        <v>1.0</v>
      </c>
      <c r="S124" s="2">
        <v>1.0</v>
      </c>
      <c r="T124" s="2" t="s">
        <v>912</v>
      </c>
    </row>
    <row r="125" ht="15.75" customHeight="1">
      <c r="A125" s="2" t="s">
        <v>913</v>
      </c>
      <c r="B125" s="2" t="s">
        <v>285</v>
      </c>
      <c r="C125" s="2" t="s">
        <v>270</v>
      </c>
      <c r="D125" s="2" t="s">
        <v>149</v>
      </c>
      <c r="E125" s="2" t="s">
        <v>165</v>
      </c>
      <c r="F125" s="2" t="s">
        <v>165</v>
      </c>
      <c r="G125" s="2" t="s">
        <v>165</v>
      </c>
      <c r="H125" s="2" t="s">
        <v>165</v>
      </c>
      <c r="I125" s="2" t="s">
        <v>914</v>
      </c>
      <c r="J125" s="2" t="s">
        <v>915</v>
      </c>
      <c r="K125" s="2" t="s">
        <v>165</v>
      </c>
      <c r="L125" s="2"/>
      <c r="M125" s="2"/>
      <c r="N125" s="2" t="s">
        <v>171</v>
      </c>
      <c r="O125" s="2">
        <v>1.0</v>
      </c>
      <c r="P125" s="2">
        <v>0.0</v>
      </c>
      <c r="Q125" s="2">
        <v>0.0</v>
      </c>
      <c r="R125" s="2">
        <v>1.0</v>
      </c>
      <c r="S125" s="2">
        <v>1.0</v>
      </c>
      <c r="T125" s="2" t="s">
        <v>916</v>
      </c>
    </row>
    <row r="126" ht="15.75" customHeight="1">
      <c r="A126" s="2" t="s">
        <v>303</v>
      </c>
      <c r="B126" s="2" t="s">
        <v>304</v>
      </c>
      <c r="C126" s="2" t="s">
        <v>270</v>
      </c>
      <c r="D126" s="2" t="s">
        <v>71</v>
      </c>
      <c r="E126" s="2" t="s">
        <v>286</v>
      </c>
      <c r="F126" s="2" t="s">
        <v>288</v>
      </c>
      <c r="G126" s="2" t="s">
        <v>289</v>
      </c>
      <c r="H126" s="2" t="s">
        <v>290</v>
      </c>
      <c r="I126" s="2" t="s">
        <v>305</v>
      </c>
      <c r="J126" s="2" t="s">
        <v>306</v>
      </c>
      <c r="K126" s="2"/>
      <c r="L126" s="2" t="s">
        <v>289</v>
      </c>
      <c r="M126" s="2" t="s">
        <v>290</v>
      </c>
      <c r="N126" s="2" t="s">
        <v>86</v>
      </c>
      <c r="O126" s="2">
        <v>0.0</v>
      </c>
      <c r="P126" s="2">
        <v>1.0</v>
      </c>
      <c r="Q126" s="2">
        <v>1.0</v>
      </c>
      <c r="R126" s="2">
        <v>0.0</v>
      </c>
      <c r="S126" s="2">
        <v>0.0</v>
      </c>
      <c r="T126" s="2" t="s">
        <v>313</v>
      </c>
    </row>
    <row r="127" ht="15.75" customHeight="1">
      <c r="A127" s="2" t="s">
        <v>921</v>
      </c>
      <c r="B127" s="2" t="s">
        <v>304</v>
      </c>
      <c r="C127" s="2" t="s">
        <v>270</v>
      </c>
      <c r="D127" s="2" t="s">
        <v>75</v>
      </c>
      <c r="E127" s="2" t="s">
        <v>271</v>
      </c>
      <c r="F127" s="2" t="s">
        <v>271</v>
      </c>
      <c r="G127" s="2" t="s">
        <v>273</v>
      </c>
      <c r="H127" s="2" t="s">
        <v>273</v>
      </c>
      <c r="I127" s="2" t="s">
        <v>922</v>
      </c>
      <c r="J127" s="2" t="s">
        <v>922</v>
      </c>
      <c r="K127" s="2" t="s">
        <v>273</v>
      </c>
      <c r="L127" s="2"/>
      <c r="M127" s="2"/>
      <c r="N127" s="2" t="s">
        <v>145</v>
      </c>
      <c r="O127" s="2">
        <v>1.0</v>
      </c>
      <c r="P127" s="2">
        <v>0.0</v>
      </c>
      <c r="Q127" s="2">
        <v>0.0</v>
      </c>
      <c r="R127" s="2">
        <v>1.0</v>
      </c>
      <c r="S127" s="2">
        <v>0.0</v>
      </c>
      <c r="T127" s="2" t="s">
        <v>923</v>
      </c>
    </row>
    <row r="128" ht="15.75" customHeight="1">
      <c r="A128" s="2" t="s">
        <v>924</v>
      </c>
      <c r="B128" s="2" t="s">
        <v>304</v>
      </c>
      <c r="C128" s="2" t="s">
        <v>270</v>
      </c>
      <c r="D128" s="2" t="s">
        <v>118</v>
      </c>
      <c r="E128" s="2" t="s">
        <v>508</v>
      </c>
      <c r="F128" s="2" t="s">
        <v>508</v>
      </c>
      <c r="G128" s="2" t="s">
        <v>508</v>
      </c>
      <c r="H128" s="2" t="s">
        <v>508</v>
      </c>
      <c r="I128" s="2" t="s">
        <v>929</v>
      </c>
      <c r="J128" s="2" t="s">
        <v>930</v>
      </c>
      <c r="K128" s="2" t="s">
        <v>508</v>
      </c>
      <c r="L128" s="2"/>
      <c r="M128" s="2"/>
      <c r="N128" s="2" t="s">
        <v>171</v>
      </c>
      <c r="O128" s="2">
        <v>1.0</v>
      </c>
      <c r="P128" s="2">
        <v>0.0</v>
      </c>
      <c r="Q128" s="2">
        <v>0.0</v>
      </c>
      <c r="R128" s="2">
        <v>1.0</v>
      </c>
      <c r="S128" s="2">
        <v>1.0</v>
      </c>
      <c r="T128" s="2" t="s">
        <v>863</v>
      </c>
    </row>
    <row r="129" ht="15.75" customHeight="1">
      <c r="A129" s="2" t="s">
        <v>934</v>
      </c>
      <c r="B129" s="2" t="s">
        <v>304</v>
      </c>
      <c r="C129" s="2" t="s">
        <v>270</v>
      </c>
      <c r="D129" s="2" t="s">
        <v>149</v>
      </c>
      <c r="E129" s="2" t="s">
        <v>165</v>
      </c>
      <c r="F129" s="2" t="s">
        <v>165</v>
      </c>
      <c r="G129" s="2" t="s">
        <v>165</v>
      </c>
      <c r="H129" s="2" t="s">
        <v>165</v>
      </c>
      <c r="I129" s="2" t="s">
        <v>935</v>
      </c>
      <c r="J129" s="2" t="s">
        <v>936</v>
      </c>
      <c r="K129" s="2" t="s">
        <v>165</v>
      </c>
      <c r="L129" s="2"/>
      <c r="M129" s="2"/>
      <c r="N129" s="2" t="s">
        <v>171</v>
      </c>
      <c r="O129" s="2">
        <v>1.0</v>
      </c>
      <c r="P129" s="2">
        <v>0.0</v>
      </c>
      <c r="Q129" s="2">
        <v>0.0</v>
      </c>
      <c r="R129" s="2">
        <v>1.0</v>
      </c>
      <c r="S129" s="2">
        <v>1.0</v>
      </c>
      <c r="T129" s="2" t="s">
        <v>870</v>
      </c>
    </row>
    <row r="130" ht="15.75" customHeight="1">
      <c r="A130" s="2" t="s">
        <v>314</v>
      </c>
      <c r="B130" s="2" t="s">
        <v>316</v>
      </c>
      <c r="C130" s="2" t="s">
        <v>270</v>
      </c>
      <c r="D130" s="2" t="s">
        <v>71</v>
      </c>
      <c r="E130" s="2" t="s">
        <v>286</v>
      </c>
      <c r="F130" s="2" t="s">
        <v>288</v>
      </c>
      <c r="G130" s="2" t="s">
        <v>289</v>
      </c>
      <c r="H130" s="2" t="s">
        <v>290</v>
      </c>
      <c r="I130" s="2" t="s">
        <v>321</v>
      </c>
      <c r="J130" s="2" t="s">
        <v>322</v>
      </c>
      <c r="K130" s="2"/>
      <c r="L130" s="2" t="s">
        <v>289</v>
      </c>
      <c r="M130" s="2" t="s">
        <v>290</v>
      </c>
      <c r="N130" s="2" t="s">
        <v>86</v>
      </c>
      <c r="O130" s="2">
        <v>0.0</v>
      </c>
      <c r="P130" s="2">
        <v>1.0</v>
      </c>
      <c r="Q130" s="2">
        <v>1.0</v>
      </c>
      <c r="R130" s="2">
        <v>0.0</v>
      </c>
      <c r="S130" s="2">
        <v>0.0</v>
      </c>
      <c r="T130" s="2" t="s">
        <v>329</v>
      </c>
    </row>
    <row r="131" ht="15.75" customHeight="1">
      <c r="A131" s="2" t="s">
        <v>937</v>
      </c>
      <c r="B131" s="2" t="s">
        <v>316</v>
      </c>
      <c r="C131" s="2" t="s">
        <v>270</v>
      </c>
      <c r="D131" s="2" t="s">
        <v>75</v>
      </c>
      <c r="E131" s="2" t="s">
        <v>271</v>
      </c>
      <c r="F131" s="2" t="s">
        <v>271</v>
      </c>
      <c r="G131" s="2" t="s">
        <v>273</v>
      </c>
      <c r="H131" s="2" t="s">
        <v>273</v>
      </c>
      <c r="I131" s="2" t="s">
        <v>939</v>
      </c>
      <c r="J131" s="2" t="s">
        <v>939</v>
      </c>
      <c r="K131" s="2" t="s">
        <v>273</v>
      </c>
      <c r="L131" s="2"/>
      <c r="M131" s="2"/>
      <c r="N131" s="2" t="s">
        <v>145</v>
      </c>
      <c r="O131" s="2">
        <v>1.0</v>
      </c>
      <c r="P131" s="2">
        <v>0.0</v>
      </c>
      <c r="Q131" s="2">
        <v>0.0</v>
      </c>
      <c r="R131" s="2">
        <v>1.0</v>
      </c>
      <c r="S131" s="2">
        <v>0.0</v>
      </c>
      <c r="T131" s="2" t="s">
        <v>948</v>
      </c>
    </row>
    <row r="132" ht="15.75" customHeight="1">
      <c r="A132" s="2" t="s">
        <v>949</v>
      </c>
      <c r="B132" s="2" t="s">
        <v>316</v>
      </c>
      <c r="C132" s="2" t="s">
        <v>270</v>
      </c>
      <c r="D132" s="2" t="s">
        <v>118</v>
      </c>
      <c r="E132" s="2" t="s">
        <v>508</v>
      </c>
      <c r="F132" s="2" t="s">
        <v>508</v>
      </c>
      <c r="G132" s="2" t="s">
        <v>508</v>
      </c>
      <c r="H132" s="2" t="s">
        <v>508</v>
      </c>
      <c r="I132" s="2" t="s">
        <v>950</v>
      </c>
      <c r="J132" s="2" t="s">
        <v>951</v>
      </c>
      <c r="K132" s="2" t="s">
        <v>508</v>
      </c>
      <c r="L132" s="2"/>
      <c r="M132" s="2"/>
      <c r="N132" s="2" t="s">
        <v>171</v>
      </c>
      <c r="O132" s="2">
        <v>1.0</v>
      </c>
      <c r="P132" s="2">
        <v>0.0</v>
      </c>
      <c r="Q132" s="2">
        <v>0.0</v>
      </c>
      <c r="R132" s="2">
        <v>1.0</v>
      </c>
      <c r="S132" s="2">
        <v>1.0</v>
      </c>
      <c r="T132" s="2" t="s">
        <v>912</v>
      </c>
    </row>
    <row r="133" ht="15.75" customHeight="1">
      <c r="A133" s="2" t="s">
        <v>952</v>
      </c>
      <c r="B133" s="2" t="s">
        <v>316</v>
      </c>
      <c r="C133" s="2" t="s">
        <v>270</v>
      </c>
      <c r="D133" s="2" t="s">
        <v>149</v>
      </c>
      <c r="E133" s="2" t="s">
        <v>165</v>
      </c>
      <c r="F133" s="2" t="s">
        <v>165</v>
      </c>
      <c r="G133" s="2" t="s">
        <v>165</v>
      </c>
      <c r="H133" s="2" t="s">
        <v>165</v>
      </c>
      <c r="I133" s="2" t="s">
        <v>953</v>
      </c>
      <c r="J133" s="2" t="s">
        <v>954</v>
      </c>
      <c r="K133" s="2" t="s">
        <v>165</v>
      </c>
      <c r="L133" s="2"/>
      <c r="M133" s="2"/>
      <c r="N133" s="2" t="s">
        <v>171</v>
      </c>
      <c r="O133" s="2">
        <v>1.0</v>
      </c>
      <c r="P133" s="2">
        <v>0.0</v>
      </c>
      <c r="Q133" s="2">
        <v>0.0</v>
      </c>
      <c r="R133" s="2">
        <v>1.0</v>
      </c>
      <c r="S133" s="2">
        <v>1.0</v>
      </c>
      <c r="T133" s="2" t="s">
        <v>916</v>
      </c>
    </row>
    <row r="134" ht="15.75" customHeight="1">
      <c r="A134" s="2" t="s">
        <v>955</v>
      </c>
      <c r="B134" s="2" t="s">
        <v>956</v>
      </c>
      <c r="C134" s="2" t="s">
        <v>270</v>
      </c>
      <c r="D134" s="2" t="s">
        <v>71</v>
      </c>
      <c r="E134" s="2" t="s">
        <v>873</v>
      </c>
      <c r="F134" s="2" t="s">
        <v>873</v>
      </c>
      <c r="G134" s="2" t="s">
        <v>874</v>
      </c>
      <c r="H134" s="2" t="s">
        <v>874</v>
      </c>
      <c r="I134" s="2" t="s">
        <v>958</v>
      </c>
      <c r="J134" s="2" t="s">
        <v>958</v>
      </c>
      <c r="K134" s="2" t="s">
        <v>874</v>
      </c>
      <c r="L134" s="2"/>
      <c r="M134" s="2"/>
      <c r="N134" s="2" t="s">
        <v>145</v>
      </c>
      <c r="O134" s="2">
        <v>1.0</v>
      </c>
      <c r="P134" s="2">
        <v>0.0</v>
      </c>
      <c r="Q134" s="2">
        <v>0.0</v>
      </c>
      <c r="R134" s="2">
        <v>1.0</v>
      </c>
      <c r="S134" s="2">
        <v>0.0</v>
      </c>
      <c r="T134" s="2" t="s">
        <v>963</v>
      </c>
    </row>
    <row r="135" ht="15.75" customHeight="1">
      <c r="A135" s="2" t="s">
        <v>966</v>
      </c>
      <c r="B135" s="2" t="s">
        <v>956</v>
      </c>
      <c r="C135" s="2" t="s">
        <v>270</v>
      </c>
      <c r="D135" s="2" t="s">
        <v>75</v>
      </c>
      <c r="E135" s="2" t="s">
        <v>271</v>
      </c>
      <c r="F135" s="2" t="s">
        <v>271</v>
      </c>
      <c r="G135" s="2" t="s">
        <v>273</v>
      </c>
      <c r="H135" s="2" t="s">
        <v>273</v>
      </c>
      <c r="I135" s="2" t="s">
        <v>967</v>
      </c>
      <c r="J135" s="2" t="s">
        <v>967</v>
      </c>
      <c r="K135" s="2" t="s">
        <v>273</v>
      </c>
      <c r="L135" s="2"/>
      <c r="M135" s="2"/>
      <c r="N135" s="2" t="s">
        <v>145</v>
      </c>
      <c r="O135" s="2">
        <v>1.0</v>
      </c>
      <c r="P135" s="2">
        <v>0.0</v>
      </c>
      <c r="Q135" s="2">
        <v>0.0</v>
      </c>
      <c r="R135" s="2">
        <v>1.0</v>
      </c>
      <c r="S135" s="2">
        <v>0.0</v>
      </c>
      <c r="T135" s="2" t="s">
        <v>968</v>
      </c>
    </row>
    <row r="136" ht="15.75" customHeight="1">
      <c r="A136" s="2" t="s">
        <v>969</v>
      </c>
      <c r="B136" s="2" t="s">
        <v>956</v>
      </c>
      <c r="C136" s="2" t="s">
        <v>270</v>
      </c>
      <c r="D136" s="2" t="s">
        <v>118</v>
      </c>
      <c r="E136" s="2" t="s">
        <v>508</v>
      </c>
      <c r="F136" s="2" t="s">
        <v>508</v>
      </c>
      <c r="G136" s="2" t="s">
        <v>508</v>
      </c>
      <c r="H136" s="2" t="s">
        <v>508</v>
      </c>
      <c r="I136" s="2" t="s">
        <v>970</v>
      </c>
      <c r="J136" s="2" t="s">
        <v>971</v>
      </c>
      <c r="K136" s="2" t="s">
        <v>508</v>
      </c>
      <c r="L136" s="2"/>
      <c r="M136" s="2"/>
      <c r="N136" s="2" t="s">
        <v>171</v>
      </c>
      <c r="O136" s="2">
        <v>1.0</v>
      </c>
      <c r="P136" s="2">
        <v>0.0</v>
      </c>
      <c r="Q136" s="2">
        <v>0.0</v>
      </c>
      <c r="R136" s="2">
        <v>1.0</v>
      </c>
      <c r="S136" s="2">
        <v>1.0</v>
      </c>
      <c r="T136" s="2" t="s">
        <v>972</v>
      </c>
    </row>
    <row r="137" ht="15.75" customHeight="1">
      <c r="A137" s="2" t="s">
        <v>974</v>
      </c>
      <c r="B137" s="2" t="s">
        <v>956</v>
      </c>
      <c r="C137" s="2" t="s">
        <v>270</v>
      </c>
      <c r="D137" s="2" t="s">
        <v>149</v>
      </c>
      <c r="E137" s="2" t="s">
        <v>165</v>
      </c>
      <c r="F137" s="2" t="s">
        <v>165</v>
      </c>
      <c r="G137" s="2" t="s">
        <v>165</v>
      </c>
      <c r="H137" s="2" t="s">
        <v>165</v>
      </c>
      <c r="I137" s="2" t="s">
        <v>976</v>
      </c>
      <c r="J137" s="2" t="s">
        <v>977</v>
      </c>
      <c r="K137" s="2" t="s">
        <v>165</v>
      </c>
      <c r="L137" s="2"/>
      <c r="M137" s="2"/>
      <c r="N137" s="2" t="s">
        <v>171</v>
      </c>
      <c r="O137" s="2">
        <v>1.0</v>
      </c>
      <c r="P137" s="2">
        <v>0.0</v>
      </c>
      <c r="Q137" s="2">
        <v>0.0</v>
      </c>
      <c r="R137" s="2">
        <v>1.0</v>
      </c>
      <c r="S137" s="2">
        <v>1.0</v>
      </c>
      <c r="T137" s="2" t="s">
        <v>980</v>
      </c>
    </row>
    <row r="138" ht="15.75" customHeight="1">
      <c r="A138" s="2" t="s">
        <v>981</v>
      </c>
      <c r="B138" s="2" t="s">
        <v>982</v>
      </c>
      <c r="C138" s="2" t="s">
        <v>270</v>
      </c>
      <c r="D138" s="2" t="s">
        <v>71</v>
      </c>
      <c r="E138" s="2" t="s">
        <v>873</v>
      </c>
      <c r="F138" s="2" t="s">
        <v>873</v>
      </c>
      <c r="G138" s="2" t="s">
        <v>874</v>
      </c>
      <c r="H138" s="2" t="s">
        <v>874</v>
      </c>
      <c r="I138" s="2" t="s">
        <v>983</v>
      </c>
      <c r="J138" s="2" t="s">
        <v>983</v>
      </c>
      <c r="K138" s="2" t="s">
        <v>874</v>
      </c>
      <c r="L138" s="2"/>
      <c r="M138" s="2"/>
      <c r="N138" s="2" t="s">
        <v>145</v>
      </c>
      <c r="O138" s="2">
        <v>1.0</v>
      </c>
      <c r="P138" s="2">
        <v>0.0</v>
      </c>
      <c r="Q138" s="2">
        <v>0.0</v>
      </c>
      <c r="R138" s="2">
        <v>1.0</v>
      </c>
      <c r="S138" s="2">
        <v>0.0</v>
      </c>
      <c r="T138" s="2" t="s">
        <v>984</v>
      </c>
    </row>
    <row r="139" ht="15.75" customHeight="1">
      <c r="A139" s="2" t="s">
        <v>985</v>
      </c>
      <c r="B139" s="2" t="s">
        <v>982</v>
      </c>
      <c r="C139" s="2" t="s">
        <v>270</v>
      </c>
      <c r="D139" s="2" t="s">
        <v>75</v>
      </c>
      <c r="E139" s="2" t="s">
        <v>271</v>
      </c>
      <c r="F139" s="2" t="s">
        <v>271</v>
      </c>
      <c r="G139" s="2" t="s">
        <v>273</v>
      </c>
      <c r="H139" s="2" t="s">
        <v>273</v>
      </c>
      <c r="I139" s="2" t="s">
        <v>986</v>
      </c>
      <c r="J139" s="2" t="s">
        <v>986</v>
      </c>
      <c r="K139" s="2" t="s">
        <v>273</v>
      </c>
      <c r="L139" s="2"/>
      <c r="M139" s="2"/>
      <c r="N139" s="2" t="s">
        <v>145</v>
      </c>
      <c r="O139" s="2">
        <v>1.0</v>
      </c>
      <c r="P139" s="2">
        <v>0.0</v>
      </c>
      <c r="Q139" s="2">
        <v>0.0</v>
      </c>
      <c r="R139" s="2">
        <v>1.0</v>
      </c>
      <c r="S139" s="2">
        <v>0.0</v>
      </c>
      <c r="T139" s="2" t="s">
        <v>988</v>
      </c>
    </row>
    <row r="140" ht="15.75" customHeight="1">
      <c r="A140" s="2" t="s">
        <v>989</v>
      </c>
      <c r="B140" s="2" t="s">
        <v>982</v>
      </c>
      <c r="C140" s="2" t="s">
        <v>270</v>
      </c>
      <c r="D140" s="2" t="s">
        <v>118</v>
      </c>
      <c r="E140" s="2" t="s">
        <v>508</v>
      </c>
      <c r="F140" s="2" t="s">
        <v>508</v>
      </c>
      <c r="G140" s="2" t="s">
        <v>508</v>
      </c>
      <c r="H140" s="2" t="s">
        <v>508</v>
      </c>
      <c r="I140" s="2" t="s">
        <v>990</v>
      </c>
      <c r="J140" s="2" t="s">
        <v>991</v>
      </c>
      <c r="K140" s="2" t="s">
        <v>508</v>
      </c>
      <c r="L140" s="2"/>
      <c r="M140" s="2"/>
      <c r="N140" s="2" t="s">
        <v>171</v>
      </c>
      <c r="O140" s="2">
        <v>1.0</v>
      </c>
      <c r="P140" s="2">
        <v>0.0</v>
      </c>
      <c r="Q140" s="2">
        <v>0.0</v>
      </c>
      <c r="R140" s="2">
        <v>1.0</v>
      </c>
      <c r="S140" s="2">
        <v>1.0</v>
      </c>
      <c r="T140" s="2" t="s">
        <v>887</v>
      </c>
    </row>
    <row r="141" ht="15.75" customHeight="1">
      <c r="A141" s="2" t="s">
        <v>992</v>
      </c>
      <c r="B141" s="2" t="s">
        <v>982</v>
      </c>
      <c r="C141" s="2" t="s">
        <v>270</v>
      </c>
      <c r="D141" s="2" t="s">
        <v>149</v>
      </c>
      <c r="E141" s="2" t="s">
        <v>165</v>
      </c>
      <c r="F141" s="2" t="s">
        <v>165</v>
      </c>
      <c r="G141" s="2" t="s">
        <v>165</v>
      </c>
      <c r="H141" s="2" t="s">
        <v>165</v>
      </c>
      <c r="I141" s="2" t="s">
        <v>993</v>
      </c>
      <c r="J141" s="2" t="s">
        <v>994</v>
      </c>
      <c r="K141" s="2" t="s">
        <v>165</v>
      </c>
      <c r="L141" s="2"/>
      <c r="M141" s="2"/>
      <c r="N141" s="2" t="s">
        <v>171</v>
      </c>
      <c r="O141" s="2">
        <v>1.0</v>
      </c>
      <c r="P141" s="2">
        <v>0.0</v>
      </c>
      <c r="Q141" s="2">
        <v>0.0</v>
      </c>
      <c r="R141" s="2">
        <v>1.0</v>
      </c>
      <c r="S141" s="2">
        <v>1.0</v>
      </c>
      <c r="T141" s="2" t="s">
        <v>891</v>
      </c>
    </row>
    <row r="142" ht="15.75" customHeight="1">
      <c r="A142" s="2" t="s">
        <v>330</v>
      </c>
      <c r="B142" s="2" t="s">
        <v>331</v>
      </c>
      <c r="C142" s="2" t="s">
        <v>270</v>
      </c>
      <c r="D142" s="2" t="s">
        <v>71</v>
      </c>
      <c r="E142" s="2" t="s">
        <v>286</v>
      </c>
      <c r="F142" s="2" t="s">
        <v>288</v>
      </c>
      <c r="G142" s="2" t="s">
        <v>289</v>
      </c>
      <c r="H142" s="2" t="s">
        <v>290</v>
      </c>
      <c r="I142" s="2" t="s">
        <v>333</v>
      </c>
      <c r="J142" s="2" t="s">
        <v>334</v>
      </c>
      <c r="K142" s="2"/>
      <c r="L142" s="2" t="s">
        <v>289</v>
      </c>
      <c r="M142" s="2" t="s">
        <v>290</v>
      </c>
      <c r="N142" s="2" t="s">
        <v>86</v>
      </c>
      <c r="O142" s="2">
        <v>0.0</v>
      </c>
      <c r="P142" s="2">
        <v>1.0</v>
      </c>
      <c r="Q142" s="2">
        <v>1.0</v>
      </c>
      <c r="R142" s="2">
        <v>0.0</v>
      </c>
      <c r="S142" s="2">
        <v>0.0</v>
      </c>
      <c r="T142" s="2" t="s">
        <v>339</v>
      </c>
    </row>
    <row r="143" ht="15.75" customHeight="1">
      <c r="A143" s="2" t="s">
        <v>995</v>
      </c>
      <c r="B143" s="2" t="s">
        <v>331</v>
      </c>
      <c r="C143" s="2" t="s">
        <v>270</v>
      </c>
      <c r="D143" s="2" t="s">
        <v>75</v>
      </c>
      <c r="E143" s="2" t="s">
        <v>271</v>
      </c>
      <c r="F143" s="2" t="s">
        <v>271</v>
      </c>
      <c r="G143" s="2" t="s">
        <v>273</v>
      </c>
      <c r="H143" s="2" t="s">
        <v>273</v>
      </c>
      <c r="I143" s="2" t="s">
        <v>996</v>
      </c>
      <c r="J143" s="2" t="s">
        <v>996</v>
      </c>
      <c r="K143" s="2" t="s">
        <v>273</v>
      </c>
      <c r="L143" s="2"/>
      <c r="M143" s="2"/>
      <c r="N143" s="2" t="s">
        <v>145</v>
      </c>
      <c r="O143" s="2">
        <v>1.0</v>
      </c>
      <c r="P143" s="2">
        <v>0.0</v>
      </c>
      <c r="Q143" s="2">
        <v>0.0</v>
      </c>
      <c r="R143" s="2">
        <v>1.0</v>
      </c>
      <c r="S143" s="2">
        <v>0.0</v>
      </c>
      <c r="T143" s="2" t="s">
        <v>997</v>
      </c>
    </row>
    <row r="144" ht="15.75" customHeight="1">
      <c r="A144" s="2" t="s">
        <v>998</v>
      </c>
      <c r="B144" s="2" t="s">
        <v>331</v>
      </c>
      <c r="C144" s="2" t="s">
        <v>270</v>
      </c>
      <c r="D144" s="2" t="s">
        <v>118</v>
      </c>
      <c r="E144" s="2" t="s">
        <v>508</v>
      </c>
      <c r="F144" s="2" t="s">
        <v>508</v>
      </c>
      <c r="G144" s="2" t="s">
        <v>508</v>
      </c>
      <c r="H144" s="2" t="s">
        <v>508</v>
      </c>
      <c r="I144" s="2" t="s">
        <v>999</v>
      </c>
      <c r="J144" s="2" t="s">
        <v>1000</v>
      </c>
      <c r="K144" s="2" t="s">
        <v>508</v>
      </c>
      <c r="L144" s="2"/>
      <c r="M144" s="2"/>
      <c r="N144" s="2" t="s">
        <v>171</v>
      </c>
      <c r="O144" s="2">
        <v>1.0</v>
      </c>
      <c r="P144" s="2">
        <v>0.0</v>
      </c>
      <c r="Q144" s="2">
        <v>0.0</v>
      </c>
      <c r="R144" s="2">
        <v>1.0</v>
      </c>
      <c r="S144" s="2">
        <v>1.0</v>
      </c>
      <c r="T144" s="2" t="s">
        <v>1001</v>
      </c>
    </row>
    <row r="145" ht="15.75" customHeight="1">
      <c r="A145" s="2" t="s">
        <v>1002</v>
      </c>
      <c r="B145" s="2" t="s">
        <v>331</v>
      </c>
      <c r="C145" s="2" t="s">
        <v>270</v>
      </c>
      <c r="D145" s="2" t="s">
        <v>149</v>
      </c>
      <c r="E145" s="2" t="s">
        <v>165</v>
      </c>
      <c r="F145" s="2" t="s">
        <v>165</v>
      </c>
      <c r="G145" s="2" t="s">
        <v>165</v>
      </c>
      <c r="H145" s="2" t="s">
        <v>165</v>
      </c>
      <c r="I145" s="2" t="s">
        <v>1003</v>
      </c>
      <c r="J145" s="2" t="s">
        <v>1004</v>
      </c>
      <c r="K145" s="2" t="s">
        <v>165</v>
      </c>
      <c r="L145" s="2"/>
      <c r="M145" s="2"/>
      <c r="N145" s="2" t="s">
        <v>171</v>
      </c>
      <c r="O145" s="2">
        <v>1.0</v>
      </c>
      <c r="P145" s="2">
        <v>0.0</v>
      </c>
      <c r="Q145" s="2">
        <v>0.0</v>
      </c>
      <c r="R145" s="2">
        <v>1.0</v>
      </c>
      <c r="S145" s="2">
        <v>1.0</v>
      </c>
      <c r="T145" s="2" t="s">
        <v>1005</v>
      </c>
    </row>
    <row r="146" ht="15.75" customHeight="1">
      <c r="A146" s="2" t="s">
        <v>340</v>
      </c>
      <c r="B146" s="2" t="s">
        <v>269</v>
      </c>
      <c r="C146" s="2" t="s">
        <v>270</v>
      </c>
      <c r="D146" s="2" t="s">
        <v>71</v>
      </c>
      <c r="E146" s="2" t="s">
        <v>341</v>
      </c>
      <c r="F146" s="2" t="s">
        <v>288</v>
      </c>
      <c r="G146" s="2" t="s">
        <v>342</v>
      </c>
      <c r="H146" s="2" t="s">
        <v>290</v>
      </c>
      <c r="I146" s="2" t="s">
        <v>343</v>
      </c>
      <c r="J146" s="2" t="s">
        <v>344</v>
      </c>
      <c r="K146" s="2"/>
      <c r="L146" s="2" t="s">
        <v>342</v>
      </c>
      <c r="M146" s="2" t="s">
        <v>290</v>
      </c>
      <c r="N146" s="2" t="s">
        <v>86</v>
      </c>
      <c r="O146" s="2">
        <v>0.0</v>
      </c>
      <c r="P146" s="2">
        <v>2.0</v>
      </c>
      <c r="Q146" s="2">
        <v>1.0</v>
      </c>
      <c r="R146" s="2">
        <v>0.0</v>
      </c>
      <c r="S146" s="2">
        <v>0.0</v>
      </c>
      <c r="T146" s="2" t="s">
        <v>358</v>
      </c>
    </row>
    <row r="147" ht="15.75" customHeight="1">
      <c r="A147" s="2" t="s">
        <v>268</v>
      </c>
      <c r="B147" s="2" t="s">
        <v>269</v>
      </c>
      <c r="C147" s="2" t="s">
        <v>270</v>
      </c>
      <c r="D147" s="2" t="s">
        <v>75</v>
      </c>
      <c r="E147" s="2"/>
      <c r="F147" s="2" t="s">
        <v>271</v>
      </c>
      <c r="G147" s="2" t="s">
        <v>93</v>
      </c>
      <c r="H147" s="2" t="s">
        <v>273</v>
      </c>
      <c r="I147" s="2"/>
      <c r="J147" s="2" t="s">
        <v>275</v>
      </c>
      <c r="K147" s="2"/>
      <c r="L147" s="2"/>
      <c r="M147" s="2" t="s">
        <v>273</v>
      </c>
      <c r="N147" s="2" t="s">
        <v>95</v>
      </c>
      <c r="O147" s="7">
        <v>1.0</v>
      </c>
      <c r="P147" s="2">
        <v>0.0</v>
      </c>
      <c r="Q147" s="7">
        <v>0.0</v>
      </c>
      <c r="R147" s="7">
        <v>1.0</v>
      </c>
      <c r="S147" s="2">
        <v>0.0</v>
      </c>
      <c r="T147" s="2" t="s">
        <v>282</v>
      </c>
    </row>
    <row r="148" ht="15.75" customHeight="1">
      <c r="A148" s="2" t="s">
        <v>1006</v>
      </c>
      <c r="B148" s="2" t="s">
        <v>269</v>
      </c>
      <c r="C148" s="2" t="s">
        <v>270</v>
      </c>
      <c r="D148" s="2" t="s">
        <v>118</v>
      </c>
      <c r="E148" s="2" t="s">
        <v>508</v>
      </c>
      <c r="F148" s="2" t="s">
        <v>508</v>
      </c>
      <c r="G148" s="2" t="s">
        <v>508</v>
      </c>
      <c r="H148" s="2" t="s">
        <v>508</v>
      </c>
      <c r="I148" s="2" t="s">
        <v>1007</v>
      </c>
      <c r="J148" s="2" t="s">
        <v>1008</v>
      </c>
      <c r="K148" s="2" t="s">
        <v>508</v>
      </c>
      <c r="L148" s="2"/>
      <c r="M148" s="2"/>
      <c r="N148" s="2" t="s">
        <v>171</v>
      </c>
      <c r="O148" s="2">
        <v>1.0</v>
      </c>
      <c r="P148" s="2">
        <v>0.0</v>
      </c>
      <c r="Q148" s="2">
        <v>0.0</v>
      </c>
      <c r="R148" s="2">
        <v>1.0</v>
      </c>
      <c r="S148" s="2">
        <v>1.0</v>
      </c>
      <c r="T148" s="2" t="s">
        <v>863</v>
      </c>
    </row>
    <row r="149" ht="15.75" customHeight="1">
      <c r="A149" s="2" t="s">
        <v>1010</v>
      </c>
      <c r="B149" s="2" t="s">
        <v>269</v>
      </c>
      <c r="C149" s="2" t="s">
        <v>270</v>
      </c>
      <c r="D149" s="2" t="s">
        <v>149</v>
      </c>
      <c r="E149" s="2" t="s">
        <v>165</v>
      </c>
      <c r="F149" s="2" t="s">
        <v>165</v>
      </c>
      <c r="G149" s="2" t="s">
        <v>165</v>
      </c>
      <c r="H149" s="2" t="s">
        <v>165</v>
      </c>
      <c r="I149" s="2" t="s">
        <v>1011</v>
      </c>
      <c r="J149" s="2" t="s">
        <v>1012</v>
      </c>
      <c r="K149" s="2" t="s">
        <v>165</v>
      </c>
      <c r="L149" s="2"/>
      <c r="M149" s="2"/>
      <c r="N149" s="2" t="s">
        <v>171</v>
      </c>
      <c r="O149" s="2">
        <v>1.0</v>
      </c>
      <c r="P149" s="2">
        <v>0.0</v>
      </c>
      <c r="Q149" s="2">
        <v>0.0</v>
      </c>
      <c r="R149" s="2">
        <v>1.0</v>
      </c>
      <c r="S149" s="2">
        <v>1.0</v>
      </c>
      <c r="T149" s="2" t="s">
        <v>870</v>
      </c>
    </row>
    <row r="150" ht="15.75" customHeight="1">
      <c r="A150" s="2" t="s">
        <v>359</v>
      </c>
      <c r="B150" s="2" t="s">
        <v>360</v>
      </c>
      <c r="C150" s="2" t="s">
        <v>270</v>
      </c>
      <c r="D150" s="2" t="s">
        <v>71</v>
      </c>
      <c r="E150" s="2" t="s">
        <v>286</v>
      </c>
      <c r="F150" s="2" t="s">
        <v>288</v>
      </c>
      <c r="G150" s="2" t="s">
        <v>289</v>
      </c>
      <c r="H150" s="2" t="s">
        <v>290</v>
      </c>
      <c r="I150" s="2" t="s">
        <v>361</v>
      </c>
      <c r="J150" s="2" t="s">
        <v>362</v>
      </c>
      <c r="K150" s="2"/>
      <c r="L150" s="2" t="s">
        <v>289</v>
      </c>
      <c r="M150" s="2" t="s">
        <v>290</v>
      </c>
      <c r="N150" s="2" t="s">
        <v>86</v>
      </c>
      <c r="O150" s="2">
        <v>0.0</v>
      </c>
      <c r="P150" s="2">
        <v>1.0</v>
      </c>
      <c r="Q150" s="2">
        <v>1.0</v>
      </c>
      <c r="R150" s="2">
        <v>0.0</v>
      </c>
      <c r="S150" s="2">
        <v>0.0</v>
      </c>
      <c r="T150" s="2" t="s">
        <v>371</v>
      </c>
    </row>
    <row r="151" ht="15.75" customHeight="1">
      <c r="A151" s="2" t="s">
        <v>1014</v>
      </c>
      <c r="B151" s="2" t="s">
        <v>360</v>
      </c>
      <c r="C151" s="2" t="s">
        <v>270</v>
      </c>
      <c r="D151" s="2" t="s">
        <v>75</v>
      </c>
      <c r="E151" s="2" t="s">
        <v>271</v>
      </c>
      <c r="F151" s="2" t="s">
        <v>271</v>
      </c>
      <c r="G151" s="2" t="s">
        <v>273</v>
      </c>
      <c r="H151" s="2" t="s">
        <v>273</v>
      </c>
      <c r="I151" s="2" t="s">
        <v>1015</v>
      </c>
      <c r="J151" s="2" t="s">
        <v>1015</v>
      </c>
      <c r="K151" s="2" t="s">
        <v>273</v>
      </c>
      <c r="L151" s="2"/>
      <c r="M151" s="2"/>
      <c r="N151" s="2" t="s">
        <v>145</v>
      </c>
      <c r="O151" s="2">
        <v>1.0</v>
      </c>
      <c r="P151" s="2">
        <v>0.0</v>
      </c>
      <c r="Q151" s="2">
        <v>0.0</v>
      </c>
      <c r="R151" s="2">
        <v>1.0</v>
      </c>
      <c r="S151" s="2">
        <v>0.0</v>
      </c>
      <c r="T151" s="2" t="s">
        <v>1016</v>
      </c>
    </row>
    <row r="152" ht="15.75" customHeight="1">
      <c r="A152" s="2" t="s">
        <v>1017</v>
      </c>
      <c r="B152" s="2" t="s">
        <v>360</v>
      </c>
      <c r="C152" s="2" t="s">
        <v>270</v>
      </c>
      <c r="D152" s="2" t="s">
        <v>118</v>
      </c>
      <c r="E152" s="2" t="s">
        <v>508</v>
      </c>
      <c r="F152" s="2" t="s">
        <v>508</v>
      </c>
      <c r="G152" s="2" t="s">
        <v>508</v>
      </c>
      <c r="H152" s="2" t="s">
        <v>508</v>
      </c>
      <c r="I152" s="2" t="s">
        <v>1018</v>
      </c>
      <c r="J152" s="2" t="s">
        <v>1019</v>
      </c>
      <c r="K152" s="2" t="s">
        <v>508</v>
      </c>
      <c r="L152" s="2"/>
      <c r="M152" s="2"/>
      <c r="N152" s="2" t="s">
        <v>171</v>
      </c>
      <c r="O152" s="2">
        <v>1.0</v>
      </c>
      <c r="P152" s="2">
        <v>0.0</v>
      </c>
      <c r="Q152" s="2">
        <v>0.0</v>
      </c>
      <c r="R152" s="2">
        <v>1.0</v>
      </c>
      <c r="S152" s="2">
        <v>1.0</v>
      </c>
      <c r="T152" s="2" t="s">
        <v>912</v>
      </c>
    </row>
    <row r="153" ht="15.75" customHeight="1">
      <c r="A153" s="2" t="s">
        <v>1021</v>
      </c>
      <c r="B153" s="2" t="s">
        <v>360</v>
      </c>
      <c r="C153" s="2" t="s">
        <v>270</v>
      </c>
      <c r="D153" s="2" t="s">
        <v>149</v>
      </c>
      <c r="E153" s="2" t="s">
        <v>165</v>
      </c>
      <c r="F153" s="2" t="s">
        <v>165</v>
      </c>
      <c r="G153" s="2" t="s">
        <v>165</v>
      </c>
      <c r="H153" s="2" t="s">
        <v>165</v>
      </c>
      <c r="I153" s="2" t="s">
        <v>1022</v>
      </c>
      <c r="J153" s="2" t="s">
        <v>1024</v>
      </c>
      <c r="K153" s="2" t="s">
        <v>165</v>
      </c>
      <c r="L153" s="2"/>
      <c r="M153" s="2"/>
      <c r="N153" s="2" t="s">
        <v>171</v>
      </c>
      <c r="O153" s="2">
        <v>1.0</v>
      </c>
      <c r="P153" s="2">
        <v>0.0</v>
      </c>
      <c r="Q153" s="2">
        <v>0.0</v>
      </c>
      <c r="R153" s="2">
        <v>1.0</v>
      </c>
      <c r="S153" s="2">
        <v>1.0</v>
      </c>
      <c r="T153" s="2" t="s">
        <v>916</v>
      </c>
    </row>
    <row r="154" ht="15.75" customHeight="1">
      <c r="A154" s="2" t="s">
        <v>373</v>
      </c>
      <c r="B154" s="2" t="s">
        <v>374</v>
      </c>
      <c r="C154" s="2" t="s">
        <v>270</v>
      </c>
      <c r="D154" s="2" t="s">
        <v>71</v>
      </c>
      <c r="E154" s="2" t="s">
        <v>286</v>
      </c>
      <c r="F154" s="2" t="s">
        <v>288</v>
      </c>
      <c r="G154" s="2" t="s">
        <v>289</v>
      </c>
      <c r="H154" s="2" t="s">
        <v>290</v>
      </c>
      <c r="I154" s="2" t="s">
        <v>361</v>
      </c>
      <c r="J154" s="2" t="s">
        <v>362</v>
      </c>
      <c r="K154" s="2"/>
      <c r="L154" s="2" t="s">
        <v>289</v>
      </c>
      <c r="M154" s="2" t="s">
        <v>290</v>
      </c>
      <c r="N154" s="2" t="s">
        <v>86</v>
      </c>
      <c r="O154" s="2">
        <v>0.0</v>
      </c>
      <c r="P154" s="2">
        <v>1.0</v>
      </c>
      <c r="Q154" s="2">
        <v>1.0</v>
      </c>
      <c r="R154" s="2">
        <v>0.0</v>
      </c>
      <c r="S154" s="2">
        <v>0.0</v>
      </c>
      <c r="T154" s="2" t="s">
        <v>384</v>
      </c>
    </row>
    <row r="155" ht="15.75" customHeight="1">
      <c r="A155" s="2" t="s">
        <v>1026</v>
      </c>
      <c r="B155" s="2" t="s">
        <v>374</v>
      </c>
      <c r="C155" s="2" t="s">
        <v>270</v>
      </c>
      <c r="D155" s="2" t="s">
        <v>75</v>
      </c>
      <c r="E155" s="2" t="s">
        <v>271</v>
      </c>
      <c r="F155" s="2" t="s">
        <v>271</v>
      </c>
      <c r="G155" s="2" t="s">
        <v>273</v>
      </c>
      <c r="H155" s="2" t="s">
        <v>273</v>
      </c>
      <c r="I155" s="2" t="s">
        <v>1027</v>
      </c>
      <c r="J155" s="2" t="s">
        <v>1027</v>
      </c>
      <c r="K155" s="2" t="s">
        <v>273</v>
      </c>
      <c r="L155" s="2"/>
      <c r="M155" s="2"/>
      <c r="N155" s="2" t="s">
        <v>145</v>
      </c>
      <c r="O155" s="2">
        <v>1.0</v>
      </c>
      <c r="P155" s="2">
        <v>0.0</v>
      </c>
      <c r="Q155" s="2">
        <v>0.0</v>
      </c>
      <c r="R155" s="2">
        <v>1.0</v>
      </c>
      <c r="S155" s="2">
        <v>0.0</v>
      </c>
      <c r="T155" s="2" t="s">
        <v>1029</v>
      </c>
    </row>
    <row r="156" ht="15.75" customHeight="1">
      <c r="A156" s="2" t="s">
        <v>1030</v>
      </c>
      <c r="B156" s="2" t="s">
        <v>374</v>
      </c>
      <c r="C156" s="2" t="s">
        <v>270</v>
      </c>
      <c r="D156" s="2" t="s">
        <v>118</v>
      </c>
      <c r="E156" s="2" t="s">
        <v>508</v>
      </c>
      <c r="F156" s="2" t="s">
        <v>508</v>
      </c>
      <c r="G156" s="2" t="s">
        <v>508</v>
      </c>
      <c r="H156" s="2" t="s">
        <v>508</v>
      </c>
      <c r="I156" s="2" t="s">
        <v>1031</v>
      </c>
      <c r="J156" s="2" t="s">
        <v>1032</v>
      </c>
      <c r="K156" s="2" t="s">
        <v>508</v>
      </c>
      <c r="L156" s="2"/>
      <c r="M156" s="2"/>
      <c r="N156" s="2" t="s">
        <v>171</v>
      </c>
      <c r="O156" s="2">
        <v>1.0</v>
      </c>
      <c r="P156" s="2">
        <v>0.0</v>
      </c>
      <c r="Q156" s="2">
        <v>0.0</v>
      </c>
      <c r="R156" s="2">
        <v>1.0</v>
      </c>
      <c r="S156" s="2">
        <v>1.0</v>
      </c>
      <c r="T156" s="2" t="s">
        <v>863</v>
      </c>
    </row>
    <row r="157" ht="15.75" customHeight="1">
      <c r="A157" s="2" t="s">
        <v>1033</v>
      </c>
      <c r="B157" s="2" t="s">
        <v>374</v>
      </c>
      <c r="C157" s="2" t="s">
        <v>270</v>
      </c>
      <c r="D157" s="2" t="s">
        <v>149</v>
      </c>
      <c r="E157" s="2" t="s">
        <v>165</v>
      </c>
      <c r="F157" s="2" t="s">
        <v>165</v>
      </c>
      <c r="G157" s="2" t="s">
        <v>165</v>
      </c>
      <c r="H157" s="2" t="s">
        <v>165</v>
      </c>
      <c r="I157" s="2" t="s">
        <v>1035</v>
      </c>
      <c r="J157" s="2" t="s">
        <v>1036</v>
      </c>
      <c r="K157" s="2" t="s">
        <v>165</v>
      </c>
      <c r="L157" s="2"/>
      <c r="M157" s="2"/>
      <c r="N157" s="2" t="s">
        <v>171</v>
      </c>
      <c r="O157" s="2">
        <v>1.0</v>
      </c>
      <c r="P157" s="2">
        <v>0.0</v>
      </c>
      <c r="Q157" s="2">
        <v>0.0</v>
      </c>
      <c r="R157" s="2">
        <v>1.0</v>
      </c>
      <c r="S157" s="2">
        <v>1.0</v>
      </c>
      <c r="T157" s="2" t="s">
        <v>870</v>
      </c>
    </row>
    <row r="158" ht="15.75" customHeight="1">
      <c r="A158" s="2" t="s">
        <v>1037</v>
      </c>
      <c r="B158" s="2" t="s">
        <v>1038</v>
      </c>
      <c r="C158" s="2" t="s">
        <v>270</v>
      </c>
      <c r="D158" s="2" t="s">
        <v>71</v>
      </c>
      <c r="E158" s="2" t="s">
        <v>873</v>
      </c>
      <c r="F158" s="2" t="s">
        <v>873</v>
      </c>
      <c r="G158" s="2" t="s">
        <v>874</v>
      </c>
      <c r="H158" s="2" t="s">
        <v>874</v>
      </c>
      <c r="I158" s="2" t="s">
        <v>1039</v>
      </c>
      <c r="J158" s="2" t="s">
        <v>1039</v>
      </c>
      <c r="K158" s="2" t="s">
        <v>874</v>
      </c>
      <c r="L158" s="2"/>
      <c r="M158" s="2"/>
      <c r="N158" s="2" t="s">
        <v>145</v>
      </c>
      <c r="O158" s="2">
        <v>1.0</v>
      </c>
      <c r="P158" s="2">
        <v>0.0</v>
      </c>
      <c r="Q158" s="2">
        <v>0.0</v>
      </c>
      <c r="R158" s="2">
        <v>1.0</v>
      </c>
      <c r="S158" s="2">
        <v>0.0</v>
      </c>
      <c r="T158" s="2" t="s">
        <v>1040</v>
      </c>
    </row>
    <row r="159" ht="15.75" customHeight="1">
      <c r="A159" s="2" t="s">
        <v>1042</v>
      </c>
      <c r="B159" s="2" t="s">
        <v>1038</v>
      </c>
      <c r="C159" s="2" t="s">
        <v>270</v>
      </c>
      <c r="D159" s="2" t="s">
        <v>75</v>
      </c>
      <c r="E159" s="2" t="s">
        <v>271</v>
      </c>
      <c r="F159" s="2" t="s">
        <v>271</v>
      </c>
      <c r="G159" s="2" t="s">
        <v>273</v>
      </c>
      <c r="H159" s="2" t="s">
        <v>273</v>
      </c>
      <c r="I159" s="2" t="s">
        <v>1043</v>
      </c>
      <c r="J159" s="2" t="s">
        <v>1043</v>
      </c>
      <c r="K159" s="2" t="s">
        <v>273</v>
      </c>
      <c r="L159" s="2"/>
      <c r="M159" s="2"/>
      <c r="N159" s="2" t="s">
        <v>145</v>
      </c>
      <c r="O159" s="2">
        <v>1.0</v>
      </c>
      <c r="P159" s="2">
        <v>0.0</v>
      </c>
      <c r="Q159" s="2">
        <v>0.0</v>
      </c>
      <c r="R159" s="2">
        <v>1.0</v>
      </c>
      <c r="S159" s="2">
        <v>0.0</v>
      </c>
      <c r="T159" s="2" t="s">
        <v>1045</v>
      </c>
    </row>
    <row r="160" ht="15.75" customHeight="1">
      <c r="A160" s="2" t="s">
        <v>1046</v>
      </c>
      <c r="B160" s="2" t="s">
        <v>1038</v>
      </c>
      <c r="C160" s="2" t="s">
        <v>270</v>
      </c>
      <c r="D160" s="2" t="s">
        <v>118</v>
      </c>
      <c r="E160" s="2" t="s">
        <v>508</v>
      </c>
      <c r="F160" s="2" t="s">
        <v>508</v>
      </c>
      <c r="G160" s="2" t="s">
        <v>508</v>
      </c>
      <c r="H160" s="2" t="s">
        <v>508</v>
      </c>
      <c r="I160" s="2" t="s">
        <v>1047</v>
      </c>
      <c r="J160" s="2" t="s">
        <v>1048</v>
      </c>
      <c r="K160" s="2" t="s">
        <v>508</v>
      </c>
      <c r="L160" s="2"/>
      <c r="M160" s="2"/>
      <c r="N160" s="2" t="s">
        <v>171</v>
      </c>
      <c r="O160" s="2">
        <v>1.0</v>
      </c>
      <c r="P160" s="2">
        <v>0.0</v>
      </c>
      <c r="Q160" s="2">
        <v>0.0</v>
      </c>
      <c r="R160" s="2">
        <v>1.0</v>
      </c>
      <c r="S160" s="2">
        <v>1.0</v>
      </c>
      <c r="T160" s="2" t="s">
        <v>887</v>
      </c>
    </row>
    <row r="161" ht="15.75" customHeight="1">
      <c r="A161" s="2" t="s">
        <v>1049</v>
      </c>
      <c r="B161" s="2" t="s">
        <v>1038</v>
      </c>
      <c r="C161" s="2" t="s">
        <v>270</v>
      </c>
      <c r="D161" s="2" t="s">
        <v>149</v>
      </c>
      <c r="E161" s="2" t="s">
        <v>165</v>
      </c>
      <c r="F161" s="2" t="s">
        <v>165</v>
      </c>
      <c r="G161" s="2" t="s">
        <v>165</v>
      </c>
      <c r="H161" s="2" t="s">
        <v>165</v>
      </c>
      <c r="I161" s="2" t="s">
        <v>1050</v>
      </c>
      <c r="J161" s="2" t="s">
        <v>1051</v>
      </c>
      <c r="K161" s="2" t="s">
        <v>165</v>
      </c>
      <c r="L161" s="2"/>
      <c r="M161" s="2"/>
      <c r="N161" s="2" t="s">
        <v>171</v>
      </c>
      <c r="O161" s="2">
        <v>1.0</v>
      </c>
      <c r="P161" s="2">
        <v>0.0</v>
      </c>
      <c r="Q161" s="2">
        <v>0.0</v>
      </c>
      <c r="R161" s="2">
        <v>1.0</v>
      </c>
      <c r="S161" s="2">
        <v>1.0</v>
      </c>
      <c r="T161" s="2" t="s">
        <v>891</v>
      </c>
    </row>
    <row r="162" ht="15.75" customHeight="1">
      <c r="A162" s="2" t="s">
        <v>1052</v>
      </c>
      <c r="B162" s="2" t="s">
        <v>1053</v>
      </c>
      <c r="C162" s="2" t="s">
        <v>270</v>
      </c>
      <c r="D162" s="2" t="s">
        <v>71</v>
      </c>
      <c r="E162" s="2" t="s">
        <v>873</v>
      </c>
      <c r="F162" s="2" t="s">
        <v>873</v>
      </c>
      <c r="G162" s="2" t="s">
        <v>874</v>
      </c>
      <c r="H162" s="2" t="s">
        <v>874</v>
      </c>
      <c r="I162" s="2" t="s">
        <v>1054</v>
      </c>
      <c r="J162" s="2" t="s">
        <v>1054</v>
      </c>
      <c r="K162" s="2" t="s">
        <v>874</v>
      </c>
      <c r="L162" s="2"/>
      <c r="M162" s="2"/>
      <c r="N162" s="2" t="s">
        <v>145</v>
      </c>
      <c r="O162" s="2">
        <v>1.0</v>
      </c>
      <c r="P162" s="2">
        <v>0.0</v>
      </c>
      <c r="Q162" s="2">
        <v>0.0</v>
      </c>
      <c r="R162" s="2">
        <v>1.0</v>
      </c>
      <c r="S162" s="2">
        <v>0.0</v>
      </c>
      <c r="T162" s="2" t="s">
        <v>1055</v>
      </c>
    </row>
    <row r="163" ht="15.75" customHeight="1">
      <c r="A163" s="2" t="s">
        <v>1056</v>
      </c>
      <c r="B163" s="2" t="s">
        <v>1053</v>
      </c>
      <c r="C163" s="2" t="s">
        <v>270</v>
      </c>
      <c r="D163" s="2" t="s">
        <v>75</v>
      </c>
      <c r="E163" s="2" t="s">
        <v>271</v>
      </c>
      <c r="F163" s="2" t="s">
        <v>271</v>
      </c>
      <c r="G163" s="2" t="s">
        <v>273</v>
      </c>
      <c r="H163" s="2" t="s">
        <v>273</v>
      </c>
      <c r="I163" s="2" t="s">
        <v>1057</v>
      </c>
      <c r="J163" s="2" t="s">
        <v>1057</v>
      </c>
      <c r="K163" s="2" t="s">
        <v>273</v>
      </c>
      <c r="L163" s="2"/>
      <c r="M163" s="2"/>
      <c r="N163" s="2" t="s">
        <v>145</v>
      </c>
      <c r="O163" s="2">
        <v>1.0</v>
      </c>
      <c r="P163" s="2">
        <v>0.0</v>
      </c>
      <c r="Q163" s="2">
        <v>0.0</v>
      </c>
      <c r="R163" s="2">
        <v>1.0</v>
      </c>
      <c r="S163" s="2">
        <v>0.0</v>
      </c>
      <c r="T163" s="2" t="s">
        <v>1058</v>
      </c>
    </row>
    <row r="164" ht="15.75" customHeight="1">
      <c r="A164" s="2" t="s">
        <v>1059</v>
      </c>
      <c r="B164" s="2" t="s">
        <v>1053</v>
      </c>
      <c r="C164" s="2" t="s">
        <v>270</v>
      </c>
      <c r="D164" s="2" t="s">
        <v>118</v>
      </c>
      <c r="E164" s="2" t="s">
        <v>508</v>
      </c>
      <c r="F164" s="2" t="s">
        <v>508</v>
      </c>
      <c r="G164" s="2" t="s">
        <v>508</v>
      </c>
      <c r="H164" s="2" t="s">
        <v>508</v>
      </c>
      <c r="I164" s="2" t="s">
        <v>1060</v>
      </c>
      <c r="J164" s="2" t="s">
        <v>1061</v>
      </c>
      <c r="K164" s="2" t="s">
        <v>508</v>
      </c>
      <c r="L164" s="2"/>
      <c r="M164" s="2"/>
      <c r="N164" s="2" t="s">
        <v>171</v>
      </c>
      <c r="O164" s="2">
        <v>1.0</v>
      </c>
      <c r="P164" s="2">
        <v>0.0</v>
      </c>
      <c r="Q164" s="2">
        <v>0.0</v>
      </c>
      <c r="R164" s="2">
        <v>1.0</v>
      </c>
      <c r="S164" s="2">
        <v>1.0</v>
      </c>
      <c r="T164" s="2" t="s">
        <v>887</v>
      </c>
    </row>
    <row r="165" ht="15.75" customHeight="1">
      <c r="A165" s="2" t="s">
        <v>1062</v>
      </c>
      <c r="B165" s="2" t="s">
        <v>1053</v>
      </c>
      <c r="C165" s="2" t="s">
        <v>270</v>
      </c>
      <c r="D165" s="2" t="s">
        <v>149</v>
      </c>
      <c r="E165" s="2" t="s">
        <v>165</v>
      </c>
      <c r="F165" s="2" t="s">
        <v>165</v>
      </c>
      <c r="G165" s="2" t="s">
        <v>165</v>
      </c>
      <c r="H165" s="2" t="s">
        <v>165</v>
      </c>
      <c r="I165" s="2" t="s">
        <v>1063</v>
      </c>
      <c r="J165" s="2" t="s">
        <v>1064</v>
      </c>
      <c r="K165" s="2" t="s">
        <v>165</v>
      </c>
      <c r="L165" s="2"/>
      <c r="M165" s="2"/>
      <c r="N165" s="2" t="s">
        <v>171</v>
      </c>
      <c r="O165" s="2">
        <v>1.0</v>
      </c>
      <c r="P165" s="2">
        <v>0.0</v>
      </c>
      <c r="Q165" s="2">
        <v>0.0</v>
      </c>
      <c r="R165" s="2">
        <v>1.0</v>
      </c>
      <c r="S165" s="2">
        <v>1.0</v>
      </c>
      <c r="T165" s="2" t="s">
        <v>891</v>
      </c>
    </row>
    <row r="166" ht="15.75" customHeight="1">
      <c r="A166" s="2" t="s">
        <v>1065</v>
      </c>
      <c r="B166" s="2" t="s">
        <v>1066</v>
      </c>
      <c r="C166" s="2" t="s">
        <v>270</v>
      </c>
      <c r="D166" s="2" t="s">
        <v>71</v>
      </c>
      <c r="E166" s="2" t="s">
        <v>1068</v>
      </c>
      <c r="F166" s="2" t="s">
        <v>1068</v>
      </c>
      <c r="G166" s="2" t="s">
        <v>1068</v>
      </c>
      <c r="H166" s="2" t="s">
        <v>1068</v>
      </c>
      <c r="I166" s="2" t="s">
        <v>1069</v>
      </c>
      <c r="J166" s="2" t="s">
        <v>1069</v>
      </c>
      <c r="K166" s="2" t="s">
        <v>1068</v>
      </c>
      <c r="L166" s="2"/>
      <c r="M166" s="2"/>
      <c r="N166" s="2" t="s">
        <v>145</v>
      </c>
      <c r="O166" s="2">
        <v>1.0</v>
      </c>
      <c r="P166" s="2">
        <v>0.0</v>
      </c>
      <c r="Q166" s="2">
        <v>0.0</v>
      </c>
      <c r="R166" s="2">
        <v>1.0</v>
      </c>
      <c r="S166" s="2">
        <v>0.0</v>
      </c>
      <c r="T166" s="2" t="s">
        <v>1070</v>
      </c>
    </row>
    <row r="167" ht="15.75" customHeight="1">
      <c r="A167" s="2" t="s">
        <v>1071</v>
      </c>
      <c r="B167" s="2" t="s">
        <v>1066</v>
      </c>
      <c r="C167" s="2" t="s">
        <v>270</v>
      </c>
      <c r="D167" s="2" t="s">
        <v>75</v>
      </c>
      <c r="E167" s="2" t="s">
        <v>271</v>
      </c>
      <c r="F167" s="2" t="s">
        <v>271</v>
      </c>
      <c r="G167" s="2" t="s">
        <v>273</v>
      </c>
      <c r="H167" s="2" t="s">
        <v>273</v>
      </c>
      <c r="I167" s="2" t="s">
        <v>1072</v>
      </c>
      <c r="J167" s="2" t="s">
        <v>1072</v>
      </c>
      <c r="K167" s="2" t="s">
        <v>273</v>
      </c>
      <c r="L167" s="2"/>
      <c r="M167" s="2"/>
      <c r="N167" s="2" t="s">
        <v>145</v>
      </c>
      <c r="O167" s="2">
        <v>1.0</v>
      </c>
      <c r="P167" s="2">
        <v>0.0</v>
      </c>
      <c r="Q167" s="2">
        <v>0.0</v>
      </c>
      <c r="R167" s="2">
        <v>1.0</v>
      </c>
      <c r="S167" s="2">
        <v>0.0</v>
      </c>
      <c r="T167" s="2" t="s">
        <v>1073</v>
      </c>
    </row>
    <row r="168" ht="15.75" customHeight="1">
      <c r="A168" s="2" t="s">
        <v>1074</v>
      </c>
      <c r="B168" s="2" t="s">
        <v>1066</v>
      </c>
      <c r="C168" s="2" t="s">
        <v>270</v>
      </c>
      <c r="D168" s="2" t="s">
        <v>118</v>
      </c>
      <c r="E168" s="2" t="s">
        <v>415</v>
      </c>
      <c r="F168" s="2" t="s">
        <v>415</v>
      </c>
      <c r="G168" s="2" t="s">
        <v>415</v>
      </c>
      <c r="H168" s="2" t="s">
        <v>415</v>
      </c>
      <c r="I168" s="2" t="s">
        <v>1075</v>
      </c>
      <c r="J168" s="2" t="s">
        <v>1075</v>
      </c>
      <c r="K168" s="2" t="s">
        <v>415</v>
      </c>
      <c r="L168" s="2"/>
      <c r="M168" s="2"/>
      <c r="N168" s="2" t="s">
        <v>145</v>
      </c>
      <c r="O168" s="2">
        <v>1.0</v>
      </c>
      <c r="P168" s="2">
        <v>0.0</v>
      </c>
      <c r="Q168" s="2">
        <v>0.0</v>
      </c>
      <c r="R168" s="2">
        <v>1.0</v>
      </c>
      <c r="S168" s="2">
        <v>0.0</v>
      </c>
      <c r="T168" s="2" t="s">
        <v>1076</v>
      </c>
    </row>
    <row r="169" ht="15.75" customHeight="1">
      <c r="A169" s="2" t="s">
        <v>1077</v>
      </c>
      <c r="B169" s="2" t="s">
        <v>1066</v>
      </c>
      <c r="C169" s="2" t="s">
        <v>270</v>
      </c>
      <c r="D169" s="2" t="s">
        <v>149</v>
      </c>
      <c r="E169" s="2" t="s">
        <v>434</v>
      </c>
      <c r="F169" s="2" t="s">
        <v>434</v>
      </c>
      <c r="G169" s="2" t="s">
        <v>434</v>
      </c>
      <c r="H169" s="2" t="s">
        <v>434</v>
      </c>
      <c r="I169" s="2" t="s">
        <v>1078</v>
      </c>
      <c r="J169" s="2" t="s">
        <v>1078</v>
      </c>
      <c r="K169" s="2" t="s">
        <v>434</v>
      </c>
      <c r="L169" s="2"/>
      <c r="M169" s="2"/>
      <c r="N169" s="2" t="s">
        <v>145</v>
      </c>
      <c r="O169" s="2">
        <v>1.0</v>
      </c>
      <c r="P169" s="2">
        <v>0.0</v>
      </c>
      <c r="Q169" s="2">
        <v>0.0</v>
      </c>
      <c r="R169" s="2">
        <v>1.0</v>
      </c>
      <c r="S169" s="2">
        <v>0.0</v>
      </c>
      <c r="T169" s="2" t="s">
        <v>1079</v>
      </c>
    </row>
    <row r="170" ht="15.75" customHeight="1">
      <c r="A170" s="2" t="s">
        <v>1080</v>
      </c>
      <c r="B170" s="2" t="s">
        <v>1081</v>
      </c>
      <c r="C170" s="2" t="s">
        <v>270</v>
      </c>
      <c r="D170" s="2" t="s">
        <v>71</v>
      </c>
      <c r="E170" s="2" t="s">
        <v>1082</v>
      </c>
      <c r="F170" s="2" t="s">
        <v>1082</v>
      </c>
      <c r="G170" s="2" t="s">
        <v>1083</v>
      </c>
      <c r="H170" s="2" t="s">
        <v>1083</v>
      </c>
      <c r="I170" s="2" t="s">
        <v>1084</v>
      </c>
      <c r="J170" s="2" t="s">
        <v>1084</v>
      </c>
      <c r="K170" s="2" t="s">
        <v>1083</v>
      </c>
      <c r="L170" s="2"/>
      <c r="M170" s="2"/>
      <c r="N170" s="2" t="s">
        <v>145</v>
      </c>
      <c r="O170" s="2">
        <v>1.0</v>
      </c>
      <c r="P170" s="2">
        <v>0.0</v>
      </c>
      <c r="Q170" s="2">
        <v>0.0</v>
      </c>
      <c r="R170" s="2">
        <v>1.0</v>
      </c>
      <c r="S170" s="2">
        <v>0.0</v>
      </c>
      <c r="T170" s="2" t="s">
        <v>1086</v>
      </c>
    </row>
    <row r="171" ht="15.75" customHeight="1">
      <c r="A171" s="2" t="s">
        <v>1087</v>
      </c>
      <c r="B171" s="2" t="s">
        <v>1081</v>
      </c>
      <c r="C171" s="2" t="s">
        <v>270</v>
      </c>
      <c r="D171" s="2" t="s">
        <v>75</v>
      </c>
      <c r="E171" s="2" t="s">
        <v>271</v>
      </c>
      <c r="F171" s="2" t="s">
        <v>271</v>
      </c>
      <c r="G171" s="2" t="s">
        <v>273</v>
      </c>
      <c r="H171" s="2" t="s">
        <v>273</v>
      </c>
      <c r="I171" s="2" t="s">
        <v>1088</v>
      </c>
      <c r="J171" s="2" t="s">
        <v>1088</v>
      </c>
      <c r="K171" s="2" t="s">
        <v>273</v>
      </c>
      <c r="L171" s="2"/>
      <c r="M171" s="2"/>
      <c r="N171" s="2" t="s">
        <v>145</v>
      </c>
      <c r="O171" s="2">
        <v>1.0</v>
      </c>
      <c r="P171" s="2">
        <v>0.0</v>
      </c>
      <c r="Q171" s="2">
        <v>0.0</v>
      </c>
      <c r="R171" s="2">
        <v>1.0</v>
      </c>
      <c r="S171" s="2">
        <v>0.0</v>
      </c>
      <c r="T171" s="2" t="s">
        <v>1089</v>
      </c>
    </row>
    <row r="172" ht="15.75" customHeight="1">
      <c r="A172" s="2" t="s">
        <v>1090</v>
      </c>
      <c r="B172" s="2" t="s">
        <v>1081</v>
      </c>
      <c r="C172" s="2" t="s">
        <v>270</v>
      </c>
      <c r="D172" s="2" t="s">
        <v>118</v>
      </c>
      <c r="E172" s="2" t="s">
        <v>1091</v>
      </c>
      <c r="F172" s="2" t="s">
        <v>1091</v>
      </c>
      <c r="G172" s="2" t="s">
        <v>1091</v>
      </c>
      <c r="H172" s="2" t="s">
        <v>1091</v>
      </c>
      <c r="I172" s="2" t="s">
        <v>1092</v>
      </c>
      <c r="J172" s="2" t="s">
        <v>1093</v>
      </c>
      <c r="K172" s="2" t="s">
        <v>1091</v>
      </c>
      <c r="L172" s="2"/>
      <c r="M172" s="2"/>
      <c r="N172" s="2" t="s">
        <v>171</v>
      </c>
      <c r="O172" s="2">
        <v>1.0</v>
      </c>
      <c r="P172" s="2">
        <v>0.0</v>
      </c>
      <c r="Q172" s="2">
        <v>0.0</v>
      </c>
      <c r="R172" s="2">
        <v>1.0</v>
      </c>
      <c r="S172" s="2">
        <v>1.0</v>
      </c>
      <c r="T172" s="2" t="s">
        <v>1094</v>
      </c>
    </row>
    <row r="173" ht="15.75" customHeight="1">
      <c r="A173" s="2" t="s">
        <v>1095</v>
      </c>
      <c r="B173" s="2" t="s">
        <v>1081</v>
      </c>
      <c r="C173" s="2" t="s">
        <v>270</v>
      </c>
      <c r="D173" s="2" t="s">
        <v>149</v>
      </c>
      <c r="E173" s="2" t="s">
        <v>1096</v>
      </c>
      <c r="F173" s="2" t="s">
        <v>1096</v>
      </c>
      <c r="G173" s="2" t="s">
        <v>1096</v>
      </c>
      <c r="H173" s="2" t="s">
        <v>1096</v>
      </c>
      <c r="I173" s="2" t="s">
        <v>1097</v>
      </c>
      <c r="J173" s="2" t="s">
        <v>1097</v>
      </c>
      <c r="K173" s="2" t="s">
        <v>1096</v>
      </c>
      <c r="L173" s="2"/>
      <c r="M173" s="2"/>
      <c r="N173" s="2" t="s">
        <v>145</v>
      </c>
      <c r="O173" s="2">
        <v>1.0</v>
      </c>
      <c r="P173" s="2">
        <v>0.0</v>
      </c>
      <c r="Q173" s="2">
        <v>0.0</v>
      </c>
      <c r="R173" s="2">
        <v>1.0</v>
      </c>
      <c r="S173" s="2">
        <v>0.0</v>
      </c>
      <c r="T173" s="2" t="s">
        <v>1098</v>
      </c>
    </row>
    <row r="174" ht="15.75" customHeight="1">
      <c r="A174" s="2" t="s">
        <v>385</v>
      </c>
      <c r="B174" s="2" t="s">
        <v>386</v>
      </c>
      <c r="C174" s="2" t="s">
        <v>270</v>
      </c>
      <c r="D174" s="2" t="s">
        <v>71</v>
      </c>
      <c r="E174" s="2" t="s">
        <v>286</v>
      </c>
      <c r="F174" s="2" t="s">
        <v>288</v>
      </c>
      <c r="G174" s="2" t="s">
        <v>289</v>
      </c>
      <c r="H174" s="2" t="s">
        <v>290</v>
      </c>
      <c r="I174" s="2" t="s">
        <v>389</v>
      </c>
      <c r="J174" s="2" t="s">
        <v>344</v>
      </c>
      <c r="K174" s="2"/>
      <c r="L174" s="2" t="s">
        <v>289</v>
      </c>
      <c r="M174" s="2" t="s">
        <v>290</v>
      </c>
      <c r="N174" s="2" t="s">
        <v>86</v>
      </c>
      <c r="O174" s="2">
        <v>0.0</v>
      </c>
      <c r="P174" s="2">
        <v>1.0</v>
      </c>
      <c r="Q174" s="2">
        <v>1.0</v>
      </c>
      <c r="R174" s="2">
        <v>0.0</v>
      </c>
      <c r="S174" s="2">
        <v>0.0</v>
      </c>
      <c r="T174" s="2" t="s">
        <v>396</v>
      </c>
    </row>
    <row r="175" ht="15.75" customHeight="1">
      <c r="A175" s="2" t="s">
        <v>1100</v>
      </c>
      <c r="B175" s="2" t="s">
        <v>386</v>
      </c>
      <c r="C175" s="2" t="s">
        <v>270</v>
      </c>
      <c r="D175" s="2" t="s">
        <v>75</v>
      </c>
      <c r="E175" s="2" t="s">
        <v>271</v>
      </c>
      <c r="F175" s="2" t="s">
        <v>271</v>
      </c>
      <c r="G175" s="2" t="s">
        <v>273</v>
      </c>
      <c r="H175" s="2" t="s">
        <v>273</v>
      </c>
      <c r="I175" s="2" t="s">
        <v>1101</v>
      </c>
      <c r="J175" s="2" t="s">
        <v>1101</v>
      </c>
      <c r="K175" s="2" t="s">
        <v>273</v>
      </c>
      <c r="L175" s="2"/>
      <c r="M175" s="2"/>
      <c r="N175" s="2" t="s">
        <v>145</v>
      </c>
      <c r="O175" s="2">
        <v>1.0</v>
      </c>
      <c r="P175" s="2">
        <v>0.0</v>
      </c>
      <c r="Q175" s="2">
        <v>0.0</v>
      </c>
      <c r="R175" s="2">
        <v>1.0</v>
      </c>
      <c r="S175" s="2">
        <v>0.0</v>
      </c>
      <c r="T175" s="2" t="s">
        <v>1102</v>
      </c>
    </row>
    <row r="176" ht="15.75" customHeight="1">
      <c r="A176" s="2" t="s">
        <v>1103</v>
      </c>
      <c r="B176" s="2" t="s">
        <v>386</v>
      </c>
      <c r="C176" s="2" t="s">
        <v>270</v>
      </c>
      <c r="D176" s="2" t="s">
        <v>118</v>
      </c>
      <c r="E176" s="2" t="s">
        <v>508</v>
      </c>
      <c r="F176" s="2" t="s">
        <v>508</v>
      </c>
      <c r="G176" s="2" t="s">
        <v>508</v>
      </c>
      <c r="H176" s="2" t="s">
        <v>508</v>
      </c>
      <c r="I176" s="2" t="s">
        <v>1104</v>
      </c>
      <c r="J176" s="2" t="s">
        <v>1105</v>
      </c>
      <c r="K176" s="2" t="s">
        <v>508</v>
      </c>
      <c r="L176" s="2"/>
      <c r="M176" s="2"/>
      <c r="N176" s="2" t="s">
        <v>171</v>
      </c>
      <c r="O176" s="2">
        <v>1.0</v>
      </c>
      <c r="P176" s="2">
        <v>0.0</v>
      </c>
      <c r="Q176" s="2">
        <v>0.0</v>
      </c>
      <c r="R176" s="2">
        <v>1.0</v>
      </c>
      <c r="S176" s="2">
        <v>1.0</v>
      </c>
      <c r="T176" s="2" t="s">
        <v>863</v>
      </c>
    </row>
    <row r="177" ht="15.75" customHeight="1">
      <c r="A177" s="2" t="s">
        <v>1106</v>
      </c>
      <c r="B177" s="2" t="s">
        <v>386</v>
      </c>
      <c r="C177" s="2" t="s">
        <v>270</v>
      </c>
      <c r="D177" s="2" t="s">
        <v>149</v>
      </c>
      <c r="E177" s="2" t="s">
        <v>165</v>
      </c>
      <c r="F177" s="2" t="s">
        <v>165</v>
      </c>
      <c r="G177" s="2" t="s">
        <v>165</v>
      </c>
      <c r="H177" s="2" t="s">
        <v>165</v>
      </c>
      <c r="I177" s="2" t="s">
        <v>1107</v>
      </c>
      <c r="J177" s="2" t="s">
        <v>1108</v>
      </c>
      <c r="K177" s="2" t="s">
        <v>165</v>
      </c>
      <c r="L177" s="2"/>
      <c r="M177" s="2"/>
      <c r="N177" s="2" t="s">
        <v>171</v>
      </c>
      <c r="O177" s="2">
        <v>1.0</v>
      </c>
      <c r="P177" s="2">
        <v>0.0</v>
      </c>
      <c r="Q177" s="2">
        <v>0.0</v>
      </c>
      <c r="R177" s="2">
        <v>1.0</v>
      </c>
      <c r="S177" s="2">
        <v>1.0</v>
      </c>
      <c r="T177" s="2" t="s">
        <v>870</v>
      </c>
    </row>
    <row r="178" ht="15.75" customHeight="1">
      <c r="A178" s="2" t="s">
        <v>397</v>
      </c>
      <c r="B178" s="2" t="s">
        <v>398</v>
      </c>
      <c r="C178" s="2" t="s">
        <v>270</v>
      </c>
      <c r="D178" s="2" t="s">
        <v>71</v>
      </c>
      <c r="E178" s="2" t="s">
        <v>286</v>
      </c>
      <c r="F178" s="2" t="s">
        <v>288</v>
      </c>
      <c r="G178" s="2" t="s">
        <v>289</v>
      </c>
      <c r="H178" s="2" t="s">
        <v>290</v>
      </c>
      <c r="I178" s="2" t="s">
        <v>401</v>
      </c>
      <c r="J178" s="2" t="s">
        <v>402</v>
      </c>
      <c r="K178" s="2"/>
      <c r="L178" s="2" t="s">
        <v>289</v>
      </c>
      <c r="M178" s="2" t="s">
        <v>290</v>
      </c>
      <c r="N178" s="2" t="s">
        <v>86</v>
      </c>
      <c r="O178" s="2">
        <v>0.0</v>
      </c>
      <c r="P178" s="2">
        <v>1.0</v>
      </c>
      <c r="Q178" s="2">
        <v>1.0</v>
      </c>
      <c r="R178" s="2">
        <v>0.0</v>
      </c>
      <c r="S178" s="2">
        <v>0.0</v>
      </c>
      <c r="T178" s="2" t="s">
        <v>410</v>
      </c>
    </row>
    <row r="179" ht="15.75" customHeight="1">
      <c r="A179" s="2" t="s">
        <v>1110</v>
      </c>
      <c r="B179" s="2" t="s">
        <v>398</v>
      </c>
      <c r="C179" s="2" t="s">
        <v>270</v>
      </c>
      <c r="D179" s="2" t="s">
        <v>75</v>
      </c>
      <c r="E179" s="2" t="s">
        <v>271</v>
      </c>
      <c r="F179" s="2" t="s">
        <v>271</v>
      </c>
      <c r="G179" s="2" t="s">
        <v>273</v>
      </c>
      <c r="H179" s="2" t="s">
        <v>273</v>
      </c>
      <c r="I179" s="2" t="s">
        <v>1111</v>
      </c>
      <c r="J179" s="2" t="s">
        <v>1111</v>
      </c>
      <c r="K179" s="2" t="s">
        <v>273</v>
      </c>
      <c r="L179" s="2"/>
      <c r="M179" s="2"/>
      <c r="N179" s="2" t="s">
        <v>145</v>
      </c>
      <c r="O179" s="2">
        <v>1.0</v>
      </c>
      <c r="P179" s="2">
        <v>0.0</v>
      </c>
      <c r="Q179" s="2">
        <v>0.0</v>
      </c>
      <c r="R179" s="2">
        <v>1.0</v>
      </c>
      <c r="S179" s="2">
        <v>0.0</v>
      </c>
      <c r="T179" s="2" t="s">
        <v>1112</v>
      </c>
    </row>
    <row r="180" ht="15.75" customHeight="1">
      <c r="A180" s="2" t="s">
        <v>1113</v>
      </c>
      <c r="B180" s="2" t="s">
        <v>398</v>
      </c>
      <c r="C180" s="2" t="s">
        <v>270</v>
      </c>
      <c r="D180" s="2" t="s">
        <v>118</v>
      </c>
      <c r="E180" s="2" t="s">
        <v>508</v>
      </c>
      <c r="F180" s="2" t="s">
        <v>508</v>
      </c>
      <c r="G180" s="2" t="s">
        <v>508</v>
      </c>
      <c r="H180" s="2" t="s">
        <v>508</v>
      </c>
      <c r="I180" s="2" t="s">
        <v>1115</v>
      </c>
      <c r="J180" s="2" t="s">
        <v>1116</v>
      </c>
      <c r="K180" s="2" t="s">
        <v>508</v>
      </c>
      <c r="L180" s="2"/>
      <c r="M180" s="2"/>
      <c r="N180" s="2" t="s">
        <v>171</v>
      </c>
      <c r="O180" s="2">
        <v>1.0</v>
      </c>
      <c r="P180" s="2">
        <v>0.0</v>
      </c>
      <c r="Q180" s="2">
        <v>0.0</v>
      </c>
      <c r="R180" s="2">
        <v>1.0</v>
      </c>
      <c r="S180" s="2">
        <v>1.0</v>
      </c>
      <c r="T180" s="2" t="s">
        <v>863</v>
      </c>
    </row>
    <row r="181" ht="15.75" customHeight="1">
      <c r="A181" s="2" t="s">
        <v>1117</v>
      </c>
      <c r="B181" s="2" t="s">
        <v>398</v>
      </c>
      <c r="C181" s="2" t="s">
        <v>270</v>
      </c>
      <c r="D181" s="2" t="s">
        <v>149</v>
      </c>
      <c r="E181" s="2" t="s">
        <v>165</v>
      </c>
      <c r="F181" s="2" t="s">
        <v>165</v>
      </c>
      <c r="G181" s="2" t="s">
        <v>165</v>
      </c>
      <c r="H181" s="2" t="s">
        <v>165</v>
      </c>
      <c r="I181" s="2" t="s">
        <v>1118</v>
      </c>
      <c r="J181" s="2" t="s">
        <v>1119</v>
      </c>
      <c r="K181" s="2" t="s">
        <v>165</v>
      </c>
      <c r="L181" s="2"/>
      <c r="M181" s="2"/>
      <c r="N181" s="2" t="s">
        <v>171</v>
      </c>
      <c r="O181" s="2">
        <v>1.0</v>
      </c>
      <c r="P181" s="2">
        <v>0.0</v>
      </c>
      <c r="Q181" s="2">
        <v>0.0</v>
      </c>
      <c r="R181" s="2">
        <v>1.0</v>
      </c>
      <c r="S181" s="2">
        <v>1.0</v>
      </c>
      <c r="T181" s="2" t="s">
        <v>870</v>
      </c>
    </row>
    <row r="182" ht="15.75" customHeight="1">
      <c r="A182" s="2" t="s">
        <v>1120</v>
      </c>
      <c r="B182" s="2" t="s">
        <v>1121</v>
      </c>
      <c r="C182" s="2" t="s">
        <v>270</v>
      </c>
      <c r="D182" s="2" t="s">
        <v>71</v>
      </c>
      <c r="E182" s="2" t="s">
        <v>873</v>
      </c>
      <c r="F182" s="2" t="s">
        <v>873</v>
      </c>
      <c r="G182" s="2" t="s">
        <v>874</v>
      </c>
      <c r="H182" s="2" t="s">
        <v>874</v>
      </c>
      <c r="I182" s="2" t="s">
        <v>1122</v>
      </c>
      <c r="J182" s="2" t="s">
        <v>1122</v>
      </c>
      <c r="K182" s="2" t="s">
        <v>874</v>
      </c>
      <c r="L182" s="2"/>
      <c r="M182" s="2"/>
      <c r="N182" s="2" t="s">
        <v>145</v>
      </c>
      <c r="O182" s="2">
        <v>1.0</v>
      </c>
      <c r="P182" s="2">
        <v>0.0</v>
      </c>
      <c r="Q182" s="2">
        <v>0.0</v>
      </c>
      <c r="R182" s="2">
        <v>1.0</v>
      </c>
      <c r="S182" s="2">
        <v>0.0</v>
      </c>
      <c r="T182" s="2" t="s">
        <v>1123</v>
      </c>
    </row>
    <row r="183" ht="15.75" customHeight="1">
      <c r="A183" s="2" t="s">
        <v>1124</v>
      </c>
      <c r="B183" s="2" t="s">
        <v>1121</v>
      </c>
      <c r="C183" s="2" t="s">
        <v>270</v>
      </c>
      <c r="D183" s="2" t="s">
        <v>75</v>
      </c>
      <c r="E183" s="2" t="s">
        <v>271</v>
      </c>
      <c r="F183" s="2" t="s">
        <v>271</v>
      </c>
      <c r="G183" s="2" t="s">
        <v>273</v>
      </c>
      <c r="H183" s="2" t="s">
        <v>273</v>
      </c>
      <c r="I183" s="2" t="s">
        <v>1125</v>
      </c>
      <c r="J183" s="2" t="s">
        <v>1125</v>
      </c>
      <c r="K183" s="2" t="s">
        <v>273</v>
      </c>
      <c r="L183" s="2"/>
      <c r="M183" s="2"/>
      <c r="N183" s="2" t="s">
        <v>145</v>
      </c>
      <c r="O183" s="2">
        <v>1.0</v>
      </c>
      <c r="P183" s="2">
        <v>0.0</v>
      </c>
      <c r="Q183" s="2">
        <v>0.0</v>
      </c>
      <c r="R183" s="2">
        <v>1.0</v>
      </c>
      <c r="S183" s="2">
        <v>0.0</v>
      </c>
      <c r="T183" s="2" t="s">
        <v>1126</v>
      </c>
    </row>
    <row r="184" ht="15.75" customHeight="1">
      <c r="A184" s="2" t="s">
        <v>1127</v>
      </c>
      <c r="B184" s="2" t="s">
        <v>1121</v>
      </c>
      <c r="C184" s="2" t="s">
        <v>270</v>
      </c>
      <c r="D184" s="2" t="s">
        <v>118</v>
      </c>
      <c r="E184" s="2" t="s">
        <v>508</v>
      </c>
      <c r="F184" s="2" t="s">
        <v>508</v>
      </c>
      <c r="G184" s="2" t="s">
        <v>508</v>
      </c>
      <c r="H184" s="2" t="s">
        <v>508</v>
      </c>
      <c r="I184" s="2" t="s">
        <v>1129</v>
      </c>
      <c r="J184" s="2" t="s">
        <v>1130</v>
      </c>
      <c r="K184" s="2" t="s">
        <v>508</v>
      </c>
      <c r="L184" s="2"/>
      <c r="M184" s="2"/>
      <c r="N184" s="2" t="s">
        <v>171</v>
      </c>
      <c r="O184" s="2">
        <v>1.0</v>
      </c>
      <c r="P184" s="2">
        <v>0.0</v>
      </c>
      <c r="Q184" s="2">
        <v>0.0</v>
      </c>
      <c r="R184" s="2">
        <v>1.0</v>
      </c>
      <c r="S184" s="2">
        <v>1.0</v>
      </c>
      <c r="T184" s="2" t="s">
        <v>887</v>
      </c>
    </row>
    <row r="185" ht="15.75" customHeight="1">
      <c r="A185" s="2" t="s">
        <v>1131</v>
      </c>
      <c r="B185" s="2" t="s">
        <v>1121</v>
      </c>
      <c r="C185" s="2" t="s">
        <v>270</v>
      </c>
      <c r="D185" s="2" t="s">
        <v>149</v>
      </c>
      <c r="E185" s="2" t="s">
        <v>165</v>
      </c>
      <c r="F185" s="2" t="s">
        <v>165</v>
      </c>
      <c r="G185" s="2" t="s">
        <v>165</v>
      </c>
      <c r="H185" s="2" t="s">
        <v>165</v>
      </c>
      <c r="I185" s="2" t="s">
        <v>1132</v>
      </c>
      <c r="J185" s="2" t="s">
        <v>1133</v>
      </c>
      <c r="K185" s="2" t="s">
        <v>165</v>
      </c>
      <c r="L185" s="2"/>
      <c r="M185" s="2"/>
      <c r="N185" s="2" t="s">
        <v>171</v>
      </c>
      <c r="O185" s="2">
        <v>1.0</v>
      </c>
      <c r="P185" s="2">
        <v>0.0</v>
      </c>
      <c r="Q185" s="2">
        <v>0.0</v>
      </c>
      <c r="R185" s="2">
        <v>1.0</v>
      </c>
      <c r="S185" s="2">
        <v>1.0</v>
      </c>
      <c r="T185" s="2" t="s">
        <v>891</v>
      </c>
    </row>
    <row r="186" ht="15.75" customHeight="1">
      <c r="A186" s="2" t="s">
        <v>1134</v>
      </c>
      <c r="B186" s="2" t="s">
        <v>412</v>
      </c>
      <c r="C186" s="2" t="s">
        <v>270</v>
      </c>
      <c r="D186" s="2" t="s">
        <v>71</v>
      </c>
      <c r="E186" s="2" t="s">
        <v>1135</v>
      </c>
      <c r="F186" s="2" t="s">
        <v>1135</v>
      </c>
      <c r="G186" s="2" t="s">
        <v>1136</v>
      </c>
      <c r="H186" s="2" t="s">
        <v>1136</v>
      </c>
      <c r="I186" s="2" t="s">
        <v>1137</v>
      </c>
      <c r="J186" s="2" t="s">
        <v>1138</v>
      </c>
      <c r="K186" s="2" t="s">
        <v>1136</v>
      </c>
      <c r="L186" s="2"/>
      <c r="M186" s="2"/>
      <c r="N186" s="2" t="s">
        <v>171</v>
      </c>
      <c r="O186" s="2">
        <v>1.0</v>
      </c>
      <c r="P186" s="2">
        <v>0.0</v>
      </c>
      <c r="Q186" s="2">
        <v>0.0</v>
      </c>
      <c r="R186" s="2">
        <v>1.0</v>
      </c>
      <c r="S186" s="2">
        <v>1.0</v>
      </c>
      <c r="T186" s="2" t="s">
        <v>1141</v>
      </c>
    </row>
    <row r="187" ht="15.75" customHeight="1">
      <c r="A187" s="2" t="s">
        <v>1142</v>
      </c>
      <c r="B187" s="2" t="s">
        <v>412</v>
      </c>
      <c r="C187" s="2" t="s">
        <v>270</v>
      </c>
      <c r="D187" s="2" t="s">
        <v>75</v>
      </c>
      <c r="E187" s="2" t="s">
        <v>271</v>
      </c>
      <c r="F187" s="2" t="s">
        <v>271</v>
      </c>
      <c r="G187" s="2" t="s">
        <v>273</v>
      </c>
      <c r="H187" s="2" t="s">
        <v>273</v>
      </c>
      <c r="I187" s="2" t="s">
        <v>1143</v>
      </c>
      <c r="J187" s="2" t="s">
        <v>1144</v>
      </c>
      <c r="K187" s="2" t="s">
        <v>273</v>
      </c>
      <c r="L187" s="2"/>
      <c r="M187" s="2"/>
      <c r="N187" s="2" t="s">
        <v>171</v>
      </c>
      <c r="O187" s="2">
        <v>1.0</v>
      </c>
      <c r="P187" s="2">
        <v>0.0</v>
      </c>
      <c r="Q187" s="2">
        <v>0.0</v>
      </c>
      <c r="R187" s="2">
        <v>1.0</v>
      </c>
      <c r="S187" s="2">
        <v>1.0</v>
      </c>
      <c r="T187" s="2" t="s">
        <v>1146</v>
      </c>
    </row>
    <row r="188" ht="15.75" customHeight="1">
      <c r="A188" s="2" t="s">
        <v>411</v>
      </c>
      <c r="B188" s="2" t="s">
        <v>412</v>
      </c>
      <c r="C188" s="2" t="s">
        <v>270</v>
      </c>
      <c r="D188" s="2" t="s">
        <v>118</v>
      </c>
      <c r="E188" s="2" t="s">
        <v>415</v>
      </c>
      <c r="F188" s="2" t="s">
        <v>416</v>
      </c>
      <c r="G188" s="2" t="s">
        <v>415</v>
      </c>
      <c r="H188" s="2" t="s">
        <v>416</v>
      </c>
      <c r="I188" s="2" t="s">
        <v>417</v>
      </c>
      <c r="J188" s="2" t="s">
        <v>418</v>
      </c>
      <c r="K188" s="2"/>
      <c r="L188" s="2" t="s">
        <v>415</v>
      </c>
      <c r="M188" s="2" t="s">
        <v>416</v>
      </c>
      <c r="N188" s="2" t="s">
        <v>105</v>
      </c>
      <c r="O188" s="2">
        <v>0.0</v>
      </c>
      <c r="P188" s="2">
        <v>1.0</v>
      </c>
      <c r="Q188" s="2">
        <v>1.0</v>
      </c>
      <c r="R188" s="2">
        <v>0.0</v>
      </c>
      <c r="S188" s="2">
        <v>0.0</v>
      </c>
      <c r="T188" s="2" t="s">
        <v>431</v>
      </c>
    </row>
    <row r="189" ht="15.75" customHeight="1">
      <c r="A189" s="2" t="s">
        <v>433</v>
      </c>
      <c r="B189" s="2" t="s">
        <v>412</v>
      </c>
      <c r="C189" s="2" t="s">
        <v>270</v>
      </c>
      <c r="D189" s="2" t="s">
        <v>149</v>
      </c>
      <c r="E189" s="2" t="s">
        <v>434</v>
      </c>
      <c r="F189" s="2"/>
      <c r="G189" s="2" t="s">
        <v>434</v>
      </c>
      <c r="H189" s="2" t="s">
        <v>93</v>
      </c>
      <c r="I189" s="2" t="s">
        <v>435</v>
      </c>
      <c r="J189" s="2"/>
      <c r="K189" s="2"/>
      <c r="L189" s="2" t="s">
        <v>434</v>
      </c>
      <c r="M189" s="2"/>
      <c r="N189" s="2" t="s">
        <v>95</v>
      </c>
      <c r="O189" s="2">
        <v>0.0</v>
      </c>
      <c r="P189" s="2">
        <v>1.0</v>
      </c>
      <c r="Q189" s="2">
        <v>0.0</v>
      </c>
      <c r="R189" s="2">
        <v>0.0</v>
      </c>
      <c r="S189" s="2">
        <v>0.0</v>
      </c>
      <c r="T189" s="2" t="s">
        <v>441</v>
      </c>
    </row>
    <row r="190" ht="15.75" customHeight="1">
      <c r="A190" s="2" t="s">
        <v>456</v>
      </c>
      <c r="B190" s="2" t="s">
        <v>443</v>
      </c>
      <c r="C190" s="2" t="s">
        <v>444</v>
      </c>
      <c r="D190" s="2" t="s">
        <v>71</v>
      </c>
      <c r="E190" s="2" t="s">
        <v>459</v>
      </c>
      <c r="F190" s="2" t="s">
        <v>460</v>
      </c>
      <c r="G190" s="2" t="s">
        <v>461</v>
      </c>
      <c r="H190" s="2" t="s">
        <v>462</v>
      </c>
      <c r="I190" s="2" t="s">
        <v>463</v>
      </c>
      <c r="J190" s="2" t="s">
        <v>464</v>
      </c>
      <c r="K190" s="2"/>
      <c r="L190" s="2" t="s">
        <v>461</v>
      </c>
      <c r="M190" s="2" t="s">
        <v>462</v>
      </c>
      <c r="N190" s="2" t="s">
        <v>86</v>
      </c>
      <c r="O190" s="2">
        <v>0.0</v>
      </c>
      <c r="P190" s="2">
        <v>1.0</v>
      </c>
      <c r="Q190" s="2">
        <v>1.0</v>
      </c>
      <c r="R190" s="2">
        <v>0.0</v>
      </c>
      <c r="S190" s="2">
        <v>0.0</v>
      </c>
      <c r="T190" s="2" t="s">
        <v>472</v>
      </c>
    </row>
    <row r="191" ht="15.75" customHeight="1">
      <c r="A191" s="2" t="s">
        <v>442</v>
      </c>
      <c r="B191" s="2" t="s">
        <v>443</v>
      </c>
      <c r="C191" s="2" t="s">
        <v>444</v>
      </c>
      <c r="D191" s="2" t="s">
        <v>75</v>
      </c>
      <c r="E191" s="2" t="s">
        <v>445</v>
      </c>
      <c r="F191" s="2" t="s">
        <v>446</v>
      </c>
      <c r="G191" s="2" t="s">
        <v>445</v>
      </c>
      <c r="H191" s="2" t="s">
        <v>447</v>
      </c>
      <c r="I191" s="2" t="s">
        <v>448</v>
      </c>
      <c r="J191" s="2" t="s">
        <v>449</v>
      </c>
      <c r="K191" s="2"/>
      <c r="L191" s="2" t="s">
        <v>445</v>
      </c>
      <c r="M191" s="2" t="s">
        <v>447</v>
      </c>
      <c r="N191" s="2" t="s">
        <v>105</v>
      </c>
      <c r="O191" s="2">
        <v>0.0</v>
      </c>
      <c r="P191" s="2">
        <v>1.0</v>
      </c>
      <c r="Q191" s="2">
        <v>1.0</v>
      </c>
      <c r="R191" s="2">
        <v>0.0</v>
      </c>
      <c r="S191" s="2">
        <v>0.0</v>
      </c>
      <c r="T191" s="2" t="s">
        <v>455</v>
      </c>
    </row>
    <row r="192" ht="15.75" customHeight="1">
      <c r="A192" s="2" t="s">
        <v>506</v>
      </c>
      <c r="B192" s="2" t="s">
        <v>443</v>
      </c>
      <c r="C192" s="2" t="s">
        <v>444</v>
      </c>
      <c r="D192" s="2" t="s">
        <v>118</v>
      </c>
      <c r="E192" s="2" t="s">
        <v>507</v>
      </c>
      <c r="F192" s="2" t="s">
        <v>135</v>
      </c>
      <c r="G192" s="2" t="s">
        <v>508</v>
      </c>
      <c r="H192" s="2" t="s">
        <v>135</v>
      </c>
      <c r="I192" s="2" t="s">
        <v>509</v>
      </c>
      <c r="J192" s="2" t="s">
        <v>510</v>
      </c>
      <c r="K192" s="2"/>
      <c r="L192" s="2" t="s">
        <v>508</v>
      </c>
      <c r="M192" s="2" t="s">
        <v>135</v>
      </c>
      <c r="N192" s="2" t="s">
        <v>105</v>
      </c>
      <c r="O192" s="2">
        <v>0.0</v>
      </c>
      <c r="P192" s="2">
        <v>1.0</v>
      </c>
      <c r="Q192" s="2">
        <v>1.0</v>
      </c>
      <c r="R192" s="2">
        <v>0.0</v>
      </c>
      <c r="S192" s="2">
        <v>0.0</v>
      </c>
      <c r="T192" s="2" t="s">
        <v>516</v>
      </c>
    </row>
    <row r="193" ht="15.75" customHeight="1">
      <c r="A193" s="2" t="s">
        <v>1152</v>
      </c>
      <c r="B193" s="2" t="s">
        <v>443</v>
      </c>
      <c r="C193" s="2" t="s">
        <v>444</v>
      </c>
      <c r="D193" s="2" t="s">
        <v>149</v>
      </c>
      <c r="E193" s="2" t="s">
        <v>962</v>
      </c>
      <c r="F193" s="2" t="s">
        <v>962</v>
      </c>
      <c r="G193" s="2" t="s">
        <v>962</v>
      </c>
      <c r="H193" s="2" t="s">
        <v>962</v>
      </c>
      <c r="I193" s="2" t="s">
        <v>1153</v>
      </c>
      <c r="J193" s="2" t="s">
        <v>1154</v>
      </c>
      <c r="K193" s="2" t="s">
        <v>962</v>
      </c>
      <c r="L193" s="2"/>
      <c r="M193" s="2"/>
      <c r="N193" s="2" t="s">
        <v>171</v>
      </c>
      <c r="O193" s="2">
        <v>1.0</v>
      </c>
      <c r="P193" s="2">
        <v>0.0</v>
      </c>
      <c r="Q193" s="2">
        <v>0.0</v>
      </c>
      <c r="R193" s="2">
        <v>1.0</v>
      </c>
      <c r="S193" s="2">
        <v>1.0</v>
      </c>
      <c r="T193" s="2" t="s">
        <v>1156</v>
      </c>
    </row>
    <row r="194" ht="15.75" customHeight="1">
      <c r="A194" s="2" t="s">
        <v>493</v>
      </c>
      <c r="B194" s="2" t="s">
        <v>496</v>
      </c>
      <c r="C194" s="2" t="s">
        <v>444</v>
      </c>
      <c r="D194" s="2" t="s">
        <v>71</v>
      </c>
      <c r="E194" s="2"/>
      <c r="F194" s="2" t="s">
        <v>499</v>
      </c>
      <c r="G194" s="2" t="s">
        <v>93</v>
      </c>
      <c r="H194" s="2" t="s">
        <v>500</v>
      </c>
      <c r="I194" s="2"/>
      <c r="J194" s="2" t="s">
        <v>501</v>
      </c>
      <c r="K194" s="2"/>
      <c r="L194" s="2"/>
      <c r="M194" s="2" t="s">
        <v>500</v>
      </c>
      <c r="N194" s="2" t="s">
        <v>95</v>
      </c>
      <c r="O194" s="2">
        <v>0.0</v>
      </c>
      <c r="P194" s="2">
        <v>0.0</v>
      </c>
      <c r="Q194" s="2">
        <v>1.0</v>
      </c>
      <c r="R194" s="2">
        <v>0.0</v>
      </c>
      <c r="S194" s="2">
        <v>0.0</v>
      </c>
      <c r="T194" s="2" t="s">
        <v>505</v>
      </c>
    </row>
    <row r="195" ht="15.75" customHeight="1">
      <c r="A195" s="2" t="s">
        <v>1157</v>
      </c>
      <c r="B195" s="2" t="s">
        <v>496</v>
      </c>
      <c r="C195" s="2" t="s">
        <v>444</v>
      </c>
      <c r="D195" s="2" t="s">
        <v>75</v>
      </c>
      <c r="E195" s="2" t="s">
        <v>1158</v>
      </c>
      <c r="F195" s="2" t="s">
        <v>1158</v>
      </c>
      <c r="G195" s="2" t="s">
        <v>1159</v>
      </c>
      <c r="H195" s="2" t="s">
        <v>1159</v>
      </c>
      <c r="I195" s="2" t="s">
        <v>1160</v>
      </c>
      <c r="J195" s="2" t="s">
        <v>1160</v>
      </c>
      <c r="K195" s="2" t="s">
        <v>1159</v>
      </c>
      <c r="L195" s="2"/>
      <c r="M195" s="2"/>
      <c r="N195" s="2" t="s">
        <v>145</v>
      </c>
      <c r="O195" s="2">
        <v>1.0</v>
      </c>
      <c r="P195" s="2">
        <v>0.0</v>
      </c>
      <c r="Q195" s="2">
        <v>0.0</v>
      </c>
      <c r="R195" s="2">
        <v>1.0</v>
      </c>
      <c r="S195" s="2">
        <v>0.0</v>
      </c>
      <c r="T195" s="2" t="s">
        <v>1161</v>
      </c>
    </row>
    <row r="196" ht="15.75" customHeight="1">
      <c r="A196" s="2" t="s">
        <v>1162</v>
      </c>
      <c r="B196" s="2" t="s">
        <v>496</v>
      </c>
      <c r="C196" s="2" t="s">
        <v>444</v>
      </c>
      <c r="D196" s="2" t="s">
        <v>118</v>
      </c>
      <c r="E196" s="2" t="s">
        <v>135</v>
      </c>
      <c r="F196" s="2" t="s">
        <v>135</v>
      </c>
      <c r="G196" s="2" t="s">
        <v>135</v>
      </c>
      <c r="H196" s="2" t="s">
        <v>135</v>
      </c>
      <c r="I196" s="2" t="s">
        <v>1163</v>
      </c>
      <c r="J196" s="2" t="s">
        <v>1163</v>
      </c>
      <c r="K196" s="2" t="s">
        <v>135</v>
      </c>
      <c r="L196" s="2"/>
      <c r="M196" s="2"/>
      <c r="N196" s="2" t="s">
        <v>145</v>
      </c>
      <c r="O196" s="2">
        <v>1.0</v>
      </c>
      <c r="P196" s="2">
        <v>0.0</v>
      </c>
      <c r="Q196" s="2">
        <v>0.0</v>
      </c>
      <c r="R196" s="2">
        <v>1.0</v>
      </c>
      <c r="S196" s="2">
        <v>0.0</v>
      </c>
      <c r="T196" s="2" t="s">
        <v>1165</v>
      </c>
    </row>
    <row r="197" ht="15.75" customHeight="1">
      <c r="A197" s="2" t="s">
        <v>1166</v>
      </c>
      <c r="B197" s="2" t="s">
        <v>496</v>
      </c>
      <c r="C197" s="2" t="s">
        <v>444</v>
      </c>
      <c r="D197" s="2" t="s">
        <v>149</v>
      </c>
      <c r="E197" s="2" t="s">
        <v>962</v>
      </c>
      <c r="F197" s="2" t="s">
        <v>962</v>
      </c>
      <c r="G197" s="2" t="s">
        <v>962</v>
      </c>
      <c r="H197" s="2" t="s">
        <v>962</v>
      </c>
      <c r="I197" s="2" t="s">
        <v>1167</v>
      </c>
      <c r="J197" s="2" t="s">
        <v>1168</v>
      </c>
      <c r="K197" s="2" t="s">
        <v>962</v>
      </c>
      <c r="L197" s="2"/>
      <c r="M197" s="2"/>
      <c r="N197" s="2" t="s">
        <v>171</v>
      </c>
      <c r="O197" s="2">
        <v>1.0</v>
      </c>
      <c r="P197" s="2">
        <v>0.0</v>
      </c>
      <c r="Q197" s="2">
        <v>0.0</v>
      </c>
      <c r="R197" s="2">
        <v>1.0</v>
      </c>
      <c r="S197" s="2">
        <v>1.0</v>
      </c>
      <c r="T197" s="2" t="s">
        <v>1169</v>
      </c>
    </row>
    <row r="198" ht="15.75" customHeight="1">
      <c r="A198" s="2" t="s">
        <v>1170</v>
      </c>
      <c r="B198" s="2" t="s">
        <v>1171</v>
      </c>
      <c r="C198" s="2" t="s">
        <v>444</v>
      </c>
      <c r="D198" s="2" t="s">
        <v>71</v>
      </c>
      <c r="E198" s="2" t="s">
        <v>1172</v>
      </c>
      <c r="F198" s="2" t="s">
        <v>1172</v>
      </c>
      <c r="G198" s="2" t="s">
        <v>1173</v>
      </c>
      <c r="H198" s="2" t="s">
        <v>1173</v>
      </c>
      <c r="I198" s="2" t="s">
        <v>1174</v>
      </c>
      <c r="J198" s="2" t="s">
        <v>1174</v>
      </c>
      <c r="K198" s="2" t="s">
        <v>1173</v>
      </c>
      <c r="L198" s="2"/>
      <c r="M198" s="2"/>
      <c r="N198" s="2" t="s">
        <v>145</v>
      </c>
      <c r="O198" s="2">
        <v>1.0</v>
      </c>
      <c r="P198" s="2">
        <v>0.0</v>
      </c>
      <c r="Q198" s="2">
        <v>0.0</v>
      </c>
      <c r="R198" s="2">
        <v>1.0</v>
      </c>
      <c r="S198" s="2">
        <v>0.0</v>
      </c>
      <c r="T198" s="2" t="s">
        <v>1175</v>
      </c>
    </row>
    <row r="199" ht="15.75" customHeight="1">
      <c r="A199" s="2" t="s">
        <v>1176</v>
      </c>
      <c r="B199" s="2" t="s">
        <v>1171</v>
      </c>
      <c r="C199" s="2" t="s">
        <v>444</v>
      </c>
      <c r="D199" s="2" t="s">
        <v>75</v>
      </c>
      <c r="E199" s="2" t="s">
        <v>1158</v>
      </c>
      <c r="F199" s="2" t="s">
        <v>1158</v>
      </c>
      <c r="G199" s="2" t="s">
        <v>1159</v>
      </c>
      <c r="H199" s="2" t="s">
        <v>1159</v>
      </c>
      <c r="I199" s="2" t="s">
        <v>1177</v>
      </c>
      <c r="J199" s="2" t="s">
        <v>1177</v>
      </c>
      <c r="K199" s="2" t="s">
        <v>1159</v>
      </c>
      <c r="L199" s="2"/>
      <c r="M199" s="2"/>
      <c r="N199" s="2" t="s">
        <v>145</v>
      </c>
      <c r="O199" s="2">
        <v>1.0</v>
      </c>
      <c r="P199" s="2">
        <v>0.0</v>
      </c>
      <c r="Q199" s="2">
        <v>0.0</v>
      </c>
      <c r="R199" s="2">
        <v>1.0</v>
      </c>
      <c r="S199" s="2">
        <v>0.0</v>
      </c>
      <c r="T199" s="2" t="s">
        <v>1179</v>
      </c>
    </row>
    <row r="200" ht="15.75" customHeight="1">
      <c r="A200" s="2" t="s">
        <v>1180</v>
      </c>
      <c r="B200" s="2" t="s">
        <v>1171</v>
      </c>
      <c r="C200" s="2" t="s">
        <v>444</v>
      </c>
      <c r="D200" s="2" t="s">
        <v>118</v>
      </c>
      <c r="E200" s="2" t="s">
        <v>135</v>
      </c>
      <c r="F200" s="2" t="s">
        <v>135</v>
      </c>
      <c r="G200" s="2" t="s">
        <v>135</v>
      </c>
      <c r="H200" s="2" t="s">
        <v>135</v>
      </c>
      <c r="I200" s="2" t="s">
        <v>1181</v>
      </c>
      <c r="J200" s="2" t="s">
        <v>1181</v>
      </c>
      <c r="K200" s="2" t="s">
        <v>135</v>
      </c>
      <c r="L200" s="2"/>
      <c r="M200" s="2"/>
      <c r="N200" s="2" t="s">
        <v>145</v>
      </c>
      <c r="O200" s="2">
        <v>1.0</v>
      </c>
      <c r="P200" s="2">
        <v>0.0</v>
      </c>
      <c r="Q200" s="2">
        <v>0.0</v>
      </c>
      <c r="R200" s="2">
        <v>1.0</v>
      </c>
      <c r="S200" s="2">
        <v>0.0</v>
      </c>
      <c r="T200" s="2" t="s">
        <v>1182</v>
      </c>
    </row>
    <row r="201" ht="15.75" customHeight="1">
      <c r="A201" s="2" t="s">
        <v>1183</v>
      </c>
      <c r="B201" s="2" t="s">
        <v>1171</v>
      </c>
      <c r="C201" s="2" t="s">
        <v>444</v>
      </c>
      <c r="D201" s="2" t="s">
        <v>149</v>
      </c>
      <c r="E201" s="2" t="s">
        <v>962</v>
      </c>
      <c r="F201" s="2" t="s">
        <v>962</v>
      </c>
      <c r="G201" s="2" t="s">
        <v>962</v>
      </c>
      <c r="H201" s="2" t="s">
        <v>962</v>
      </c>
      <c r="I201" s="2" t="s">
        <v>1184</v>
      </c>
      <c r="J201" s="2" t="s">
        <v>1185</v>
      </c>
      <c r="K201" s="2" t="s">
        <v>962</v>
      </c>
      <c r="L201" s="2"/>
      <c r="M201" s="2"/>
      <c r="N201" s="2" t="s">
        <v>171</v>
      </c>
      <c r="O201" s="2">
        <v>1.0</v>
      </c>
      <c r="P201" s="2">
        <v>0.0</v>
      </c>
      <c r="Q201" s="2">
        <v>0.0</v>
      </c>
      <c r="R201" s="2">
        <v>1.0</v>
      </c>
      <c r="S201" s="2">
        <v>1.0</v>
      </c>
      <c r="T201" s="2" t="s">
        <v>1186</v>
      </c>
    </row>
    <row r="202" ht="15.75" customHeight="1">
      <c r="A202" s="2" t="s">
        <v>1187</v>
      </c>
      <c r="B202" s="2" t="s">
        <v>1188</v>
      </c>
      <c r="C202" s="2" t="s">
        <v>444</v>
      </c>
      <c r="D202" s="2" t="s">
        <v>71</v>
      </c>
      <c r="E202" s="2" t="s">
        <v>1172</v>
      </c>
      <c r="F202" s="2" t="s">
        <v>1172</v>
      </c>
      <c r="G202" s="2" t="s">
        <v>1173</v>
      </c>
      <c r="H202" s="2" t="s">
        <v>1173</v>
      </c>
      <c r="I202" s="2" t="s">
        <v>1174</v>
      </c>
      <c r="J202" s="2" t="s">
        <v>1174</v>
      </c>
      <c r="K202" s="2" t="s">
        <v>1173</v>
      </c>
      <c r="L202" s="2"/>
      <c r="M202" s="2"/>
      <c r="N202" s="2" t="s">
        <v>145</v>
      </c>
      <c r="O202" s="2">
        <v>1.0</v>
      </c>
      <c r="P202" s="2">
        <v>0.0</v>
      </c>
      <c r="Q202" s="2">
        <v>0.0</v>
      </c>
      <c r="R202" s="2">
        <v>1.0</v>
      </c>
      <c r="S202" s="2">
        <v>0.0</v>
      </c>
      <c r="T202" s="2" t="s">
        <v>1189</v>
      </c>
    </row>
    <row r="203" ht="15.75" customHeight="1">
      <c r="A203" s="2" t="s">
        <v>1190</v>
      </c>
      <c r="B203" s="2" t="s">
        <v>1188</v>
      </c>
      <c r="C203" s="2" t="s">
        <v>444</v>
      </c>
      <c r="D203" s="2" t="s">
        <v>75</v>
      </c>
      <c r="E203" s="2" t="s">
        <v>1158</v>
      </c>
      <c r="F203" s="2" t="s">
        <v>1158</v>
      </c>
      <c r="G203" s="2" t="s">
        <v>1159</v>
      </c>
      <c r="H203" s="2" t="s">
        <v>1159</v>
      </c>
      <c r="I203" s="2" t="s">
        <v>1191</v>
      </c>
      <c r="J203" s="2" t="s">
        <v>1191</v>
      </c>
      <c r="K203" s="2" t="s">
        <v>1159</v>
      </c>
      <c r="L203" s="2"/>
      <c r="M203" s="2"/>
      <c r="N203" s="2" t="s">
        <v>145</v>
      </c>
      <c r="O203" s="2">
        <v>1.0</v>
      </c>
      <c r="P203" s="2">
        <v>0.0</v>
      </c>
      <c r="Q203" s="2">
        <v>0.0</v>
      </c>
      <c r="R203" s="2">
        <v>1.0</v>
      </c>
      <c r="S203" s="2">
        <v>0.0</v>
      </c>
      <c r="T203" s="2" t="s">
        <v>1192</v>
      </c>
    </row>
    <row r="204" ht="15.75" customHeight="1">
      <c r="A204" s="2" t="s">
        <v>1194</v>
      </c>
      <c r="B204" s="2" t="s">
        <v>1188</v>
      </c>
      <c r="C204" s="2" t="s">
        <v>444</v>
      </c>
      <c r="D204" s="2" t="s">
        <v>118</v>
      </c>
      <c r="E204" s="2" t="s">
        <v>135</v>
      </c>
      <c r="F204" s="2" t="s">
        <v>135</v>
      </c>
      <c r="G204" s="2" t="s">
        <v>135</v>
      </c>
      <c r="H204" s="2" t="s">
        <v>135</v>
      </c>
      <c r="I204" s="2" t="s">
        <v>1195</v>
      </c>
      <c r="J204" s="2" t="s">
        <v>1195</v>
      </c>
      <c r="K204" s="2" t="s">
        <v>135</v>
      </c>
      <c r="L204" s="2"/>
      <c r="M204" s="2"/>
      <c r="N204" s="2" t="s">
        <v>145</v>
      </c>
      <c r="O204" s="2">
        <v>1.0</v>
      </c>
      <c r="P204" s="2">
        <v>0.0</v>
      </c>
      <c r="Q204" s="2">
        <v>0.0</v>
      </c>
      <c r="R204" s="2">
        <v>1.0</v>
      </c>
      <c r="S204" s="2">
        <v>0.0</v>
      </c>
      <c r="T204" s="2" t="s">
        <v>1196</v>
      </c>
    </row>
    <row r="205" ht="15.75" customHeight="1">
      <c r="A205" s="2" t="s">
        <v>1197</v>
      </c>
      <c r="B205" s="2" t="s">
        <v>1188</v>
      </c>
      <c r="C205" s="2" t="s">
        <v>444</v>
      </c>
      <c r="D205" s="2" t="s">
        <v>149</v>
      </c>
      <c r="E205" s="2" t="s">
        <v>962</v>
      </c>
      <c r="F205" s="2" t="s">
        <v>962</v>
      </c>
      <c r="G205" s="2" t="s">
        <v>962</v>
      </c>
      <c r="H205" s="2" t="s">
        <v>962</v>
      </c>
      <c r="I205" s="2" t="s">
        <v>1198</v>
      </c>
      <c r="J205" s="2" t="s">
        <v>1199</v>
      </c>
      <c r="K205" s="2" t="s">
        <v>962</v>
      </c>
      <c r="L205" s="2"/>
      <c r="M205" s="2"/>
      <c r="N205" s="2" t="s">
        <v>171</v>
      </c>
      <c r="O205" s="2">
        <v>1.0</v>
      </c>
      <c r="P205" s="2">
        <v>0.0</v>
      </c>
      <c r="Q205" s="2">
        <v>0.0</v>
      </c>
      <c r="R205" s="2">
        <v>1.0</v>
      </c>
      <c r="S205" s="2">
        <v>1.0</v>
      </c>
      <c r="T205" s="2" t="s">
        <v>1200</v>
      </c>
    </row>
    <row r="206" ht="15.75" customHeight="1">
      <c r="A206" s="2" t="s">
        <v>1201</v>
      </c>
      <c r="B206" s="2" t="s">
        <v>1202</v>
      </c>
      <c r="C206" s="2" t="s">
        <v>444</v>
      </c>
      <c r="D206" s="2" t="s">
        <v>71</v>
      </c>
      <c r="E206" s="2" t="s">
        <v>1203</v>
      </c>
      <c r="F206" s="2" t="s">
        <v>1203</v>
      </c>
      <c r="G206" s="2" t="s">
        <v>1204</v>
      </c>
      <c r="H206" s="2" t="s">
        <v>1204</v>
      </c>
      <c r="I206" s="2" t="s">
        <v>1205</v>
      </c>
      <c r="J206" s="2" t="s">
        <v>1205</v>
      </c>
      <c r="K206" s="2" t="s">
        <v>1204</v>
      </c>
      <c r="L206" s="2"/>
      <c r="M206" s="2"/>
      <c r="N206" s="2" t="s">
        <v>145</v>
      </c>
      <c r="O206" s="2">
        <v>1.0</v>
      </c>
      <c r="P206" s="2">
        <v>0.0</v>
      </c>
      <c r="Q206" s="2">
        <v>0.0</v>
      </c>
      <c r="R206" s="2">
        <v>1.0</v>
      </c>
      <c r="S206" s="2">
        <v>0.0</v>
      </c>
      <c r="T206" s="2" t="s">
        <v>1206</v>
      </c>
    </row>
    <row r="207" ht="15.75" customHeight="1">
      <c r="A207" s="2" t="s">
        <v>1207</v>
      </c>
      <c r="B207" s="2" t="s">
        <v>1202</v>
      </c>
      <c r="C207" s="2" t="s">
        <v>444</v>
      </c>
      <c r="D207" s="2" t="s">
        <v>75</v>
      </c>
      <c r="E207" s="2" t="s">
        <v>1158</v>
      </c>
      <c r="F207" s="2" t="s">
        <v>1158</v>
      </c>
      <c r="G207" s="2" t="s">
        <v>1159</v>
      </c>
      <c r="H207" s="2" t="s">
        <v>1159</v>
      </c>
      <c r="I207" s="2" t="s">
        <v>1208</v>
      </c>
      <c r="J207" s="2" t="s">
        <v>1208</v>
      </c>
      <c r="K207" s="2" t="s">
        <v>1159</v>
      </c>
      <c r="L207" s="2"/>
      <c r="M207" s="2"/>
      <c r="N207" s="2" t="s">
        <v>145</v>
      </c>
      <c r="O207" s="2">
        <v>1.0</v>
      </c>
      <c r="P207" s="2">
        <v>0.0</v>
      </c>
      <c r="Q207" s="2">
        <v>0.0</v>
      </c>
      <c r="R207" s="2">
        <v>1.0</v>
      </c>
      <c r="S207" s="2">
        <v>0.0</v>
      </c>
      <c r="T207" s="2" t="s">
        <v>1210</v>
      </c>
    </row>
    <row r="208" ht="15.75" customHeight="1">
      <c r="A208" s="2" t="s">
        <v>1211</v>
      </c>
      <c r="B208" s="2" t="s">
        <v>1202</v>
      </c>
      <c r="C208" s="2" t="s">
        <v>444</v>
      </c>
      <c r="D208" s="2" t="s">
        <v>118</v>
      </c>
      <c r="E208" s="2" t="s">
        <v>135</v>
      </c>
      <c r="F208" s="2" t="s">
        <v>135</v>
      </c>
      <c r="G208" s="2" t="s">
        <v>135</v>
      </c>
      <c r="H208" s="2" t="s">
        <v>135</v>
      </c>
      <c r="I208" s="2" t="s">
        <v>1212</v>
      </c>
      <c r="J208" s="2" t="s">
        <v>1213</v>
      </c>
      <c r="K208" s="2" t="s">
        <v>135</v>
      </c>
      <c r="L208" s="2"/>
      <c r="M208" s="2"/>
      <c r="N208" s="2" t="s">
        <v>171</v>
      </c>
      <c r="O208" s="2">
        <v>1.0</v>
      </c>
      <c r="P208" s="2">
        <v>0.0</v>
      </c>
      <c r="Q208" s="2">
        <v>0.0</v>
      </c>
      <c r="R208" s="2">
        <v>1.0</v>
      </c>
      <c r="S208" s="2">
        <v>1.0</v>
      </c>
      <c r="T208" s="2" t="s">
        <v>1214</v>
      </c>
    </row>
    <row r="209" ht="15.75" customHeight="1">
      <c r="A209" s="2" t="s">
        <v>1215</v>
      </c>
      <c r="B209" s="2" t="s">
        <v>1202</v>
      </c>
      <c r="C209" s="2" t="s">
        <v>444</v>
      </c>
      <c r="D209" s="2" t="s">
        <v>149</v>
      </c>
      <c r="E209" s="2" t="s">
        <v>962</v>
      </c>
      <c r="F209" s="2" t="s">
        <v>962</v>
      </c>
      <c r="G209" s="2" t="s">
        <v>962</v>
      </c>
      <c r="H209" s="2" t="s">
        <v>962</v>
      </c>
      <c r="I209" s="2" t="s">
        <v>1216</v>
      </c>
      <c r="J209" s="2" t="s">
        <v>1217</v>
      </c>
      <c r="K209" s="2" t="s">
        <v>962</v>
      </c>
      <c r="L209" s="2"/>
      <c r="M209" s="2"/>
      <c r="N209" s="2" t="s">
        <v>171</v>
      </c>
      <c r="O209" s="2">
        <v>1.0</v>
      </c>
      <c r="P209" s="2">
        <v>0.0</v>
      </c>
      <c r="Q209" s="2">
        <v>0.0</v>
      </c>
      <c r="R209" s="2">
        <v>1.0</v>
      </c>
      <c r="S209" s="2">
        <v>1.0</v>
      </c>
      <c r="T209" s="2" t="s">
        <v>1218</v>
      </c>
    </row>
    <row r="210" ht="15.75" customHeight="1">
      <c r="A210" s="2" t="s">
        <v>1219</v>
      </c>
      <c r="B210" s="2" t="s">
        <v>1220</v>
      </c>
      <c r="C210" s="2" t="s">
        <v>444</v>
      </c>
      <c r="D210" s="2" t="s">
        <v>71</v>
      </c>
      <c r="E210" s="2" t="s">
        <v>1221</v>
      </c>
      <c r="F210" s="2" t="s">
        <v>1221</v>
      </c>
      <c r="G210" s="2" t="s">
        <v>1222</v>
      </c>
      <c r="H210" s="2" t="s">
        <v>1222</v>
      </c>
      <c r="I210" s="2" t="s">
        <v>1223</v>
      </c>
      <c r="J210" s="2" t="s">
        <v>1223</v>
      </c>
      <c r="K210" s="2" t="s">
        <v>1222</v>
      </c>
      <c r="L210" s="2"/>
      <c r="M210" s="2"/>
      <c r="N210" s="2" t="s">
        <v>145</v>
      </c>
      <c r="O210" s="2">
        <v>1.0</v>
      </c>
      <c r="P210" s="2">
        <v>0.0</v>
      </c>
      <c r="Q210" s="2">
        <v>0.0</v>
      </c>
      <c r="R210" s="2">
        <v>1.0</v>
      </c>
      <c r="S210" s="2">
        <v>0.0</v>
      </c>
      <c r="T210" s="2" t="s">
        <v>1224</v>
      </c>
    </row>
    <row r="211" ht="15.75" customHeight="1">
      <c r="A211" s="2" t="s">
        <v>1225</v>
      </c>
      <c r="B211" s="2" t="s">
        <v>1220</v>
      </c>
      <c r="C211" s="2" t="s">
        <v>444</v>
      </c>
      <c r="D211" s="2" t="s">
        <v>75</v>
      </c>
      <c r="E211" s="2" t="s">
        <v>1158</v>
      </c>
      <c r="F211" s="2" t="s">
        <v>1158</v>
      </c>
      <c r="G211" s="2" t="s">
        <v>1159</v>
      </c>
      <c r="H211" s="2" t="s">
        <v>1159</v>
      </c>
      <c r="I211" s="2" t="s">
        <v>1226</v>
      </c>
      <c r="J211" s="2" t="s">
        <v>1226</v>
      </c>
      <c r="K211" s="2" t="s">
        <v>1159</v>
      </c>
      <c r="L211" s="2"/>
      <c r="M211" s="2"/>
      <c r="N211" s="2" t="s">
        <v>145</v>
      </c>
      <c r="O211" s="2">
        <v>1.0</v>
      </c>
      <c r="P211" s="2">
        <v>0.0</v>
      </c>
      <c r="Q211" s="2">
        <v>0.0</v>
      </c>
      <c r="R211" s="2">
        <v>1.0</v>
      </c>
      <c r="S211" s="2">
        <v>0.0</v>
      </c>
      <c r="T211" s="2" t="s">
        <v>1227</v>
      </c>
    </row>
    <row r="212" ht="15.75" customHeight="1">
      <c r="A212" s="2" t="s">
        <v>1228</v>
      </c>
      <c r="B212" s="2" t="s">
        <v>1220</v>
      </c>
      <c r="C212" s="2" t="s">
        <v>444</v>
      </c>
      <c r="D212" s="2" t="s">
        <v>118</v>
      </c>
      <c r="E212" s="2" t="s">
        <v>135</v>
      </c>
      <c r="F212" s="2" t="s">
        <v>135</v>
      </c>
      <c r="G212" s="2" t="s">
        <v>135</v>
      </c>
      <c r="H212" s="2" t="s">
        <v>135</v>
      </c>
      <c r="I212" s="2" t="s">
        <v>1230</v>
      </c>
      <c r="J212" s="2" t="s">
        <v>1231</v>
      </c>
      <c r="K212" s="2" t="s">
        <v>135</v>
      </c>
      <c r="L212" s="2"/>
      <c r="M212" s="2"/>
      <c r="N212" s="2" t="s">
        <v>171</v>
      </c>
      <c r="O212" s="2">
        <v>1.0</v>
      </c>
      <c r="P212" s="2">
        <v>0.0</v>
      </c>
      <c r="Q212" s="2">
        <v>0.0</v>
      </c>
      <c r="R212" s="2">
        <v>1.0</v>
      </c>
      <c r="S212" s="2">
        <v>1.0</v>
      </c>
      <c r="T212" s="2" t="s">
        <v>1232</v>
      </c>
    </row>
    <row r="213" ht="15.75" customHeight="1">
      <c r="A213" s="2" t="s">
        <v>1233</v>
      </c>
      <c r="B213" s="2" t="s">
        <v>1220</v>
      </c>
      <c r="C213" s="2" t="s">
        <v>444</v>
      </c>
      <c r="D213" s="2" t="s">
        <v>149</v>
      </c>
      <c r="E213" s="2" t="s">
        <v>962</v>
      </c>
      <c r="F213" s="2" t="s">
        <v>962</v>
      </c>
      <c r="G213" s="2" t="s">
        <v>962</v>
      </c>
      <c r="H213" s="2" t="s">
        <v>962</v>
      </c>
      <c r="I213" s="2" t="s">
        <v>1234</v>
      </c>
      <c r="J213" s="2" t="s">
        <v>1235</v>
      </c>
      <c r="K213" s="2" t="s">
        <v>962</v>
      </c>
      <c r="L213" s="2"/>
      <c r="M213" s="2"/>
      <c r="N213" s="2" t="s">
        <v>171</v>
      </c>
      <c r="O213" s="2">
        <v>1.0</v>
      </c>
      <c r="P213" s="2">
        <v>0.0</v>
      </c>
      <c r="Q213" s="2">
        <v>0.0</v>
      </c>
      <c r="R213" s="2">
        <v>1.0</v>
      </c>
      <c r="S213" s="2">
        <v>1.0</v>
      </c>
      <c r="T213" s="2" t="s">
        <v>1236</v>
      </c>
    </row>
    <row r="214" ht="15.75" customHeight="1">
      <c r="A214" s="2" t="s">
        <v>1237</v>
      </c>
      <c r="B214" s="2" t="s">
        <v>1238</v>
      </c>
      <c r="C214" s="2" t="s">
        <v>444</v>
      </c>
      <c r="D214" s="2" t="s">
        <v>71</v>
      </c>
      <c r="E214" s="2" t="s">
        <v>1239</v>
      </c>
      <c r="F214" s="2" t="s">
        <v>1239</v>
      </c>
      <c r="G214" s="2" t="s">
        <v>1240</v>
      </c>
      <c r="H214" s="2" t="s">
        <v>1240</v>
      </c>
      <c r="I214" s="2" t="s">
        <v>1241</v>
      </c>
      <c r="J214" s="2" t="s">
        <v>1241</v>
      </c>
      <c r="K214" s="2" t="s">
        <v>1240</v>
      </c>
      <c r="L214" s="2"/>
      <c r="M214" s="2"/>
      <c r="N214" s="2" t="s">
        <v>145</v>
      </c>
      <c r="O214" s="2">
        <v>1.0</v>
      </c>
      <c r="P214" s="2">
        <v>0.0</v>
      </c>
      <c r="Q214" s="2">
        <v>0.0</v>
      </c>
      <c r="R214" s="2">
        <v>1.0</v>
      </c>
      <c r="S214" s="2">
        <v>0.0</v>
      </c>
      <c r="T214" s="2" t="s">
        <v>1242</v>
      </c>
    </row>
    <row r="215" ht="15.75" customHeight="1">
      <c r="A215" s="2" t="s">
        <v>1243</v>
      </c>
      <c r="B215" s="2" t="s">
        <v>1238</v>
      </c>
      <c r="C215" s="2" t="s">
        <v>444</v>
      </c>
      <c r="D215" s="2" t="s">
        <v>75</v>
      </c>
      <c r="E215" s="2" t="s">
        <v>1158</v>
      </c>
      <c r="F215" s="2" t="s">
        <v>1158</v>
      </c>
      <c r="G215" s="2" t="s">
        <v>1159</v>
      </c>
      <c r="H215" s="2" t="s">
        <v>1159</v>
      </c>
      <c r="I215" s="2" t="s">
        <v>1244</v>
      </c>
      <c r="J215" s="2" t="s">
        <v>1244</v>
      </c>
      <c r="K215" s="2" t="s">
        <v>1159</v>
      </c>
      <c r="L215" s="2"/>
      <c r="M215" s="2"/>
      <c r="N215" s="2" t="s">
        <v>145</v>
      </c>
      <c r="O215" s="2">
        <v>1.0</v>
      </c>
      <c r="P215" s="2">
        <v>0.0</v>
      </c>
      <c r="Q215" s="2">
        <v>0.0</v>
      </c>
      <c r="R215" s="2">
        <v>1.0</v>
      </c>
      <c r="S215" s="2">
        <v>0.0</v>
      </c>
      <c r="T215" s="2" t="s">
        <v>1246</v>
      </c>
    </row>
    <row r="216" ht="15.75" customHeight="1">
      <c r="A216" s="2" t="s">
        <v>1247</v>
      </c>
      <c r="B216" s="2" t="s">
        <v>1238</v>
      </c>
      <c r="C216" s="2" t="s">
        <v>444</v>
      </c>
      <c r="D216" s="2" t="s">
        <v>118</v>
      </c>
      <c r="E216" s="2" t="s">
        <v>135</v>
      </c>
      <c r="F216" s="2" t="s">
        <v>135</v>
      </c>
      <c r="G216" s="2" t="s">
        <v>135</v>
      </c>
      <c r="H216" s="2" t="s">
        <v>135</v>
      </c>
      <c r="I216" s="2" t="s">
        <v>1248</v>
      </c>
      <c r="J216" s="2" t="s">
        <v>1248</v>
      </c>
      <c r="K216" s="2" t="s">
        <v>135</v>
      </c>
      <c r="L216" s="2"/>
      <c r="M216" s="2"/>
      <c r="N216" s="2" t="s">
        <v>145</v>
      </c>
      <c r="O216" s="2">
        <v>1.0</v>
      </c>
      <c r="P216" s="2">
        <v>0.0</v>
      </c>
      <c r="Q216" s="2">
        <v>0.0</v>
      </c>
      <c r="R216" s="2">
        <v>1.0</v>
      </c>
      <c r="S216" s="2">
        <v>0.0</v>
      </c>
      <c r="T216" s="2" t="s">
        <v>1249</v>
      </c>
    </row>
    <row r="217" ht="15.75" customHeight="1">
      <c r="A217" s="2" t="s">
        <v>1250</v>
      </c>
      <c r="B217" s="2" t="s">
        <v>1238</v>
      </c>
      <c r="C217" s="2" t="s">
        <v>444</v>
      </c>
      <c r="D217" s="2" t="s">
        <v>149</v>
      </c>
      <c r="E217" s="2" t="s">
        <v>962</v>
      </c>
      <c r="F217" s="2" t="s">
        <v>962</v>
      </c>
      <c r="G217" s="2" t="s">
        <v>962</v>
      </c>
      <c r="H217" s="2" t="s">
        <v>962</v>
      </c>
      <c r="I217" s="2" t="s">
        <v>1251</v>
      </c>
      <c r="J217" s="2" t="s">
        <v>1252</v>
      </c>
      <c r="K217" s="2" t="s">
        <v>962</v>
      </c>
      <c r="L217" s="2"/>
      <c r="M217" s="2"/>
      <c r="N217" s="2" t="s">
        <v>171</v>
      </c>
      <c r="O217" s="2">
        <v>1.0</v>
      </c>
      <c r="P217" s="2">
        <v>0.0</v>
      </c>
      <c r="Q217" s="2">
        <v>0.0</v>
      </c>
      <c r="R217" s="2">
        <v>1.0</v>
      </c>
      <c r="S217" s="2">
        <v>1.0</v>
      </c>
      <c r="T217" s="2" t="s">
        <v>1253</v>
      </c>
    </row>
    <row r="218" ht="15.75" customHeight="1">
      <c r="A218" s="2" t="s">
        <v>1254</v>
      </c>
      <c r="B218" s="2" t="s">
        <v>1255</v>
      </c>
      <c r="C218" s="2" t="s">
        <v>444</v>
      </c>
      <c r="D218" s="2" t="s">
        <v>71</v>
      </c>
      <c r="E218" s="2" t="s">
        <v>1172</v>
      </c>
      <c r="F218" s="2" t="s">
        <v>1172</v>
      </c>
      <c r="G218" s="2" t="s">
        <v>1173</v>
      </c>
      <c r="H218" s="2" t="s">
        <v>1173</v>
      </c>
      <c r="I218" s="2" t="s">
        <v>1174</v>
      </c>
      <c r="J218" s="2" t="s">
        <v>1174</v>
      </c>
      <c r="K218" s="2" t="s">
        <v>1173</v>
      </c>
      <c r="L218" s="2"/>
      <c r="M218" s="2"/>
      <c r="N218" s="2" t="s">
        <v>145</v>
      </c>
      <c r="O218" s="2">
        <v>1.0</v>
      </c>
      <c r="P218" s="2">
        <v>0.0</v>
      </c>
      <c r="Q218" s="2">
        <v>0.0</v>
      </c>
      <c r="R218" s="2">
        <v>1.0</v>
      </c>
      <c r="S218" s="2">
        <v>0.0</v>
      </c>
      <c r="T218" s="2" t="s">
        <v>1256</v>
      </c>
    </row>
    <row r="219" ht="15.75" customHeight="1">
      <c r="A219" s="2" t="s">
        <v>1257</v>
      </c>
      <c r="B219" s="2" t="s">
        <v>1255</v>
      </c>
      <c r="C219" s="2" t="s">
        <v>444</v>
      </c>
      <c r="D219" s="2" t="s">
        <v>75</v>
      </c>
      <c r="E219" s="2" t="s">
        <v>1158</v>
      </c>
      <c r="F219" s="2" t="s">
        <v>1158</v>
      </c>
      <c r="G219" s="2" t="s">
        <v>1159</v>
      </c>
      <c r="H219" s="2" t="s">
        <v>1159</v>
      </c>
      <c r="I219" s="2" t="s">
        <v>1258</v>
      </c>
      <c r="J219" s="2" t="s">
        <v>1258</v>
      </c>
      <c r="K219" s="2" t="s">
        <v>1159</v>
      </c>
      <c r="L219" s="2"/>
      <c r="M219" s="2"/>
      <c r="N219" s="2" t="s">
        <v>145</v>
      </c>
      <c r="O219" s="2">
        <v>1.0</v>
      </c>
      <c r="P219" s="2">
        <v>0.0</v>
      </c>
      <c r="Q219" s="2">
        <v>0.0</v>
      </c>
      <c r="R219" s="2">
        <v>1.0</v>
      </c>
      <c r="S219" s="2">
        <v>0.0</v>
      </c>
      <c r="T219" s="2" t="s">
        <v>1259</v>
      </c>
    </row>
    <row r="220" ht="15.75" customHeight="1">
      <c r="A220" s="2" t="s">
        <v>1260</v>
      </c>
      <c r="B220" s="2" t="s">
        <v>1255</v>
      </c>
      <c r="C220" s="2" t="s">
        <v>444</v>
      </c>
      <c r="D220" s="2" t="s">
        <v>118</v>
      </c>
      <c r="E220" s="2" t="s">
        <v>135</v>
      </c>
      <c r="F220" s="2" t="s">
        <v>135</v>
      </c>
      <c r="G220" s="2" t="s">
        <v>135</v>
      </c>
      <c r="H220" s="2" t="s">
        <v>135</v>
      </c>
      <c r="I220" s="2" t="s">
        <v>1261</v>
      </c>
      <c r="J220" s="2" t="s">
        <v>1262</v>
      </c>
      <c r="K220" s="2" t="s">
        <v>135</v>
      </c>
      <c r="L220" s="2"/>
      <c r="M220" s="2"/>
      <c r="N220" s="2" t="s">
        <v>171</v>
      </c>
      <c r="O220" s="2">
        <v>1.0</v>
      </c>
      <c r="P220" s="2">
        <v>0.0</v>
      </c>
      <c r="Q220" s="2">
        <v>0.0</v>
      </c>
      <c r="R220" s="2">
        <v>1.0</v>
      </c>
      <c r="S220" s="2">
        <v>1.0</v>
      </c>
      <c r="T220" s="2" t="s">
        <v>1264</v>
      </c>
    </row>
    <row r="221" ht="15.75" customHeight="1">
      <c r="A221" s="2" t="s">
        <v>1265</v>
      </c>
      <c r="B221" s="2" t="s">
        <v>1255</v>
      </c>
      <c r="C221" s="2" t="s">
        <v>444</v>
      </c>
      <c r="D221" s="2" t="s">
        <v>149</v>
      </c>
      <c r="E221" s="2" t="s">
        <v>962</v>
      </c>
      <c r="F221" s="2" t="s">
        <v>962</v>
      </c>
      <c r="G221" s="2" t="s">
        <v>962</v>
      </c>
      <c r="H221" s="2" t="s">
        <v>962</v>
      </c>
      <c r="I221" s="2" t="s">
        <v>1266</v>
      </c>
      <c r="J221" s="2" t="s">
        <v>1267</v>
      </c>
      <c r="K221" s="2" t="s">
        <v>962</v>
      </c>
      <c r="L221" s="2"/>
      <c r="M221" s="2"/>
      <c r="N221" s="2" t="s">
        <v>171</v>
      </c>
      <c r="O221" s="2">
        <v>1.0</v>
      </c>
      <c r="P221" s="2">
        <v>0.0</v>
      </c>
      <c r="Q221" s="2">
        <v>0.0</v>
      </c>
      <c r="R221" s="2">
        <v>1.0</v>
      </c>
      <c r="S221" s="2">
        <v>1.0</v>
      </c>
      <c r="T221" s="2" t="s">
        <v>1268</v>
      </c>
    </row>
    <row r="222" ht="15.75" customHeight="1">
      <c r="A222" s="2" t="s">
        <v>1269</v>
      </c>
      <c r="B222" s="2" t="s">
        <v>1270</v>
      </c>
      <c r="C222" s="2" t="s">
        <v>444</v>
      </c>
      <c r="D222" s="2" t="s">
        <v>71</v>
      </c>
      <c r="E222" s="2" t="s">
        <v>1271</v>
      </c>
      <c r="F222" s="2" t="s">
        <v>1271</v>
      </c>
      <c r="G222" s="2" t="s">
        <v>1272</v>
      </c>
      <c r="H222" s="2" t="s">
        <v>1272</v>
      </c>
      <c r="I222" s="2" t="s">
        <v>1273</v>
      </c>
      <c r="J222" s="2" t="s">
        <v>1273</v>
      </c>
      <c r="K222" s="2" t="s">
        <v>1272</v>
      </c>
      <c r="L222" s="2"/>
      <c r="M222" s="2"/>
      <c r="N222" s="2" t="s">
        <v>145</v>
      </c>
      <c r="O222" s="2">
        <v>1.0</v>
      </c>
      <c r="P222" s="2">
        <v>0.0</v>
      </c>
      <c r="Q222" s="2">
        <v>0.0</v>
      </c>
      <c r="R222" s="2">
        <v>1.0</v>
      </c>
      <c r="S222" s="2">
        <v>0.0</v>
      </c>
      <c r="T222" s="2" t="s">
        <v>1274</v>
      </c>
    </row>
    <row r="223" ht="15.75" customHeight="1">
      <c r="A223" s="2" t="s">
        <v>1275</v>
      </c>
      <c r="B223" s="2" t="s">
        <v>1270</v>
      </c>
      <c r="C223" s="2" t="s">
        <v>444</v>
      </c>
      <c r="D223" s="2" t="s">
        <v>75</v>
      </c>
      <c r="E223" s="2" t="s">
        <v>1158</v>
      </c>
      <c r="F223" s="2" t="s">
        <v>1158</v>
      </c>
      <c r="G223" s="2" t="s">
        <v>1159</v>
      </c>
      <c r="H223" s="2" t="s">
        <v>1159</v>
      </c>
      <c r="I223" s="2" t="s">
        <v>1276</v>
      </c>
      <c r="J223" s="2" t="s">
        <v>1276</v>
      </c>
      <c r="K223" s="2" t="s">
        <v>1159</v>
      </c>
      <c r="L223" s="2"/>
      <c r="M223" s="2"/>
      <c r="N223" s="2" t="s">
        <v>145</v>
      </c>
      <c r="O223" s="2">
        <v>1.0</v>
      </c>
      <c r="P223" s="2">
        <v>0.0</v>
      </c>
      <c r="Q223" s="2">
        <v>0.0</v>
      </c>
      <c r="R223" s="2">
        <v>1.0</v>
      </c>
      <c r="S223" s="2">
        <v>0.0</v>
      </c>
      <c r="T223" s="2" t="s">
        <v>1277</v>
      </c>
    </row>
    <row r="224" ht="15.75" customHeight="1">
      <c r="A224" s="2" t="s">
        <v>1278</v>
      </c>
      <c r="B224" s="2" t="s">
        <v>1270</v>
      </c>
      <c r="C224" s="2" t="s">
        <v>444</v>
      </c>
      <c r="D224" s="2" t="s">
        <v>118</v>
      </c>
      <c r="E224" s="2" t="s">
        <v>135</v>
      </c>
      <c r="F224" s="2" t="s">
        <v>135</v>
      </c>
      <c r="G224" s="2" t="s">
        <v>135</v>
      </c>
      <c r="H224" s="2" t="s">
        <v>135</v>
      </c>
      <c r="I224" s="2" t="s">
        <v>1280</v>
      </c>
      <c r="J224" s="2" t="s">
        <v>1280</v>
      </c>
      <c r="K224" s="2" t="s">
        <v>135</v>
      </c>
      <c r="L224" s="2"/>
      <c r="M224" s="2"/>
      <c r="N224" s="2" t="s">
        <v>145</v>
      </c>
      <c r="O224" s="2">
        <v>1.0</v>
      </c>
      <c r="P224" s="2">
        <v>0.0</v>
      </c>
      <c r="Q224" s="2">
        <v>0.0</v>
      </c>
      <c r="R224" s="2">
        <v>1.0</v>
      </c>
      <c r="S224" s="2">
        <v>0.0</v>
      </c>
      <c r="T224" s="2" t="s">
        <v>1281</v>
      </c>
    </row>
    <row r="225" ht="15.75" customHeight="1">
      <c r="A225" s="2" t="s">
        <v>1282</v>
      </c>
      <c r="B225" s="2" t="s">
        <v>1270</v>
      </c>
      <c r="C225" s="2" t="s">
        <v>444</v>
      </c>
      <c r="D225" s="2" t="s">
        <v>149</v>
      </c>
      <c r="E225" s="2" t="s">
        <v>962</v>
      </c>
      <c r="F225" s="2" t="s">
        <v>962</v>
      </c>
      <c r="G225" s="2" t="s">
        <v>962</v>
      </c>
      <c r="H225" s="2" t="s">
        <v>962</v>
      </c>
      <c r="I225" s="2" t="s">
        <v>1283</v>
      </c>
      <c r="J225" s="2" t="s">
        <v>1284</v>
      </c>
      <c r="K225" s="2" t="s">
        <v>962</v>
      </c>
      <c r="L225" s="2"/>
      <c r="M225" s="2"/>
      <c r="N225" s="2" t="s">
        <v>171</v>
      </c>
      <c r="O225" s="2">
        <v>1.0</v>
      </c>
      <c r="P225" s="2">
        <v>0.0</v>
      </c>
      <c r="Q225" s="2">
        <v>0.0</v>
      </c>
      <c r="R225" s="2">
        <v>1.0</v>
      </c>
      <c r="S225" s="2">
        <v>1.0</v>
      </c>
      <c r="T225" s="2" t="s">
        <v>1285</v>
      </c>
    </row>
    <row r="226" ht="15.75" customHeight="1">
      <c r="A226" s="2" t="s">
        <v>1286</v>
      </c>
      <c r="B226" s="2" t="s">
        <v>1287</v>
      </c>
      <c r="C226" s="2" t="s">
        <v>444</v>
      </c>
      <c r="D226" s="2" t="s">
        <v>71</v>
      </c>
      <c r="E226" s="2" t="s">
        <v>1288</v>
      </c>
      <c r="F226" s="2" t="s">
        <v>1288</v>
      </c>
      <c r="G226" s="2" t="s">
        <v>1289</v>
      </c>
      <c r="H226" s="2" t="s">
        <v>1289</v>
      </c>
      <c r="I226" s="2" t="s">
        <v>1290</v>
      </c>
      <c r="J226" s="2" t="s">
        <v>1290</v>
      </c>
      <c r="K226" s="2" t="s">
        <v>1289</v>
      </c>
      <c r="L226" s="2"/>
      <c r="M226" s="2"/>
      <c r="N226" s="2" t="s">
        <v>145</v>
      </c>
      <c r="O226" s="2">
        <v>1.0</v>
      </c>
      <c r="P226" s="2">
        <v>0.0</v>
      </c>
      <c r="Q226" s="2">
        <v>0.0</v>
      </c>
      <c r="R226" s="2">
        <v>1.0</v>
      </c>
      <c r="S226" s="2">
        <v>0.0</v>
      </c>
      <c r="T226" s="2" t="s">
        <v>1291</v>
      </c>
    </row>
    <row r="227" ht="15.75" customHeight="1">
      <c r="A227" s="2" t="s">
        <v>1292</v>
      </c>
      <c r="B227" s="2" t="s">
        <v>1287</v>
      </c>
      <c r="C227" s="2" t="s">
        <v>444</v>
      </c>
      <c r="D227" s="2" t="s">
        <v>75</v>
      </c>
      <c r="E227" s="2" t="s">
        <v>1158</v>
      </c>
      <c r="F227" s="2" t="s">
        <v>1158</v>
      </c>
      <c r="G227" s="2" t="s">
        <v>1159</v>
      </c>
      <c r="H227" s="2" t="s">
        <v>1159</v>
      </c>
      <c r="I227" s="2" t="s">
        <v>1293</v>
      </c>
      <c r="J227" s="2" t="s">
        <v>1293</v>
      </c>
      <c r="K227" s="2" t="s">
        <v>1159</v>
      </c>
      <c r="L227" s="2"/>
      <c r="M227" s="2"/>
      <c r="N227" s="2" t="s">
        <v>145</v>
      </c>
      <c r="O227" s="2">
        <v>1.0</v>
      </c>
      <c r="P227" s="2">
        <v>0.0</v>
      </c>
      <c r="Q227" s="2">
        <v>0.0</v>
      </c>
      <c r="R227" s="2">
        <v>1.0</v>
      </c>
      <c r="S227" s="2">
        <v>0.0</v>
      </c>
      <c r="T227" s="2" t="s">
        <v>1294</v>
      </c>
    </row>
    <row r="228" ht="15.75" customHeight="1">
      <c r="A228" s="2" t="s">
        <v>1295</v>
      </c>
      <c r="B228" s="2" t="s">
        <v>1287</v>
      </c>
      <c r="C228" s="2" t="s">
        <v>444</v>
      </c>
      <c r="D228" s="2" t="s">
        <v>118</v>
      </c>
      <c r="E228" s="2" t="s">
        <v>135</v>
      </c>
      <c r="F228" s="2" t="s">
        <v>135</v>
      </c>
      <c r="G228" s="2" t="s">
        <v>135</v>
      </c>
      <c r="H228" s="2" t="s">
        <v>135</v>
      </c>
      <c r="I228" s="2" t="s">
        <v>1297</v>
      </c>
      <c r="J228" s="2" t="s">
        <v>1297</v>
      </c>
      <c r="K228" s="2" t="s">
        <v>135</v>
      </c>
      <c r="L228" s="2"/>
      <c r="M228" s="2"/>
      <c r="N228" s="2" t="s">
        <v>145</v>
      </c>
      <c r="O228" s="2">
        <v>1.0</v>
      </c>
      <c r="P228" s="2">
        <v>0.0</v>
      </c>
      <c r="Q228" s="2">
        <v>0.0</v>
      </c>
      <c r="R228" s="2">
        <v>1.0</v>
      </c>
      <c r="S228" s="2">
        <v>0.0</v>
      </c>
      <c r="T228" s="2" t="s">
        <v>1298</v>
      </c>
    </row>
    <row r="229" ht="15.75" customHeight="1">
      <c r="A229" s="2" t="s">
        <v>1299</v>
      </c>
      <c r="B229" s="2" t="s">
        <v>1287</v>
      </c>
      <c r="C229" s="2" t="s">
        <v>444</v>
      </c>
      <c r="D229" s="2" t="s">
        <v>149</v>
      </c>
      <c r="E229" s="2" t="s">
        <v>962</v>
      </c>
      <c r="F229" s="2" t="s">
        <v>962</v>
      </c>
      <c r="G229" s="2" t="s">
        <v>962</v>
      </c>
      <c r="H229" s="2" t="s">
        <v>962</v>
      </c>
      <c r="I229" s="2" t="s">
        <v>1300</v>
      </c>
      <c r="J229" s="2" t="s">
        <v>1301</v>
      </c>
      <c r="K229" s="2" t="s">
        <v>962</v>
      </c>
      <c r="L229" s="2"/>
      <c r="M229" s="2"/>
      <c r="N229" s="2" t="s">
        <v>171</v>
      </c>
      <c r="O229" s="2">
        <v>1.0</v>
      </c>
      <c r="P229" s="2">
        <v>0.0</v>
      </c>
      <c r="Q229" s="2">
        <v>0.0</v>
      </c>
      <c r="R229" s="2">
        <v>1.0</v>
      </c>
      <c r="S229" s="2">
        <v>1.0</v>
      </c>
      <c r="T229" s="2" t="s">
        <v>1302</v>
      </c>
    </row>
    <row r="230" ht="15.75" customHeight="1">
      <c r="A230" s="2" t="s">
        <v>1303</v>
      </c>
      <c r="B230" s="2" t="s">
        <v>1304</v>
      </c>
      <c r="C230" s="2" t="s">
        <v>444</v>
      </c>
      <c r="D230" s="2" t="s">
        <v>71</v>
      </c>
      <c r="E230" s="2" t="s">
        <v>1305</v>
      </c>
      <c r="F230" s="2" t="s">
        <v>1305</v>
      </c>
      <c r="G230" s="2" t="s">
        <v>1306</v>
      </c>
      <c r="H230" s="2" t="s">
        <v>1306</v>
      </c>
      <c r="I230" s="2" t="s">
        <v>1307</v>
      </c>
      <c r="J230" s="2" t="s">
        <v>1307</v>
      </c>
      <c r="K230" s="2" t="s">
        <v>1306</v>
      </c>
      <c r="L230" s="2"/>
      <c r="M230" s="2"/>
      <c r="N230" s="2" t="s">
        <v>145</v>
      </c>
      <c r="O230" s="2">
        <v>1.0</v>
      </c>
      <c r="P230" s="2">
        <v>0.0</v>
      </c>
      <c r="Q230" s="2">
        <v>0.0</v>
      </c>
      <c r="R230" s="2">
        <v>1.0</v>
      </c>
      <c r="S230" s="2">
        <v>0.0</v>
      </c>
      <c r="T230" s="2" t="s">
        <v>1308</v>
      </c>
    </row>
    <row r="231" ht="15.75" customHeight="1">
      <c r="A231" s="2" t="s">
        <v>1309</v>
      </c>
      <c r="B231" s="2" t="s">
        <v>1304</v>
      </c>
      <c r="C231" s="2" t="s">
        <v>444</v>
      </c>
      <c r="D231" s="2" t="s">
        <v>75</v>
      </c>
      <c r="E231" s="2" t="s">
        <v>1158</v>
      </c>
      <c r="F231" s="2" t="s">
        <v>1158</v>
      </c>
      <c r="G231" s="2" t="s">
        <v>1159</v>
      </c>
      <c r="H231" s="2" t="s">
        <v>1159</v>
      </c>
      <c r="I231" s="2" t="s">
        <v>1310</v>
      </c>
      <c r="J231" s="2" t="s">
        <v>1310</v>
      </c>
      <c r="K231" s="2" t="s">
        <v>1159</v>
      </c>
      <c r="L231" s="2"/>
      <c r="M231" s="2"/>
      <c r="N231" s="2" t="s">
        <v>145</v>
      </c>
      <c r="O231" s="2">
        <v>1.0</v>
      </c>
      <c r="P231" s="2">
        <v>0.0</v>
      </c>
      <c r="Q231" s="2">
        <v>0.0</v>
      </c>
      <c r="R231" s="2">
        <v>1.0</v>
      </c>
      <c r="S231" s="2">
        <v>0.0</v>
      </c>
      <c r="T231" s="2" t="s">
        <v>1311</v>
      </c>
    </row>
    <row r="232" ht="15.75" customHeight="1">
      <c r="A232" s="2" t="s">
        <v>1312</v>
      </c>
      <c r="B232" s="2" t="s">
        <v>1304</v>
      </c>
      <c r="C232" s="2" t="s">
        <v>444</v>
      </c>
      <c r="D232" s="2" t="s">
        <v>118</v>
      </c>
      <c r="E232" s="2" t="s">
        <v>135</v>
      </c>
      <c r="F232" s="2" t="s">
        <v>135</v>
      </c>
      <c r="G232" s="2" t="s">
        <v>135</v>
      </c>
      <c r="H232" s="2" t="s">
        <v>135</v>
      </c>
      <c r="I232" s="2" t="s">
        <v>1314</v>
      </c>
      <c r="J232" s="2" t="s">
        <v>1315</v>
      </c>
      <c r="K232" s="2" t="s">
        <v>135</v>
      </c>
      <c r="L232" s="2"/>
      <c r="M232" s="2"/>
      <c r="N232" s="2" t="s">
        <v>171</v>
      </c>
      <c r="O232" s="2">
        <v>1.0</v>
      </c>
      <c r="P232" s="2">
        <v>0.0</v>
      </c>
      <c r="Q232" s="2">
        <v>0.0</v>
      </c>
      <c r="R232" s="2">
        <v>1.0</v>
      </c>
      <c r="S232" s="2">
        <v>1.0</v>
      </c>
      <c r="T232" s="2" t="s">
        <v>1316</v>
      </c>
    </row>
    <row r="233" ht="15.75" customHeight="1">
      <c r="A233" s="2" t="s">
        <v>1317</v>
      </c>
      <c r="B233" s="2" t="s">
        <v>1304</v>
      </c>
      <c r="C233" s="2" t="s">
        <v>444</v>
      </c>
      <c r="D233" s="2" t="s">
        <v>149</v>
      </c>
      <c r="E233" s="2" t="s">
        <v>962</v>
      </c>
      <c r="F233" s="2" t="s">
        <v>962</v>
      </c>
      <c r="G233" s="2" t="s">
        <v>962</v>
      </c>
      <c r="H233" s="2" t="s">
        <v>962</v>
      </c>
      <c r="I233" s="2" t="s">
        <v>1318</v>
      </c>
      <c r="J233" s="2" t="s">
        <v>1319</v>
      </c>
      <c r="K233" s="2" t="s">
        <v>962</v>
      </c>
      <c r="L233" s="2"/>
      <c r="M233" s="2"/>
      <c r="N233" s="2" t="s">
        <v>171</v>
      </c>
      <c r="O233" s="2">
        <v>1.0</v>
      </c>
      <c r="P233" s="2">
        <v>0.0</v>
      </c>
      <c r="Q233" s="2">
        <v>0.0</v>
      </c>
      <c r="R233" s="2">
        <v>1.0</v>
      </c>
      <c r="S233" s="2">
        <v>1.0</v>
      </c>
      <c r="T233" s="2" t="s">
        <v>1320</v>
      </c>
    </row>
    <row r="234" ht="15.75" customHeight="1">
      <c r="A234" s="2" t="s">
        <v>1321</v>
      </c>
      <c r="B234" s="2" t="s">
        <v>1322</v>
      </c>
      <c r="C234" s="2" t="s">
        <v>444</v>
      </c>
      <c r="D234" s="2" t="s">
        <v>71</v>
      </c>
      <c r="E234" s="2" t="s">
        <v>1172</v>
      </c>
      <c r="F234" s="2" t="s">
        <v>1172</v>
      </c>
      <c r="G234" s="2" t="s">
        <v>1173</v>
      </c>
      <c r="H234" s="2" t="s">
        <v>1173</v>
      </c>
      <c r="I234" s="2" t="s">
        <v>1174</v>
      </c>
      <c r="J234" s="2" t="s">
        <v>1174</v>
      </c>
      <c r="K234" s="2" t="s">
        <v>1173</v>
      </c>
      <c r="L234" s="2"/>
      <c r="M234" s="2"/>
      <c r="N234" s="2" t="s">
        <v>145</v>
      </c>
      <c r="O234" s="2">
        <v>1.0</v>
      </c>
      <c r="P234" s="2">
        <v>0.0</v>
      </c>
      <c r="Q234" s="2">
        <v>0.0</v>
      </c>
      <c r="R234" s="2">
        <v>1.0</v>
      </c>
      <c r="S234" s="2">
        <v>0.0</v>
      </c>
      <c r="T234" s="2" t="s">
        <v>1323</v>
      </c>
    </row>
    <row r="235" ht="15.75" customHeight="1">
      <c r="A235" s="2" t="s">
        <v>1324</v>
      </c>
      <c r="B235" s="2" t="s">
        <v>1322</v>
      </c>
      <c r="C235" s="2" t="s">
        <v>444</v>
      </c>
      <c r="D235" s="2" t="s">
        <v>75</v>
      </c>
      <c r="E235" s="2" t="s">
        <v>1158</v>
      </c>
      <c r="F235" s="2" t="s">
        <v>1158</v>
      </c>
      <c r="G235" s="2" t="s">
        <v>1159</v>
      </c>
      <c r="H235" s="2" t="s">
        <v>1159</v>
      </c>
      <c r="I235" s="2" t="s">
        <v>1325</v>
      </c>
      <c r="J235" s="2" t="s">
        <v>1325</v>
      </c>
      <c r="K235" s="2" t="s">
        <v>1159</v>
      </c>
      <c r="L235" s="2"/>
      <c r="M235" s="2"/>
      <c r="N235" s="2" t="s">
        <v>145</v>
      </c>
      <c r="O235" s="2">
        <v>1.0</v>
      </c>
      <c r="P235" s="2">
        <v>0.0</v>
      </c>
      <c r="Q235" s="2">
        <v>0.0</v>
      </c>
      <c r="R235" s="2">
        <v>1.0</v>
      </c>
      <c r="S235" s="2">
        <v>0.0</v>
      </c>
      <c r="T235" s="2" t="s">
        <v>1326</v>
      </c>
    </row>
    <row r="236" ht="15.75" customHeight="1">
      <c r="A236" s="2" t="s">
        <v>1327</v>
      </c>
      <c r="B236" s="2" t="s">
        <v>1322</v>
      </c>
      <c r="C236" s="2" t="s">
        <v>444</v>
      </c>
      <c r="D236" s="2" t="s">
        <v>118</v>
      </c>
      <c r="E236" s="2" t="s">
        <v>135</v>
      </c>
      <c r="F236" s="2" t="s">
        <v>135</v>
      </c>
      <c r="G236" s="2" t="s">
        <v>135</v>
      </c>
      <c r="H236" s="2" t="s">
        <v>135</v>
      </c>
      <c r="I236" s="2" t="s">
        <v>1329</v>
      </c>
      <c r="J236" s="2" t="s">
        <v>1329</v>
      </c>
      <c r="K236" s="2" t="s">
        <v>135</v>
      </c>
      <c r="L236" s="2"/>
      <c r="M236" s="2"/>
      <c r="N236" s="2" t="s">
        <v>145</v>
      </c>
      <c r="O236" s="2">
        <v>1.0</v>
      </c>
      <c r="P236" s="2">
        <v>0.0</v>
      </c>
      <c r="Q236" s="2">
        <v>0.0</v>
      </c>
      <c r="R236" s="2">
        <v>1.0</v>
      </c>
      <c r="S236" s="2">
        <v>0.0</v>
      </c>
      <c r="T236" s="2" t="s">
        <v>1330</v>
      </c>
    </row>
    <row r="237" ht="15.75" customHeight="1">
      <c r="A237" s="2" t="s">
        <v>1331</v>
      </c>
      <c r="B237" s="2" t="s">
        <v>1322</v>
      </c>
      <c r="C237" s="2" t="s">
        <v>444</v>
      </c>
      <c r="D237" s="2" t="s">
        <v>149</v>
      </c>
      <c r="E237" s="2" t="s">
        <v>962</v>
      </c>
      <c r="F237" s="2" t="s">
        <v>962</v>
      </c>
      <c r="G237" s="2" t="s">
        <v>962</v>
      </c>
      <c r="H237" s="2" t="s">
        <v>962</v>
      </c>
      <c r="I237" s="2" t="s">
        <v>1332</v>
      </c>
      <c r="J237" s="2" t="s">
        <v>1333</v>
      </c>
      <c r="K237" s="2" t="s">
        <v>962</v>
      </c>
      <c r="L237" s="2"/>
      <c r="M237" s="2"/>
      <c r="N237" s="2" t="s">
        <v>171</v>
      </c>
      <c r="O237" s="2">
        <v>1.0</v>
      </c>
      <c r="P237" s="2">
        <v>0.0</v>
      </c>
      <c r="Q237" s="2">
        <v>0.0</v>
      </c>
      <c r="R237" s="2">
        <v>1.0</v>
      </c>
      <c r="S237" s="2">
        <v>1.0</v>
      </c>
      <c r="T237" s="2" t="s">
        <v>1334</v>
      </c>
    </row>
    <row r="238" ht="15.75" customHeight="1">
      <c r="A238" s="2" t="s">
        <v>1335</v>
      </c>
      <c r="B238" s="2" t="s">
        <v>1336</v>
      </c>
      <c r="C238" s="2" t="s">
        <v>444</v>
      </c>
      <c r="D238" s="2" t="s">
        <v>71</v>
      </c>
      <c r="E238" s="2" t="s">
        <v>1337</v>
      </c>
      <c r="F238" s="2" t="s">
        <v>1337</v>
      </c>
      <c r="G238" s="2" t="s">
        <v>1338</v>
      </c>
      <c r="H238" s="2" t="s">
        <v>1338</v>
      </c>
      <c r="I238" s="2" t="s">
        <v>1339</v>
      </c>
      <c r="J238" s="2" t="s">
        <v>1339</v>
      </c>
      <c r="K238" s="2" t="s">
        <v>1338</v>
      </c>
      <c r="L238" s="2"/>
      <c r="M238" s="2"/>
      <c r="N238" s="2" t="s">
        <v>145</v>
      </c>
      <c r="O238" s="2">
        <v>1.0</v>
      </c>
      <c r="P238" s="2">
        <v>0.0</v>
      </c>
      <c r="Q238" s="2">
        <v>0.0</v>
      </c>
      <c r="R238" s="2">
        <v>1.0</v>
      </c>
      <c r="S238" s="2">
        <v>0.0</v>
      </c>
      <c r="T238" s="2" t="s">
        <v>1340</v>
      </c>
    </row>
    <row r="239" ht="15.75" customHeight="1">
      <c r="A239" s="2" t="s">
        <v>1341</v>
      </c>
      <c r="B239" s="2" t="s">
        <v>1336</v>
      </c>
      <c r="C239" s="2" t="s">
        <v>444</v>
      </c>
      <c r="D239" s="2" t="s">
        <v>75</v>
      </c>
      <c r="E239" s="2" t="s">
        <v>1158</v>
      </c>
      <c r="F239" s="2" t="s">
        <v>1158</v>
      </c>
      <c r="G239" s="2" t="s">
        <v>1159</v>
      </c>
      <c r="H239" s="2" t="s">
        <v>1159</v>
      </c>
      <c r="I239" s="2" t="s">
        <v>1342</v>
      </c>
      <c r="J239" s="2" t="s">
        <v>1342</v>
      </c>
      <c r="K239" s="2" t="s">
        <v>1159</v>
      </c>
      <c r="L239" s="2"/>
      <c r="M239" s="2"/>
      <c r="N239" s="2" t="s">
        <v>145</v>
      </c>
      <c r="O239" s="2">
        <v>1.0</v>
      </c>
      <c r="P239" s="2">
        <v>0.0</v>
      </c>
      <c r="Q239" s="2">
        <v>0.0</v>
      </c>
      <c r="R239" s="2">
        <v>1.0</v>
      </c>
      <c r="S239" s="2">
        <v>0.0</v>
      </c>
      <c r="T239" s="2" t="s">
        <v>1343</v>
      </c>
    </row>
    <row r="240" ht="15.75" customHeight="1">
      <c r="A240" s="2" t="s">
        <v>1344</v>
      </c>
      <c r="B240" s="2" t="s">
        <v>1336</v>
      </c>
      <c r="C240" s="2" t="s">
        <v>444</v>
      </c>
      <c r="D240" s="2" t="s">
        <v>118</v>
      </c>
      <c r="E240" s="2" t="s">
        <v>135</v>
      </c>
      <c r="F240" s="2" t="s">
        <v>135</v>
      </c>
      <c r="G240" s="2" t="s">
        <v>135</v>
      </c>
      <c r="H240" s="2" t="s">
        <v>135</v>
      </c>
      <c r="I240" s="2" t="s">
        <v>1345</v>
      </c>
      <c r="J240" s="2" t="s">
        <v>1345</v>
      </c>
      <c r="K240" s="2" t="s">
        <v>135</v>
      </c>
      <c r="L240" s="2"/>
      <c r="M240" s="2"/>
      <c r="N240" s="2" t="s">
        <v>145</v>
      </c>
      <c r="O240" s="2">
        <v>1.0</v>
      </c>
      <c r="P240" s="2">
        <v>0.0</v>
      </c>
      <c r="Q240" s="2">
        <v>0.0</v>
      </c>
      <c r="R240" s="2">
        <v>1.0</v>
      </c>
      <c r="S240" s="2">
        <v>0.0</v>
      </c>
      <c r="T240" s="2" t="s">
        <v>1347</v>
      </c>
    </row>
    <row r="241" ht="15.75" customHeight="1">
      <c r="A241" s="2" t="s">
        <v>1348</v>
      </c>
      <c r="B241" s="2" t="s">
        <v>1336</v>
      </c>
      <c r="C241" s="2" t="s">
        <v>444</v>
      </c>
      <c r="D241" s="2" t="s">
        <v>149</v>
      </c>
      <c r="E241" s="2" t="s">
        <v>962</v>
      </c>
      <c r="F241" s="2" t="s">
        <v>962</v>
      </c>
      <c r="G241" s="2" t="s">
        <v>962</v>
      </c>
      <c r="H241" s="2" t="s">
        <v>962</v>
      </c>
      <c r="I241" s="2" t="s">
        <v>1349</v>
      </c>
      <c r="J241" s="2" t="s">
        <v>1350</v>
      </c>
      <c r="K241" s="2" t="s">
        <v>962</v>
      </c>
      <c r="L241" s="2"/>
      <c r="M241" s="2"/>
      <c r="N241" s="2" t="s">
        <v>171</v>
      </c>
      <c r="O241" s="2">
        <v>1.0</v>
      </c>
      <c r="P241" s="2">
        <v>0.0</v>
      </c>
      <c r="Q241" s="2">
        <v>0.0</v>
      </c>
      <c r="R241" s="2">
        <v>1.0</v>
      </c>
      <c r="S241" s="2">
        <v>1.0</v>
      </c>
      <c r="T241" s="2" t="s">
        <v>1351</v>
      </c>
    </row>
    <row r="242" ht="15.75" customHeight="1">
      <c r="A242" s="2" t="s">
        <v>1352</v>
      </c>
      <c r="B242" s="2" t="s">
        <v>1353</v>
      </c>
      <c r="C242" s="2" t="s">
        <v>444</v>
      </c>
      <c r="D242" s="2" t="s">
        <v>71</v>
      </c>
      <c r="E242" s="2" t="s">
        <v>1354</v>
      </c>
      <c r="F242" s="2" t="s">
        <v>1354</v>
      </c>
      <c r="G242" s="2" t="s">
        <v>1355</v>
      </c>
      <c r="H242" s="2" t="s">
        <v>1355</v>
      </c>
      <c r="I242" s="2" t="s">
        <v>1356</v>
      </c>
      <c r="J242" s="2" t="s">
        <v>1356</v>
      </c>
      <c r="K242" s="2" t="s">
        <v>1355</v>
      </c>
      <c r="L242" s="2"/>
      <c r="M242" s="2"/>
      <c r="N242" s="2" t="s">
        <v>145</v>
      </c>
      <c r="O242" s="2">
        <v>1.0</v>
      </c>
      <c r="P242" s="2">
        <v>0.0</v>
      </c>
      <c r="Q242" s="2">
        <v>0.0</v>
      </c>
      <c r="R242" s="2">
        <v>1.0</v>
      </c>
      <c r="S242" s="2">
        <v>0.0</v>
      </c>
      <c r="T242" s="2" t="s">
        <v>1357</v>
      </c>
    </row>
    <row r="243" ht="15.75" customHeight="1">
      <c r="A243" s="2" t="s">
        <v>1358</v>
      </c>
      <c r="B243" s="2" t="s">
        <v>1353</v>
      </c>
      <c r="C243" s="2" t="s">
        <v>444</v>
      </c>
      <c r="D243" s="2" t="s">
        <v>75</v>
      </c>
      <c r="E243" s="2" t="s">
        <v>1158</v>
      </c>
      <c r="F243" s="2" t="s">
        <v>1158</v>
      </c>
      <c r="G243" s="2" t="s">
        <v>1159</v>
      </c>
      <c r="H243" s="2" t="s">
        <v>1159</v>
      </c>
      <c r="I243" s="2" t="s">
        <v>1359</v>
      </c>
      <c r="J243" s="2" t="s">
        <v>1359</v>
      </c>
      <c r="K243" s="2" t="s">
        <v>1159</v>
      </c>
      <c r="L243" s="2"/>
      <c r="M243" s="2"/>
      <c r="N243" s="2" t="s">
        <v>145</v>
      </c>
      <c r="O243" s="2">
        <v>1.0</v>
      </c>
      <c r="P243" s="2">
        <v>0.0</v>
      </c>
      <c r="Q243" s="2">
        <v>0.0</v>
      </c>
      <c r="R243" s="2">
        <v>1.0</v>
      </c>
      <c r="S243" s="2">
        <v>0.0</v>
      </c>
      <c r="T243" s="2" t="s">
        <v>1360</v>
      </c>
    </row>
    <row r="244" ht="15.75" customHeight="1">
      <c r="A244" s="2" t="s">
        <v>1361</v>
      </c>
      <c r="B244" s="2" t="s">
        <v>1353</v>
      </c>
      <c r="C244" s="2" t="s">
        <v>444</v>
      </c>
      <c r="D244" s="2" t="s">
        <v>118</v>
      </c>
      <c r="E244" s="2" t="s">
        <v>135</v>
      </c>
      <c r="F244" s="2" t="s">
        <v>135</v>
      </c>
      <c r="G244" s="2" t="s">
        <v>135</v>
      </c>
      <c r="H244" s="2" t="s">
        <v>135</v>
      </c>
      <c r="I244" s="2" t="s">
        <v>1362</v>
      </c>
      <c r="J244" s="2" t="s">
        <v>1362</v>
      </c>
      <c r="K244" s="2" t="s">
        <v>135</v>
      </c>
      <c r="L244" s="2"/>
      <c r="M244" s="2"/>
      <c r="N244" s="2" t="s">
        <v>145</v>
      </c>
      <c r="O244" s="2">
        <v>1.0</v>
      </c>
      <c r="P244" s="2">
        <v>0.0</v>
      </c>
      <c r="Q244" s="2">
        <v>0.0</v>
      </c>
      <c r="R244" s="2">
        <v>1.0</v>
      </c>
      <c r="S244" s="2">
        <v>0.0</v>
      </c>
      <c r="T244" s="2" t="s">
        <v>1363</v>
      </c>
    </row>
    <row r="245" ht="15.75" customHeight="1">
      <c r="A245" s="2" t="s">
        <v>1364</v>
      </c>
      <c r="B245" s="2" t="s">
        <v>1353</v>
      </c>
      <c r="C245" s="2" t="s">
        <v>444</v>
      </c>
      <c r="D245" s="2" t="s">
        <v>149</v>
      </c>
      <c r="E245" s="2" t="s">
        <v>962</v>
      </c>
      <c r="F245" s="2" t="s">
        <v>962</v>
      </c>
      <c r="G245" s="2" t="s">
        <v>962</v>
      </c>
      <c r="H245" s="2" t="s">
        <v>962</v>
      </c>
      <c r="I245" s="2" t="s">
        <v>1365</v>
      </c>
      <c r="J245" s="2" t="s">
        <v>1366</v>
      </c>
      <c r="K245" s="2" t="s">
        <v>962</v>
      </c>
      <c r="L245" s="2"/>
      <c r="M245" s="2"/>
      <c r="N245" s="2" t="s">
        <v>171</v>
      </c>
      <c r="O245" s="2">
        <v>1.0</v>
      </c>
      <c r="P245" s="2">
        <v>0.0</v>
      </c>
      <c r="Q245" s="2">
        <v>0.0</v>
      </c>
      <c r="R245" s="2">
        <v>1.0</v>
      </c>
      <c r="S245" s="2">
        <v>1.0</v>
      </c>
      <c r="T245" s="2" t="s">
        <v>1367</v>
      </c>
    </row>
    <row r="246" ht="15.75" customHeight="1">
      <c r="A246" s="2" t="s">
        <v>474</v>
      </c>
      <c r="B246" s="2" t="s">
        <v>476</v>
      </c>
      <c r="C246" s="2" t="s">
        <v>444</v>
      </c>
      <c r="D246" s="2" t="s">
        <v>71</v>
      </c>
      <c r="E246" s="2" t="s">
        <v>479</v>
      </c>
      <c r="F246" s="2" t="s">
        <v>480</v>
      </c>
      <c r="G246" s="2" t="s">
        <v>482</v>
      </c>
      <c r="H246" s="2" t="s">
        <v>483</v>
      </c>
      <c r="I246" s="2" t="s">
        <v>484</v>
      </c>
      <c r="J246" s="2" t="s">
        <v>485</v>
      </c>
      <c r="K246" s="2"/>
      <c r="L246" s="2" t="s">
        <v>482</v>
      </c>
      <c r="M246" s="2" t="s">
        <v>483</v>
      </c>
      <c r="N246" s="2" t="s">
        <v>86</v>
      </c>
      <c r="O246" s="2">
        <v>0.0</v>
      </c>
      <c r="P246" s="2">
        <v>1.0</v>
      </c>
      <c r="Q246" s="2">
        <v>1.0</v>
      </c>
      <c r="R246" s="2">
        <v>0.0</v>
      </c>
      <c r="S246" s="2">
        <v>0.0</v>
      </c>
      <c r="T246" s="2" t="s">
        <v>492</v>
      </c>
    </row>
    <row r="247" ht="15.75" customHeight="1">
      <c r="A247" s="2" t="s">
        <v>1369</v>
      </c>
      <c r="B247" s="2" t="s">
        <v>476</v>
      </c>
      <c r="C247" s="2" t="s">
        <v>444</v>
      </c>
      <c r="D247" s="2" t="s">
        <v>75</v>
      </c>
      <c r="E247" s="2" t="s">
        <v>1158</v>
      </c>
      <c r="F247" s="2" t="s">
        <v>1158</v>
      </c>
      <c r="G247" s="2" t="s">
        <v>1159</v>
      </c>
      <c r="H247" s="2" t="s">
        <v>1159</v>
      </c>
      <c r="I247" s="2" t="s">
        <v>1370</v>
      </c>
      <c r="J247" s="2" t="s">
        <v>1370</v>
      </c>
      <c r="K247" s="2" t="s">
        <v>1159</v>
      </c>
      <c r="L247" s="2"/>
      <c r="M247" s="2"/>
      <c r="N247" s="2" t="s">
        <v>145</v>
      </c>
      <c r="O247" s="2">
        <v>1.0</v>
      </c>
      <c r="P247" s="2">
        <v>0.0</v>
      </c>
      <c r="Q247" s="2">
        <v>0.0</v>
      </c>
      <c r="R247" s="2">
        <v>1.0</v>
      </c>
      <c r="S247" s="2">
        <v>0.0</v>
      </c>
      <c r="T247" s="2" t="s">
        <v>1371</v>
      </c>
    </row>
    <row r="248" ht="15.75" customHeight="1">
      <c r="A248" s="2" t="s">
        <v>1372</v>
      </c>
      <c r="B248" s="2" t="s">
        <v>476</v>
      </c>
      <c r="C248" s="2" t="s">
        <v>444</v>
      </c>
      <c r="D248" s="2" t="s">
        <v>118</v>
      </c>
      <c r="E248" s="2" t="s">
        <v>135</v>
      </c>
      <c r="F248" s="2" t="s">
        <v>135</v>
      </c>
      <c r="G248" s="2" t="s">
        <v>135</v>
      </c>
      <c r="H248" s="2" t="s">
        <v>135</v>
      </c>
      <c r="I248" s="2" t="s">
        <v>1373</v>
      </c>
      <c r="J248" s="2" t="s">
        <v>1373</v>
      </c>
      <c r="K248" s="2" t="s">
        <v>135</v>
      </c>
      <c r="L248" s="2"/>
      <c r="M248" s="2"/>
      <c r="N248" s="2" t="s">
        <v>145</v>
      </c>
      <c r="O248" s="2">
        <v>1.0</v>
      </c>
      <c r="P248" s="2">
        <v>0.0</v>
      </c>
      <c r="Q248" s="2">
        <v>0.0</v>
      </c>
      <c r="R248" s="2">
        <v>1.0</v>
      </c>
      <c r="S248" s="2">
        <v>0.0</v>
      </c>
      <c r="T248" s="2" t="s">
        <v>1374</v>
      </c>
    </row>
    <row r="249" ht="15.75" customHeight="1">
      <c r="A249" s="2" t="s">
        <v>1375</v>
      </c>
      <c r="B249" s="2" t="s">
        <v>476</v>
      </c>
      <c r="C249" s="2" t="s">
        <v>444</v>
      </c>
      <c r="D249" s="2" t="s">
        <v>149</v>
      </c>
      <c r="E249" s="2" t="s">
        <v>962</v>
      </c>
      <c r="F249" s="2" t="s">
        <v>962</v>
      </c>
      <c r="G249" s="2" t="s">
        <v>962</v>
      </c>
      <c r="H249" s="2" t="s">
        <v>962</v>
      </c>
      <c r="I249" s="2" t="s">
        <v>1376</v>
      </c>
      <c r="J249" s="2" t="s">
        <v>1377</v>
      </c>
      <c r="K249" s="2" t="s">
        <v>962</v>
      </c>
      <c r="L249" s="2"/>
      <c r="M249" s="2"/>
      <c r="N249" s="2" t="s">
        <v>171</v>
      </c>
      <c r="O249" s="2">
        <v>1.0</v>
      </c>
      <c r="P249" s="2">
        <v>0.0</v>
      </c>
      <c r="Q249" s="2">
        <v>0.0</v>
      </c>
      <c r="R249" s="2">
        <v>1.0</v>
      </c>
      <c r="S249" s="2">
        <v>1.0</v>
      </c>
      <c r="T249" s="2" t="s">
        <v>1379</v>
      </c>
    </row>
    <row r="250" ht="15.75" customHeight="1">
      <c r="A250" s="2" t="s">
        <v>1380</v>
      </c>
      <c r="B250" s="2" t="s">
        <v>1381</v>
      </c>
      <c r="C250" s="2" t="s">
        <v>444</v>
      </c>
      <c r="D250" s="2" t="s">
        <v>71</v>
      </c>
      <c r="E250" s="2" t="s">
        <v>1382</v>
      </c>
      <c r="F250" s="2" t="s">
        <v>1382</v>
      </c>
      <c r="G250" s="2" t="s">
        <v>1383</v>
      </c>
      <c r="H250" s="2" t="s">
        <v>1383</v>
      </c>
      <c r="I250" s="2" t="s">
        <v>1384</v>
      </c>
      <c r="J250" s="2" t="s">
        <v>1384</v>
      </c>
      <c r="K250" s="2" t="s">
        <v>1383</v>
      </c>
      <c r="L250" s="2"/>
      <c r="M250" s="2"/>
      <c r="N250" s="2" t="s">
        <v>145</v>
      </c>
      <c r="O250" s="2">
        <v>1.0</v>
      </c>
      <c r="P250" s="2">
        <v>0.0</v>
      </c>
      <c r="Q250" s="2">
        <v>0.0</v>
      </c>
      <c r="R250" s="2">
        <v>1.0</v>
      </c>
      <c r="S250" s="2">
        <v>0.0</v>
      </c>
      <c r="T250" s="2" t="s">
        <v>1385</v>
      </c>
    </row>
    <row r="251" ht="15.75" customHeight="1">
      <c r="A251" s="2" t="s">
        <v>1386</v>
      </c>
      <c r="B251" s="2" t="s">
        <v>1381</v>
      </c>
      <c r="C251" s="2" t="s">
        <v>444</v>
      </c>
      <c r="D251" s="2" t="s">
        <v>75</v>
      </c>
      <c r="E251" s="2" t="s">
        <v>1158</v>
      </c>
      <c r="F251" s="2" t="s">
        <v>1158</v>
      </c>
      <c r="G251" s="2" t="s">
        <v>1159</v>
      </c>
      <c r="H251" s="2" t="s">
        <v>1159</v>
      </c>
      <c r="I251" s="2" t="s">
        <v>1387</v>
      </c>
      <c r="J251" s="2" t="s">
        <v>1387</v>
      </c>
      <c r="K251" s="2" t="s">
        <v>1159</v>
      </c>
      <c r="L251" s="2"/>
      <c r="M251" s="2"/>
      <c r="N251" s="2" t="s">
        <v>145</v>
      </c>
      <c r="O251" s="2">
        <v>1.0</v>
      </c>
      <c r="P251" s="2">
        <v>0.0</v>
      </c>
      <c r="Q251" s="2">
        <v>0.0</v>
      </c>
      <c r="R251" s="2">
        <v>1.0</v>
      </c>
      <c r="S251" s="2">
        <v>0.0</v>
      </c>
      <c r="T251" s="2" t="s">
        <v>1388</v>
      </c>
    </row>
    <row r="252" ht="15.75" customHeight="1">
      <c r="A252" s="2" t="s">
        <v>1390</v>
      </c>
      <c r="B252" s="2" t="s">
        <v>1381</v>
      </c>
      <c r="C252" s="2" t="s">
        <v>444</v>
      </c>
      <c r="D252" s="2" t="s">
        <v>118</v>
      </c>
      <c r="E252" s="2" t="s">
        <v>135</v>
      </c>
      <c r="F252" s="2" t="s">
        <v>135</v>
      </c>
      <c r="G252" s="2" t="s">
        <v>135</v>
      </c>
      <c r="H252" s="2" t="s">
        <v>135</v>
      </c>
      <c r="I252" s="2" t="s">
        <v>1391</v>
      </c>
      <c r="J252" s="2" t="s">
        <v>1391</v>
      </c>
      <c r="K252" s="2" t="s">
        <v>135</v>
      </c>
      <c r="L252" s="2"/>
      <c r="M252" s="2"/>
      <c r="N252" s="2" t="s">
        <v>145</v>
      </c>
      <c r="O252" s="2">
        <v>1.0</v>
      </c>
      <c r="P252" s="2">
        <v>0.0</v>
      </c>
      <c r="Q252" s="2">
        <v>0.0</v>
      </c>
      <c r="R252" s="2">
        <v>1.0</v>
      </c>
      <c r="S252" s="2">
        <v>0.0</v>
      </c>
      <c r="T252" s="2" t="s">
        <v>1392</v>
      </c>
    </row>
    <row r="253" ht="15.75" customHeight="1">
      <c r="A253" s="2" t="s">
        <v>1393</v>
      </c>
      <c r="B253" s="2" t="s">
        <v>1381</v>
      </c>
      <c r="C253" s="2" t="s">
        <v>444</v>
      </c>
      <c r="D253" s="2" t="s">
        <v>149</v>
      </c>
      <c r="E253" s="2" t="s">
        <v>962</v>
      </c>
      <c r="F253" s="2" t="s">
        <v>962</v>
      </c>
      <c r="G253" s="2" t="s">
        <v>962</v>
      </c>
      <c r="H253" s="2" t="s">
        <v>962</v>
      </c>
      <c r="I253" s="2" t="s">
        <v>1394</v>
      </c>
      <c r="J253" s="2" t="s">
        <v>1395</v>
      </c>
      <c r="K253" s="2" t="s">
        <v>962</v>
      </c>
      <c r="L253" s="2"/>
      <c r="M253" s="2"/>
      <c r="N253" s="2" t="s">
        <v>171</v>
      </c>
      <c r="O253" s="2">
        <v>1.0</v>
      </c>
      <c r="P253" s="2">
        <v>0.0</v>
      </c>
      <c r="Q253" s="2">
        <v>0.0</v>
      </c>
      <c r="R253" s="2">
        <v>1.0</v>
      </c>
      <c r="S253" s="2">
        <v>1.0</v>
      </c>
      <c r="T253" s="2" t="s">
        <v>1396</v>
      </c>
    </row>
    <row r="254" ht="15.75" customHeight="1">
      <c r="A254" s="2" t="s">
        <v>1397</v>
      </c>
      <c r="B254" s="2" t="s">
        <v>1398</v>
      </c>
      <c r="C254" s="2" t="s">
        <v>444</v>
      </c>
      <c r="D254" s="2" t="s">
        <v>71</v>
      </c>
      <c r="E254" s="2" t="s">
        <v>1172</v>
      </c>
      <c r="F254" s="2" t="s">
        <v>1172</v>
      </c>
      <c r="G254" s="2" t="s">
        <v>1173</v>
      </c>
      <c r="H254" s="2" t="s">
        <v>1173</v>
      </c>
      <c r="I254" s="2" t="s">
        <v>1174</v>
      </c>
      <c r="J254" s="2" t="s">
        <v>1174</v>
      </c>
      <c r="K254" s="2" t="s">
        <v>1173</v>
      </c>
      <c r="L254" s="2"/>
      <c r="M254" s="2"/>
      <c r="N254" s="2" t="s">
        <v>145</v>
      </c>
      <c r="O254" s="2">
        <v>1.0</v>
      </c>
      <c r="P254" s="2">
        <v>0.0</v>
      </c>
      <c r="Q254" s="2">
        <v>0.0</v>
      </c>
      <c r="R254" s="2">
        <v>1.0</v>
      </c>
      <c r="S254" s="2">
        <v>0.0</v>
      </c>
      <c r="T254" s="2" t="s">
        <v>1399</v>
      </c>
    </row>
    <row r="255" ht="15.75" customHeight="1">
      <c r="A255" s="2" t="s">
        <v>1400</v>
      </c>
      <c r="B255" s="2" t="s">
        <v>1398</v>
      </c>
      <c r="C255" s="2" t="s">
        <v>444</v>
      </c>
      <c r="D255" s="2" t="s">
        <v>75</v>
      </c>
      <c r="E255" s="2" t="s">
        <v>1158</v>
      </c>
      <c r="F255" s="2" t="s">
        <v>1158</v>
      </c>
      <c r="G255" s="2" t="s">
        <v>1159</v>
      </c>
      <c r="H255" s="2" t="s">
        <v>1159</v>
      </c>
      <c r="I255" s="2" t="s">
        <v>1401</v>
      </c>
      <c r="J255" s="2" t="s">
        <v>1401</v>
      </c>
      <c r="K255" s="2" t="s">
        <v>1159</v>
      </c>
      <c r="L255" s="2"/>
      <c r="M255" s="2"/>
      <c r="N255" s="2" t="s">
        <v>145</v>
      </c>
      <c r="O255" s="2">
        <v>1.0</v>
      </c>
      <c r="P255" s="2">
        <v>0.0</v>
      </c>
      <c r="Q255" s="2">
        <v>0.0</v>
      </c>
      <c r="R255" s="2">
        <v>1.0</v>
      </c>
      <c r="S255" s="2">
        <v>0.0</v>
      </c>
      <c r="T255" s="2" t="s">
        <v>1402</v>
      </c>
    </row>
    <row r="256" ht="15.75" customHeight="1">
      <c r="A256" s="2" t="s">
        <v>1403</v>
      </c>
      <c r="B256" s="2" t="s">
        <v>1398</v>
      </c>
      <c r="C256" s="2" t="s">
        <v>444</v>
      </c>
      <c r="D256" s="2" t="s">
        <v>118</v>
      </c>
      <c r="E256" s="2" t="s">
        <v>135</v>
      </c>
      <c r="F256" s="2" t="s">
        <v>135</v>
      </c>
      <c r="G256" s="2" t="s">
        <v>135</v>
      </c>
      <c r="H256" s="2" t="s">
        <v>135</v>
      </c>
      <c r="I256" s="2" t="s">
        <v>1405</v>
      </c>
      <c r="J256" s="2" t="s">
        <v>1406</v>
      </c>
      <c r="K256" s="2" t="s">
        <v>135</v>
      </c>
      <c r="L256" s="2"/>
      <c r="M256" s="2"/>
      <c r="N256" s="2" t="s">
        <v>171</v>
      </c>
      <c r="O256" s="2">
        <v>1.0</v>
      </c>
      <c r="P256" s="2">
        <v>0.0</v>
      </c>
      <c r="Q256" s="2">
        <v>0.0</v>
      </c>
      <c r="R256" s="2">
        <v>1.0</v>
      </c>
      <c r="S256" s="2">
        <v>1.0</v>
      </c>
      <c r="T256" s="2" t="s">
        <v>1407</v>
      </c>
    </row>
    <row r="257" ht="15.75" customHeight="1">
      <c r="A257" s="2" t="s">
        <v>1408</v>
      </c>
      <c r="B257" s="2" t="s">
        <v>1398</v>
      </c>
      <c r="C257" s="2" t="s">
        <v>444</v>
      </c>
      <c r="D257" s="2" t="s">
        <v>149</v>
      </c>
      <c r="E257" s="2" t="s">
        <v>962</v>
      </c>
      <c r="F257" s="2" t="s">
        <v>962</v>
      </c>
      <c r="G257" s="2" t="s">
        <v>962</v>
      </c>
      <c r="H257" s="2" t="s">
        <v>962</v>
      </c>
      <c r="I257" s="2" t="s">
        <v>1409</v>
      </c>
      <c r="J257" s="2" t="s">
        <v>1410</v>
      </c>
      <c r="K257" s="2" t="s">
        <v>962</v>
      </c>
      <c r="L257" s="2"/>
      <c r="M257" s="2"/>
      <c r="N257" s="2" t="s">
        <v>171</v>
      </c>
      <c r="O257" s="2">
        <v>1.0</v>
      </c>
      <c r="P257" s="2">
        <v>0.0</v>
      </c>
      <c r="Q257" s="2">
        <v>0.0</v>
      </c>
      <c r="R257" s="2">
        <v>1.0</v>
      </c>
      <c r="S257" s="2">
        <v>1.0</v>
      </c>
      <c r="T257" s="2" t="s">
        <v>1411</v>
      </c>
    </row>
    <row r="258" ht="15.75" customHeight="1">
      <c r="A258" s="2" t="s">
        <v>1412</v>
      </c>
      <c r="B258" s="2" t="s">
        <v>1413</v>
      </c>
      <c r="C258" s="2" t="s">
        <v>444</v>
      </c>
      <c r="D258" s="2" t="s">
        <v>71</v>
      </c>
      <c r="E258" s="2" t="s">
        <v>1414</v>
      </c>
      <c r="F258" s="2" t="s">
        <v>1414</v>
      </c>
      <c r="G258" s="2" t="s">
        <v>1415</v>
      </c>
      <c r="H258" s="2" t="s">
        <v>1415</v>
      </c>
      <c r="I258" s="2" t="s">
        <v>1416</v>
      </c>
      <c r="J258" s="2" t="s">
        <v>1416</v>
      </c>
      <c r="K258" s="2" t="s">
        <v>1415</v>
      </c>
      <c r="L258" s="2"/>
      <c r="M258" s="2"/>
      <c r="N258" s="2" t="s">
        <v>145</v>
      </c>
      <c r="O258" s="2">
        <v>1.0</v>
      </c>
      <c r="P258" s="2">
        <v>0.0</v>
      </c>
      <c r="Q258" s="2">
        <v>0.0</v>
      </c>
      <c r="R258" s="2">
        <v>1.0</v>
      </c>
      <c r="S258" s="2">
        <v>0.0</v>
      </c>
      <c r="T258" s="2" t="s">
        <v>1417</v>
      </c>
    </row>
    <row r="259" ht="15.75" customHeight="1">
      <c r="A259" s="2" t="s">
        <v>1418</v>
      </c>
      <c r="B259" s="2" t="s">
        <v>1413</v>
      </c>
      <c r="C259" s="2" t="s">
        <v>444</v>
      </c>
      <c r="D259" s="2" t="s">
        <v>75</v>
      </c>
      <c r="E259" s="2" t="s">
        <v>1158</v>
      </c>
      <c r="F259" s="2" t="s">
        <v>1158</v>
      </c>
      <c r="G259" s="2" t="s">
        <v>1159</v>
      </c>
      <c r="H259" s="2" t="s">
        <v>1159</v>
      </c>
      <c r="I259" s="2" t="s">
        <v>1419</v>
      </c>
      <c r="J259" s="2" t="s">
        <v>1419</v>
      </c>
      <c r="K259" s="2" t="s">
        <v>1159</v>
      </c>
      <c r="L259" s="2"/>
      <c r="M259" s="2"/>
      <c r="N259" s="2" t="s">
        <v>145</v>
      </c>
      <c r="O259" s="2">
        <v>1.0</v>
      </c>
      <c r="P259" s="2">
        <v>0.0</v>
      </c>
      <c r="Q259" s="2">
        <v>0.0</v>
      </c>
      <c r="R259" s="2">
        <v>1.0</v>
      </c>
      <c r="S259" s="2">
        <v>0.0</v>
      </c>
      <c r="T259" s="2" t="s">
        <v>1420</v>
      </c>
    </row>
    <row r="260" ht="15.75" customHeight="1">
      <c r="A260" s="2" t="s">
        <v>1421</v>
      </c>
      <c r="B260" s="2" t="s">
        <v>1413</v>
      </c>
      <c r="C260" s="2" t="s">
        <v>444</v>
      </c>
      <c r="D260" s="2" t="s">
        <v>118</v>
      </c>
      <c r="E260" s="2" t="s">
        <v>135</v>
      </c>
      <c r="F260" s="2" t="s">
        <v>135</v>
      </c>
      <c r="G260" s="2" t="s">
        <v>135</v>
      </c>
      <c r="H260" s="2" t="s">
        <v>135</v>
      </c>
      <c r="I260" s="2" t="s">
        <v>1422</v>
      </c>
      <c r="J260" s="2" t="s">
        <v>1422</v>
      </c>
      <c r="K260" s="2" t="s">
        <v>135</v>
      </c>
      <c r="L260" s="2"/>
      <c r="M260" s="2"/>
      <c r="N260" s="2" t="s">
        <v>145</v>
      </c>
      <c r="O260" s="2">
        <v>1.0</v>
      </c>
      <c r="P260" s="2">
        <v>0.0</v>
      </c>
      <c r="Q260" s="2">
        <v>0.0</v>
      </c>
      <c r="R260" s="2">
        <v>1.0</v>
      </c>
      <c r="S260" s="2">
        <v>0.0</v>
      </c>
      <c r="T260" s="2" t="s">
        <v>1424</v>
      </c>
    </row>
    <row r="261" ht="15.75" customHeight="1">
      <c r="A261" s="2" t="s">
        <v>1425</v>
      </c>
      <c r="B261" s="2" t="s">
        <v>1413</v>
      </c>
      <c r="C261" s="2" t="s">
        <v>444</v>
      </c>
      <c r="D261" s="2" t="s">
        <v>149</v>
      </c>
      <c r="E261" s="2" t="s">
        <v>962</v>
      </c>
      <c r="F261" s="2" t="s">
        <v>962</v>
      </c>
      <c r="G261" s="2" t="s">
        <v>962</v>
      </c>
      <c r="H261" s="2" t="s">
        <v>962</v>
      </c>
      <c r="I261" s="2" t="s">
        <v>1426</v>
      </c>
      <c r="J261" s="2" t="s">
        <v>1427</v>
      </c>
      <c r="K261" s="2" t="s">
        <v>962</v>
      </c>
      <c r="L261" s="2"/>
      <c r="M261" s="2"/>
      <c r="N261" s="2" t="s">
        <v>171</v>
      </c>
      <c r="O261" s="2">
        <v>1.0</v>
      </c>
      <c r="P261" s="2">
        <v>0.0</v>
      </c>
      <c r="Q261" s="2">
        <v>0.0</v>
      </c>
      <c r="R261" s="2">
        <v>1.0</v>
      </c>
      <c r="S261" s="2">
        <v>1.0</v>
      </c>
      <c r="T261" s="2" t="s">
        <v>1428</v>
      </c>
    </row>
    <row r="262" ht="15.75" customHeight="1">
      <c r="A262" s="2" t="s">
        <v>1429</v>
      </c>
      <c r="B262" s="2" t="s">
        <v>1430</v>
      </c>
      <c r="C262" s="2" t="s">
        <v>444</v>
      </c>
      <c r="D262" s="2" t="s">
        <v>71</v>
      </c>
      <c r="E262" s="2" t="s">
        <v>1431</v>
      </c>
      <c r="F262" s="2" t="s">
        <v>1431</v>
      </c>
      <c r="G262" s="2" t="s">
        <v>1432</v>
      </c>
      <c r="H262" s="2" t="s">
        <v>1432</v>
      </c>
      <c r="I262" s="2" t="s">
        <v>1433</v>
      </c>
      <c r="J262" s="2" t="s">
        <v>1433</v>
      </c>
      <c r="K262" s="2" t="s">
        <v>1432</v>
      </c>
      <c r="L262" s="2"/>
      <c r="M262" s="2"/>
      <c r="N262" s="2" t="s">
        <v>145</v>
      </c>
      <c r="O262" s="2">
        <v>1.0</v>
      </c>
      <c r="P262" s="2">
        <v>0.0</v>
      </c>
      <c r="Q262" s="2">
        <v>0.0</v>
      </c>
      <c r="R262" s="2">
        <v>1.0</v>
      </c>
      <c r="S262" s="2">
        <v>0.0</v>
      </c>
      <c r="T262" s="2" t="s">
        <v>1434</v>
      </c>
    </row>
    <row r="263" ht="15.75" customHeight="1">
      <c r="A263" s="2" t="s">
        <v>1435</v>
      </c>
      <c r="B263" s="2" t="s">
        <v>1430</v>
      </c>
      <c r="C263" s="2" t="s">
        <v>444</v>
      </c>
      <c r="D263" s="2" t="s">
        <v>75</v>
      </c>
      <c r="E263" s="2" t="s">
        <v>1158</v>
      </c>
      <c r="F263" s="2" t="s">
        <v>1158</v>
      </c>
      <c r="G263" s="2" t="s">
        <v>1159</v>
      </c>
      <c r="H263" s="2" t="s">
        <v>1159</v>
      </c>
      <c r="I263" s="2" t="s">
        <v>1436</v>
      </c>
      <c r="J263" s="2" t="s">
        <v>1436</v>
      </c>
      <c r="K263" s="2" t="s">
        <v>1159</v>
      </c>
      <c r="L263" s="2"/>
      <c r="M263" s="2"/>
      <c r="N263" s="2" t="s">
        <v>145</v>
      </c>
      <c r="O263" s="2">
        <v>1.0</v>
      </c>
      <c r="P263" s="2">
        <v>0.0</v>
      </c>
      <c r="Q263" s="2">
        <v>0.0</v>
      </c>
      <c r="R263" s="2">
        <v>1.0</v>
      </c>
      <c r="S263" s="2">
        <v>0.0</v>
      </c>
      <c r="T263" s="2" t="s">
        <v>1437</v>
      </c>
    </row>
    <row r="264" ht="15.75" customHeight="1">
      <c r="A264" s="2" t="s">
        <v>1438</v>
      </c>
      <c r="B264" s="2" t="s">
        <v>1430</v>
      </c>
      <c r="C264" s="2" t="s">
        <v>444</v>
      </c>
      <c r="D264" s="2" t="s">
        <v>118</v>
      </c>
      <c r="E264" s="2" t="s">
        <v>135</v>
      </c>
      <c r="F264" s="2" t="s">
        <v>135</v>
      </c>
      <c r="G264" s="2" t="s">
        <v>135</v>
      </c>
      <c r="H264" s="2" t="s">
        <v>135</v>
      </c>
      <c r="I264" s="2" t="s">
        <v>1440</v>
      </c>
      <c r="J264" s="2" t="s">
        <v>1440</v>
      </c>
      <c r="K264" s="2" t="s">
        <v>135</v>
      </c>
      <c r="L264" s="2"/>
      <c r="M264" s="2"/>
      <c r="N264" s="2" t="s">
        <v>145</v>
      </c>
      <c r="O264" s="2">
        <v>1.0</v>
      </c>
      <c r="P264" s="2">
        <v>0.0</v>
      </c>
      <c r="Q264" s="2">
        <v>0.0</v>
      </c>
      <c r="R264" s="2">
        <v>1.0</v>
      </c>
      <c r="S264" s="2">
        <v>0.0</v>
      </c>
      <c r="T264" s="2" t="s">
        <v>1441</v>
      </c>
    </row>
    <row r="265" ht="15.75" customHeight="1">
      <c r="A265" s="2" t="s">
        <v>1442</v>
      </c>
      <c r="B265" s="2" t="s">
        <v>1430</v>
      </c>
      <c r="C265" s="2" t="s">
        <v>444</v>
      </c>
      <c r="D265" s="2" t="s">
        <v>149</v>
      </c>
      <c r="E265" s="2" t="s">
        <v>962</v>
      </c>
      <c r="F265" s="2" t="s">
        <v>962</v>
      </c>
      <c r="G265" s="2" t="s">
        <v>962</v>
      </c>
      <c r="H265" s="2" t="s">
        <v>962</v>
      </c>
      <c r="I265" s="2" t="s">
        <v>1443</v>
      </c>
      <c r="J265" s="2" t="s">
        <v>1444</v>
      </c>
      <c r="K265" s="2" t="s">
        <v>962</v>
      </c>
      <c r="L265" s="2"/>
      <c r="M265" s="2"/>
      <c r="N265" s="2" t="s">
        <v>171</v>
      </c>
      <c r="O265" s="2">
        <v>1.0</v>
      </c>
      <c r="P265" s="2">
        <v>0.0</v>
      </c>
      <c r="Q265" s="2">
        <v>0.0</v>
      </c>
      <c r="R265" s="2">
        <v>1.0</v>
      </c>
      <c r="S265" s="2">
        <v>1.0</v>
      </c>
      <c r="T265" s="2" t="s">
        <v>1445</v>
      </c>
    </row>
    <row r="266" ht="15.75" customHeight="1">
      <c r="A266" s="2" t="s">
        <v>1446</v>
      </c>
      <c r="B266" s="2" t="s">
        <v>1447</v>
      </c>
      <c r="C266" s="2" t="s">
        <v>444</v>
      </c>
      <c r="D266" s="2" t="s">
        <v>71</v>
      </c>
      <c r="E266" s="2" t="s">
        <v>1448</v>
      </c>
      <c r="F266" s="2" t="s">
        <v>1448</v>
      </c>
      <c r="G266" s="2" t="s">
        <v>1449</v>
      </c>
      <c r="H266" s="2" t="s">
        <v>1449</v>
      </c>
      <c r="I266" s="2" t="s">
        <v>1450</v>
      </c>
      <c r="J266" s="2" t="s">
        <v>1450</v>
      </c>
      <c r="K266" s="2" t="s">
        <v>1449</v>
      </c>
      <c r="L266" s="2"/>
      <c r="M266" s="2"/>
      <c r="N266" s="2" t="s">
        <v>145</v>
      </c>
      <c r="O266" s="2">
        <v>1.0</v>
      </c>
      <c r="P266" s="2">
        <v>0.0</v>
      </c>
      <c r="Q266" s="2">
        <v>0.0</v>
      </c>
      <c r="R266" s="2">
        <v>1.0</v>
      </c>
      <c r="S266" s="2">
        <v>0.0</v>
      </c>
      <c r="T266" s="2" t="s">
        <v>1451</v>
      </c>
    </row>
    <row r="267" ht="15.75" customHeight="1">
      <c r="A267" s="2" t="s">
        <v>1452</v>
      </c>
      <c r="B267" s="2" t="s">
        <v>1447</v>
      </c>
      <c r="C267" s="2" t="s">
        <v>444</v>
      </c>
      <c r="D267" s="2" t="s">
        <v>75</v>
      </c>
      <c r="E267" s="2" t="s">
        <v>1158</v>
      </c>
      <c r="F267" s="2" t="s">
        <v>1158</v>
      </c>
      <c r="G267" s="2" t="s">
        <v>1159</v>
      </c>
      <c r="H267" s="2" t="s">
        <v>1159</v>
      </c>
      <c r="I267" s="2" t="s">
        <v>1453</v>
      </c>
      <c r="J267" s="2" t="s">
        <v>1453</v>
      </c>
      <c r="K267" s="2" t="s">
        <v>1159</v>
      </c>
      <c r="L267" s="2"/>
      <c r="M267" s="2"/>
      <c r="N267" s="2" t="s">
        <v>145</v>
      </c>
      <c r="O267" s="2">
        <v>1.0</v>
      </c>
      <c r="P267" s="2">
        <v>0.0</v>
      </c>
      <c r="Q267" s="2">
        <v>0.0</v>
      </c>
      <c r="R267" s="2">
        <v>1.0</v>
      </c>
      <c r="S267" s="2">
        <v>0.0</v>
      </c>
      <c r="T267" s="2" t="s">
        <v>1454</v>
      </c>
    </row>
    <row r="268" ht="15.75" customHeight="1">
      <c r="A268" s="2" t="s">
        <v>1455</v>
      </c>
      <c r="B268" s="2" t="s">
        <v>1447</v>
      </c>
      <c r="C268" s="2" t="s">
        <v>444</v>
      </c>
      <c r="D268" s="2" t="s">
        <v>118</v>
      </c>
      <c r="E268" s="2" t="s">
        <v>135</v>
      </c>
      <c r="F268" s="2" t="s">
        <v>135</v>
      </c>
      <c r="G268" s="2" t="s">
        <v>135</v>
      </c>
      <c r="H268" s="2" t="s">
        <v>135</v>
      </c>
      <c r="I268" s="2" t="s">
        <v>1456</v>
      </c>
      <c r="J268" s="2" t="s">
        <v>1456</v>
      </c>
      <c r="K268" s="2" t="s">
        <v>135</v>
      </c>
      <c r="L268" s="2"/>
      <c r="M268" s="2"/>
      <c r="N268" s="2" t="s">
        <v>145</v>
      </c>
      <c r="O268" s="2">
        <v>1.0</v>
      </c>
      <c r="P268" s="2">
        <v>0.0</v>
      </c>
      <c r="Q268" s="2">
        <v>0.0</v>
      </c>
      <c r="R268" s="2">
        <v>1.0</v>
      </c>
      <c r="S268" s="2">
        <v>0.0</v>
      </c>
      <c r="T268" s="2" t="s">
        <v>1457</v>
      </c>
    </row>
    <row r="269" ht="15.75" customHeight="1">
      <c r="A269" s="2" t="s">
        <v>1458</v>
      </c>
      <c r="B269" s="2" t="s">
        <v>1447</v>
      </c>
      <c r="C269" s="2" t="s">
        <v>444</v>
      </c>
      <c r="D269" s="2" t="s">
        <v>149</v>
      </c>
      <c r="E269" s="2" t="s">
        <v>962</v>
      </c>
      <c r="F269" s="2" t="s">
        <v>962</v>
      </c>
      <c r="G269" s="2" t="s">
        <v>962</v>
      </c>
      <c r="H269" s="2" t="s">
        <v>962</v>
      </c>
      <c r="I269" s="2" t="s">
        <v>1459</v>
      </c>
      <c r="J269" s="2" t="s">
        <v>1460</v>
      </c>
      <c r="K269" s="2" t="s">
        <v>962</v>
      </c>
      <c r="L269" s="2"/>
      <c r="M269" s="2"/>
      <c r="N269" s="2" t="s">
        <v>171</v>
      </c>
      <c r="O269" s="2">
        <v>1.0</v>
      </c>
      <c r="P269" s="2">
        <v>0.0</v>
      </c>
      <c r="Q269" s="2">
        <v>0.0</v>
      </c>
      <c r="R269" s="2">
        <v>1.0</v>
      </c>
      <c r="S269" s="2">
        <v>1.0</v>
      </c>
      <c r="T269" s="2" t="s">
        <v>1461</v>
      </c>
    </row>
    <row r="270" ht="15.75" customHeight="1">
      <c r="A270" s="2" t="s">
        <v>1462</v>
      </c>
      <c r="B270" s="2" t="s">
        <v>1463</v>
      </c>
      <c r="C270" s="2" t="s">
        <v>519</v>
      </c>
      <c r="D270" s="2" t="s">
        <v>71</v>
      </c>
      <c r="E270" s="2" t="s">
        <v>1464</v>
      </c>
      <c r="F270" s="2" t="s">
        <v>1464</v>
      </c>
      <c r="G270" s="2" t="s">
        <v>1465</v>
      </c>
      <c r="H270" s="2" t="s">
        <v>1465</v>
      </c>
      <c r="I270" s="2" t="s">
        <v>1467</v>
      </c>
      <c r="J270" s="2" t="s">
        <v>1467</v>
      </c>
      <c r="K270" s="2" t="s">
        <v>1465</v>
      </c>
      <c r="L270" s="2"/>
      <c r="M270" s="2"/>
      <c r="N270" s="2" t="s">
        <v>145</v>
      </c>
      <c r="O270" s="2">
        <v>1.0</v>
      </c>
      <c r="P270" s="2">
        <v>0.0</v>
      </c>
      <c r="Q270" s="2">
        <v>0.0</v>
      </c>
      <c r="R270" s="2">
        <v>1.0</v>
      </c>
      <c r="S270" s="2">
        <v>0.0</v>
      </c>
      <c r="T270" s="2" t="s">
        <v>1468</v>
      </c>
    </row>
    <row r="271" ht="15.75" customHeight="1">
      <c r="A271" s="2" t="s">
        <v>1469</v>
      </c>
      <c r="B271" s="2" t="s">
        <v>1463</v>
      </c>
      <c r="C271" s="2" t="s">
        <v>519</v>
      </c>
      <c r="D271" s="2" t="s">
        <v>75</v>
      </c>
      <c r="E271" s="2" t="s">
        <v>1470</v>
      </c>
      <c r="F271" s="2" t="s">
        <v>1471</v>
      </c>
      <c r="G271" s="2" t="s">
        <v>524</v>
      </c>
      <c r="H271" s="2" t="s">
        <v>524</v>
      </c>
      <c r="I271" s="2" t="s">
        <v>1472</v>
      </c>
      <c r="J271" s="2" t="s">
        <v>1473</v>
      </c>
      <c r="K271" s="2" t="s">
        <v>524</v>
      </c>
      <c r="L271" s="2"/>
      <c r="M271" s="2"/>
      <c r="N271" s="2" t="s">
        <v>171</v>
      </c>
      <c r="O271" s="2">
        <v>1.0</v>
      </c>
      <c r="P271" s="2">
        <v>0.0</v>
      </c>
      <c r="Q271" s="2">
        <v>0.0</v>
      </c>
      <c r="R271" s="2">
        <v>1.0</v>
      </c>
      <c r="S271" s="2">
        <v>1.0</v>
      </c>
      <c r="T271" s="2" t="s">
        <v>1475</v>
      </c>
    </row>
    <row r="272" ht="15.75" customHeight="1">
      <c r="A272" s="2" t="s">
        <v>1476</v>
      </c>
      <c r="B272" s="2" t="s">
        <v>1463</v>
      </c>
      <c r="C272" s="2" t="s">
        <v>519</v>
      </c>
      <c r="D272" s="2" t="s">
        <v>118</v>
      </c>
      <c r="E272" s="2" t="s">
        <v>1477</v>
      </c>
      <c r="F272" s="2" t="s">
        <v>1477</v>
      </c>
      <c r="G272" s="2" t="s">
        <v>1477</v>
      </c>
      <c r="H272" s="2" t="s">
        <v>1477</v>
      </c>
      <c r="I272" s="2" t="s">
        <v>1478</v>
      </c>
      <c r="J272" s="2" t="s">
        <v>1479</v>
      </c>
      <c r="K272" s="2" t="s">
        <v>1477</v>
      </c>
      <c r="L272" s="2"/>
      <c r="M272" s="2"/>
      <c r="N272" s="2" t="s">
        <v>171</v>
      </c>
      <c r="O272" s="2">
        <v>1.0</v>
      </c>
      <c r="P272" s="2">
        <v>0.0</v>
      </c>
      <c r="Q272" s="2">
        <v>0.0</v>
      </c>
      <c r="R272" s="2">
        <v>1.0</v>
      </c>
      <c r="S272" s="2">
        <v>1.0</v>
      </c>
      <c r="T272" s="2" t="s">
        <v>1480</v>
      </c>
    </row>
    <row r="273" ht="15.75" customHeight="1">
      <c r="A273" s="2" t="s">
        <v>1481</v>
      </c>
      <c r="B273" s="2" t="s">
        <v>1463</v>
      </c>
      <c r="C273" s="2" t="s">
        <v>519</v>
      </c>
      <c r="D273" s="2" t="s">
        <v>149</v>
      </c>
      <c r="E273" s="2" t="s">
        <v>1096</v>
      </c>
      <c r="F273" s="2" t="s">
        <v>1096</v>
      </c>
      <c r="G273" s="2" t="s">
        <v>1096</v>
      </c>
      <c r="H273" s="2" t="s">
        <v>1096</v>
      </c>
      <c r="I273" s="2" t="s">
        <v>1482</v>
      </c>
      <c r="J273" s="2" t="s">
        <v>1482</v>
      </c>
      <c r="K273" s="2" t="s">
        <v>1096</v>
      </c>
      <c r="L273" s="2"/>
      <c r="M273" s="2"/>
      <c r="N273" s="2" t="s">
        <v>145</v>
      </c>
      <c r="O273" s="2">
        <v>1.0</v>
      </c>
      <c r="P273" s="2">
        <v>0.0</v>
      </c>
      <c r="Q273" s="2">
        <v>0.0</v>
      </c>
      <c r="R273" s="2">
        <v>1.0</v>
      </c>
      <c r="S273" s="2">
        <v>0.0</v>
      </c>
      <c r="T273" s="2" t="s">
        <v>1484</v>
      </c>
    </row>
    <row r="274" ht="15.75" customHeight="1">
      <c r="A274" s="2" t="s">
        <v>623</v>
      </c>
      <c r="B274" s="2" t="s">
        <v>518</v>
      </c>
      <c r="C274" s="2" t="s">
        <v>519</v>
      </c>
      <c r="D274" s="2" t="s">
        <v>71</v>
      </c>
      <c r="E274" s="2" t="s">
        <v>624</v>
      </c>
      <c r="F274" s="2" t="s">
        <v>625</v>
      </c>
      <c r="G274" s="2" t="s">
        <v>626</v>
      </c>
      <c r="H274" s="2" t="s">
        <v>628</v>
      </c>
      <c r="I274" s="2" t="s">
        <v>630</v>
      </c>
      <c r="J274" s="2" t="s">
        <v>631</v>
      </c>
      <c r="K274" s="2"/>
      <c r="L274" s="2" t="s">
        <v>626</v>
      </c>
      <c r="M274" s="2" t="s">
        <v>628</v>
      </c>
      <c r="N274" s="2" t="s">
        <v>86</v>
      </c>
      <c r="O274" s="2">
        <v>0.0</v>
      </c>
      <c r="P274" s="2">
        <v>1.0</v>
      </c>
      <c r="Q274" s="2">
        <v>1.0</v>
      </c>
      <c r="R274" s="2">
        <v>0.0</v>
      </c>
      <c r="S274" s="2">
        <v>0.0</v>
      </c>
      <c r="T274" s="2" t="s">
        <v>640</v>
      </c>
    </row>
    <row r="275" ht="15.75" customHeight="1">
      <c r="A275" s="2" t="s">
        <v>517</v>
      </c>
      <c r="B275" s="2" t="s">
        <v>518</v>
      </c>
      <c r="C275" s="2" t="s">
        <v>519</v>
      </c>
      <c r="D275" s="2" t="s">
        <v>75</v>
      </c>
      <c r="E275" s="2" t="s">
        <v>522</v>
      </c>
      <c r="F275" s="2" t="s">
        <v>523</v>
      </c>
      <c r="G275" s="2" t="s">
        <v>524</v>
      </c>
      <c r="H275" s="2" t="s">
        <v>525</v>
      </c>
      <c r="I275" s="2" t="s">
        <v>526</v>
      </c>
      <c r="J275" s="2" t="s">
        <v>527</v>
      </c>
      <c r="K275" s="2"/>
      <c r="L275" s="2" t="s">
        <v>524</v>
      </c>
      <c r="M275" s="2" t="s">
        <v>525</v>
      </c>
      <c r="N275" s="2" t="s">
        <v>86</v>
      </c>
      <c r="O275" s="2">
        <v>0.0</v>
      </c>
      <c r="P275" s="2">
        <v>1.0</v>
      </c>
      <c r="Q275" s="2">
        <v>1.0</v>
      </c>
      <c r="R275" s="2">
        <v>0.0</v>
      </c>
      <c r="S275" s="2">
        <v>0.0</v>
      </c>
      <c r="T275" s="2" t="s">
        <v>549</v>
      </c>
    </row>
    <row r="276" ht="15.75" customHeight="1">
      <c r="A276" s="2" t="s">
        <v>1486</v>
      </c>
      <c r="B276" s="2" t="s">
        <v>518</v>
      </c>
      <c r="C276" s="2" t="s">
        <v>519</v>
      </c>
      <c r="D276" s="2" t="s">
        <v>118</v>
      </c>
      <c r="E276" s="2" t="s">
        <v>415</v>
      </c>
      <c r="F276" s="2" t="s">
        <v>415</v>
      </c>
      <c r="G276" s="2" t="s">
        <v>415</v>
      </c>
      <c r="H276" s="2" t="s">
        <v>415</v>
      </c>
      <c r="I276" s="2" t="s">
        <v>1488</v>
      </c>
      <c r="J276" s="2" t="s">
        <v>1489</v>
      </c>
      <c r="K276" s="2" t="s">
        <v>415</v>
      </c>
      <c r="L276" s="2"/>
      <c r="M276" s="2"/>
      <c r="N276" s="2" t="s">
        <v>171</v>
      </c>
      <c r="O276" s="2">
        <v>1.0</v>
      </c>
      <c r="P276" s="2">
        <v>0.0</v>
      </c>
      <c r="Q276" s="2">
        <v>0.0</v>
      </c>
      <c r="R276" s="2">
        <v>1.0</v>
      </c>
      <c r="S276" s="2">
        <v>1.0</v>
      </c>
      <c r="T276" s="2" t="s">
        <v>1490</v>
      </c>
    </row>
    <row r="277" ht="15.75" customHeight="1">
      <c r="A277" s="2" t="s">
        <v>1491</v>
      </c>
      <c r="B277" s="2" t="s">
        <v>518</v>
      </c>
      <c r="C277" s="2" t="s">
        <v>519</v>
      </c>
      <c r="D277" s="2" t="s">
        <v>149</v>
      </c>
      <c r="E277" s="2" t="s">
        <v>1492</v>
      </c>
      <c r="F277" s="2" t="s">
        <v>1492</v>
      </c>
      <c r="G277" s="2" t="s">
        <v>1492</v>
      </c>
      <c r="H277" s="2" t="s">
        <v>1492</v>
      </c>
      <c r="I277" s="2" t="s">
        <v>1493</v>
      </c>
      <c r="J277" s="2" t="s">
        <v>1494</v>
      </c>
      <c r="K277" s="2" t="s">
        <v>1492</v>
      </c>
      <c r="L277" s="2"/>
      <c r="M277" s="2"/>
      <c r="N277" s="2" t="s">
        <v>171</v>
      </c>
      <c r="O277" s="2">
        <v>1.0</v>
      </c>
      <c r="P277" s="2">
        <v>0.0</v>
      </c>
      <c r="Q277" s="2">
        <v>0.0</v>
      </c>
      <c r="R277" s="2">
        <v>1.0</v>
      </c>
      <c r="S277" s="2">
        <v>1.0</v>
      </c>
      <c r="T277" s="2" t="s">
        <v>1495</v>
      </c>
    </row>
    <row r="278" ht="15.75" customHeight="1">
      <c r="A278" s="2" t="s">
        <v>1496</v>
      </c>
      <c r="B278" s="2" t="s">
        <v>1497</v>
      </c>
      <c r="C278" s="2" t="s">
        <v>519</v>
      </c>
      <c r="D278" s="2" t="s">
        <v>71</v>
      </c>
      <c r="E278" s="2" t="s">
        <v>1498</v>
      </c>
      <c r="F278" s="2" t="s">
        <v>1498</v>
      </c>
      <c r="G278" s="2" t="s">
        <v>1499</v>
      </c>
      <c r="H278" s="2" t="s">
        <v>1499</v>
      </c>
      <c r="I278" s="2" t="s">
        <v>1500</v>
      </c>
      <c r="J278" s="2" t="s">
        <v>1500</v>
      </c>
      <c r="K278" s="2" t="s">
        <v>1499</v>
      </c>
      <c r="L278" s="2"/>
      <c r="M278" s="2"/>
      <c r="N278" s="2" t="s">
        <v>145</v>
      </c>
      <c r="O278" s="2">
        <v>1.0</v>
      </c>
      <c r="P278" s="2">
        <v>0.0</v>
      </c>
      <c r="Q278" s="2">
        <v>0.0</v>
      </c>
      <c r="R278" s="2">
        <v>1.0</v>
      </c>
      <c r="S278" s="2">
        <v>0.0</v>
      </c>
      <c r="T278" s="2" t="s">
        <v>1501</v>
      </c>
    </row>
    <row r="279" ht="15.75" customHeight="1">
      <c r="A279" s="2" t="s">
        <v>1502</v>
      </c>
      <c r="B279" s="2" t="s">
        <v>1497</v>
      </c>
      <c r="C279" s="2" t="s">
        <v>519</v>
      </c>
      <c r="D279" s="2" t="s">
        <v>75</v>
      </c>
      <c r="E279" s="2" t="s">
        <v>1470</v>
      </c>
      <c r="F279" s="2" t="s">
        <v>1503</v>
      </c>
      <c r="G279" s="2" t="s">
        <v>524</v>
      </c>
      <c r="H279" s="2" t="s">
        <v>524</v>
      </c>
      <c r="I279" s="2" t="s">
        <v>1504</v>
      </c>
      <c r="J279" s="2" t="s">
        <v>1505</v>
      </c>
      <c r="K279" s="2" t="s">
        <v>524</v>
      </c>
      <c r="L279" s="2"/>
      <c r="M279" s="2"/>
      <c r="N279" s="2" t="s">
        <v>171</v>
      </c>
      <c r="O279" s="2">
        <v>1.0</v>
      </c>
      <c r="P279" s="2">
        <v>0.0</v>
      </c>
      <c r="Q279" s="2">
        <v>0.0</v>
      </c>
      <c r="R279" s="2">
        <v>1.0</v>
      </c>
      <c r="S279" s="2">
        <v>1.0</v>
      </c>
      <c r="T279" s="2" t="s">
        <v>1508</v>
      </c>
    </row>
    <row r="280" ht="15.75" customHeight="1">
      <c r="A280" s="2" t="s">
        <v>1509</v>
      </c>
      <c r="B280" s="2" t="s">
        <v>1497</v>
      </c>
      <c r="C280" s="2" t="s">
        <v>519</v>
      </c>
      <c r="D280" s="2" t="s">
        <v>118</v>
      </c>
      <c r="E280" s="2" t="s">
        <v>415</v>
      </c>
      <c r="F280" s="2" t="s">
        <v>415</v>
      </c>
      <c r="G280" s="2" t="s">
        <v>415</v>
      </c>
      <c r="H280" s="2" t="s">
        <v>415</v>
      </c>
      <c r="I280" s="2" t="s">
        <v>1510</v>
      </c>
      <c r="J280" s="2" t="s">
        <v>1510</v>
      </c>
      <c r="K280" s="2" t="s">
        <v>415</v>
      </c>
      <c r="L280" s="2"/>
      <c r="M280" s="2"/>
      <c r="N280" s="2" t="s">
        <v>145</v>
      </c>
      <c r="O280" s="2">
        <v>1.0</v>
      </c>
      <c r="P280" s="2">
        <v>0.0</v>
      </c>
      <c r="Q280" s="2">
        <v>0.0</v>
      </c>
      <c r="R280" s="2">
        <v>1.0</v>
      </c>
      <c r="S280" s="2">
        <v>0.0</v>
      </c>
      <c r="T280" s="2" t="s">
        <v>1511</v>
      </c>
    </row>
    <row r="281" ht="15.75" customHeight="1">
      <c r="A281" s="2" t="s">
        <v>1512</v>
      </c>
      <c r="B281" s="2" t="s">
        <v>1497</v>
      </c>
      <c r="C281" s="2" t="s">
        <v>519</v>
      </c>
      <c r="D281" s="2" t="s">
        <v>149</v>
      </c>
      <c r="E281" s="2" t="s">
        <v>1492</v>
      </c>
      <c r="F281" s="2" t="s">
        <v>1492</v>
      </c>
      <c r="G281" s="2" t="s">
        <v>1492</v>
      </c>
      <c r="H281" s="2" t="s">
        <v>1492</v>
      </c>
      <c r="I281" s="2" t="s">
        <v>1513</v>
      </c>
      <c r="J281" s="2" t="s">
        <v>1513</v>
      </c>
      <c r="K281" s="2" t="s">
        <v>1492</v>
      </c>
      <c r="L281" s="2"/>
      <c r="M281" s="2"/>
      <c r="N281" s="2" t="s">
        <v>145</v>
      </c>
      <c r="O281" s="2">
        <v>1.0</v>
      </c>
      <c r="P281" s="2">
        <v>0.0</v>
      </c>
      <c r="Q281" s="2">
        <v>0.0</v>
      </c>
      <c r="R281" s="2">
        <v>1.0</v>
      </c>
      <c r="S281" s="2">
        <v>0.0</v>
      </c>
      <c r="T281" s="2" t="s">
        <v>1514</v>
      </c>
    </row>
    <row r="282" ht="15.75" customHeight="1">
      <c r="A282" s="2" t="s">
        <v>550</v>
      </c>
      <c r="B282" s="2" t="s">
        <v>552</v>
      </c>
      <c r="C282" s="2" t="s">
        <v>519</v>
      </c>
      <c r="D282" s="2" t="s">
        <v>71</v>
      </c>
      <c r="E282" s="2" t="s">
        <v>553</v>
      </c>
      <c r="F282" s="2" t="s">
        <v>554</v>
      </c>
      <c r="G282" s="2" t="s">
        <v>553</v>
      </c>
      <c r="H282" s="2" t="s">
        <v>555</v>
      </c>
      <c r="I282" s="2" t="s">
        <v>556</v>
      </c>
      <c r="J282" s="2" t="s">
        <v>557</v>
      </c>
      <c r="K282" s="2"/>
      <c r="L282" s="2" t="s">
        <v>553</v>
      </c>
      <c r="M282" s="2" t="s">
        <v>555</v>
      </c>
      <c r="N282" s="2" t="s">
        <v>105</v>
      </c>
      <c r="O282" s="2">
        <v>0.0</v>
      </c>
      <c r="P282" s="2">
        <v>1.0</v>
      </c>
      <c r="Q282" s="2">
        <v>1.0</v>
      </c>
      <c r="R282" s="2">
        <v>0.0</v>
      </c>
      <c r="S282" s="2">
        <v>0.0</v>
      </c>
      <c r="T282" s="2" t="s">
        <v>573</v>
      </c>
    </row>
    <row r="283" ht="15.75" customHeight="1">
      <c r="A283" s="2" t="s">
        <v>1517</v>
      </c>
      <c r="B283" s="2" t="s">
        <v>552</v>
      </c>
      <c r="C283" s="2" t="s">
        <v>519</v>
      </c>
      <c r="D283" s="2" t="s">
        <v>75</v>
      </c>
      <c r="E283" s="2" t="s">
        <v>1470</v>
      </c>
      <c r="F283" s="2" t="s">
        <v>1503</v>
      </c>
      <c r="G283" s="2" t="s">
        <v>524</v>
      </c>
      <c r="H283" s="2" t="s">
        <v>524</v>
      </c>
      <c r="I283" s="2" t="s">
        <v>1519</v>
      </c>
      <c r="J283" s="2" t="s">
        <v>1520</v>
      </c>
      <c r="K283" s="2" t="s">
        <v>524</v>
      </c>
      <c r="L283" s="2"/>
      <c r="M283" s="2"/>
      <c r="N283" s="2" t="s">
        <v>171</v>
      </c>
      <c r="O283" s="2">
        <v>1.0</v>
      </c>
      <c r="P283" s="2">
        <v>0.0</v>
      </c>
      <c r="Q283" s="2">
        <v>0.0</v>
      </c>
      <c r="R283" s="2">
        <v>1.0</v>
      </c>
      <c r="S283" s="2">
        <v>1.0</v>
      </c>
      <c r="T283" s="2" t="s">
        <v>1523</v>
      </c>
    </row>
    <row r="284" ht="15.75" customHeight="1">
      <c r="A284" s="2" t="s">
        <v>1524</v>
      </c>
      <c r="B284" s="2" t="s">
        <v>552</v>
      </c>
      <c r="C284" s="2" t="s">
        <v>519</v>
      </c>
      <c r="D284" s="2" t="s">
        <v>118</v>
      </c>
      <c r="E284" s="2" t="s">
        <v>415</v>
      </c>
      <c r="F284" s="2" t="s">
        <v>415</v>
      </c>
      <c r="G284" s="2" t="s">
        <v>415</v>
      </c>
      <c r="H284" s="2" t="s">
        <v>415</v>
      </c>
      <c r="I284" s="2" t="s">
        <v>1525</v>
      </c>
      <c r="J284" s="2" t="s">
        <v>1525</v>
      </c>
      <c r="K284" s="2" t="s">
        <v>415</v>
      </c>
      <c r="L284" s="2"/>
      <c r="M284" s="2"/>
      <c r="N284" s="2" t="s">
        <v>145</v>
      </c>
      <c r="O284" s="2">
        <v>1.0</v>
      </c>
      <c r="P284" s="2">
        <v>0.0</v>
      </c>
      <c r="Q284" s="2">
        <v>0.0</v>
      </c>
      <c r="R284" s="2">
        <v>1.0</v>
      </c>
      <c r="S284" s="2">
        <v>0.0</v>
      </c>
      <c r="T284" s="2" t="s">
        <v>1526</v>
      </c>
    </row>
    <row r="285" ht="15.75" customHeight="1">
      <c r="A285" s="2" t="s">
        <v>1527</v>
      </c>
      <c r="B285" s="2" t="s">
        <v>552</v>
      </c>
      <c r="C285" s="2" t="s">
        <v>519</v>
      </c>
      <c r="D285" s="2" t="s">
        <v>149</v>
      </c>
      <c r="E285" s="2" t="s">
        <v>1096</v>
      </c>
      <c r="F285" s="2" t="s">
        <v>1096</v>
      </c>
      <c r="G285" s="2" t="s">
        <v>1096</v>
      </c>
      <c r="H285" s="2" t="s">
        <v>1096</v>
      </c>
      <c r="I285" s="2" t="s">
        <v>1529</v>
      </c>
      <c r="J285" s="2" t="s">
        <v>1529</v>
      </c>
      <c r="K285" s="2" t="s">
        <v>1096</v>
      </c>
      <c r="L285" s="2"/>
      <c r="M285" s="2"/>
      <c r="N285" s="2" t="s">
        <v>145</v>
      </c>
      <c r="O285" s="2">
        <v>1.0</v>
      </c>
      <c r="P285" s="2">
        <v>0.0</v>
      </c>
      <c r="Q285" s="2">
        <v>0.0</v>
      </c>
      <c r="R285" s="2">
        <v>1.0</v>
      </c>
      <c r="S285" s="2">
        <v>0.0</v>
      </c>
      <c r="T285" s="2" t="s">
        <v>1530</v>
      </c>
    </row>
    <row r="286" ht="15.75" customHeight="1">
      <c r="A286" s="2" t="s">
        <v>1531</v>
      </c>
      <c r="B286" s="2" t="s">
        <v>1532</v>
      </c>
      <c r="C286" s="2" t="s">
        <v>519</v>
      </c>
      <c r="D286" s="2" t="s">
        <v>71</v>
      </c>
      <c r="E286" s="2" t="s">
        <v>1533</v>
      </c>
      <c r="F286" s="2" t="s">
        <v>1533</v>
      </c>
      <c r="G286" s="2" t="s">
        <v>1534</v>
      </c>
      <c r="H286" s="2" t="s">
        <v>1534</v>
      </c>
      <c r="I286" s="2" t="s">
        <v>1535</v>
      </c>
      <c r="J286" s="2" t="s">
        <v>1535</v>
      </c>
      <c r="K286" s="2" t="s">
        <v>1534</v>
      </c>
      <c r="L286" s="2"/>
      <c r="M286" s="2"/>
      <c r="N286" s="2" t="s">
        <v>145</v>
      </c>
      <c r="O286" s="2">
        <v>1.0</v>
      </c>
      <c r="P286" s="2">
        <v>0.0</v>
      </c>
      <c r="Q286" s="2">
        <v>0.0</v>
      </c>
      <c r="R286" s="2">
        <v>1.0</v>
      </c>
      <c r="S286" s="2">
        <v>0.0</v>
      </c>
      <c r="T286" s="2" t="s">
        <v>1536</v>
      </c>
    </row>
    <row r="287" ht="15.75" customHeight="1">
      <c r="A287" s="2" t="s">
        <v>1537</v>
      </c>
      <c r="B287" s="2" t="s">
        <v>1532</v>
      </c>
      <c r="C287" s="2" t="s">
        <v>519</v>
      </c>
      <c r="D287" s="2" t="s">
        <v>75</v>
      </c>
      <c r="E287" s="2" t="s">
        <v>1470</v>
      </c>
      <c r="F287" s="2" t="s">
        <v>1503</v>
      </c>
      <c r="G287" s="2" t="s">
        <v>524</v>
      </c>
      <c r="H287" s="2" t="s">
        <v>524</v>
      </c>
      <c r="I287" s="2" t="s">
        <v>1539</v>
      </c>
      <c r="J287" s="2" t="s">
        <v>1540</v>
      </c>
      <c r="K287" s="2" t="s">
        <v>524</v>
      </c>
      <c r="L287" s="2"/>
      <c r="M287" s="2"/>
      <c r="N287" s="2" t="s">
        <v>171</v>
      </c>
      <c r="O287" s="2">
        <v>1.0</v>
      </c>
      <c r="P287" s="2">
        <v>0.0</v>
      </c>
      <c r="Q287" s="2">
        <v>0.0</v>
      </c>
      <c r="R287" s="2">
        <v>1.0</v>
      </c>
      <c r="S287" s="2">
        <v>1.0</v>
      </c>
      <c r="T287" s="2" t="s">
        <v>1542</v>
      </c>
    </row>
    <row r="288" ht="15.75" customHeight="1">
      <c r="A288" s="2" t="s">
        <v>1544</v>
      </c>
      <c r="B288" s="2" t="s">
        <v>1532</v>
      </c>
      <c r="C288" s="2" t="s">
        <v>519</v>
      </c>
      <c r="D288" s="2" t="s">
        <v>118</v>
      </c>
      <c r="E288" s="2" t="s">
        <v>415</v>
      </c>
      <c r="F288" s="2" t="s">
        <v>415</v>
      </c>
      <c r="G288" s="2" t="s">
        <v>415</v>
      </c>
      <c r="H288" s="2" t="s">
        <v>415</v>
      </c>
      <c r="I288" s="2" t="s">
        <v>1545</v>
      </c>
      <c r="J288" s="2" t="s">
        <v>1545</v>
      </c>
      <c r="K288" s="2" t="s">
        <v>415</v>
      </c>
      <c r="L288" s="2"/>
      <c r="M288" s="2"/>
      <c r="N288" s="2" t="s">
        <v>145</v>
      </c>
      <c r="O288" s="2">
        <v>1.0</v>
      </c>
      <c r="P288" s="2">
        <v>0.0</v>
      </c>
      <c r="Q288" s="2">
        <v>0.0</v>
      </c>
      <c r="R288" s="2">
        <v>1.0</v>
      </c>
      <c r="S288" s="2">
        <v>0.0</v>
      </c>
      <c r="T288" s="2" t="s">
        <v>1546</v>
      </c>
    </row>
    <row r="289" ht="15.75" customHeight="1">
      <c r="A289" s="2" t="s">
        <v>1547</v>
      </c>
      <c r="B289" s="2" t="s">
        <v>1532</v>
      </c>
      <c r="C289" s="2" t="s">
        <v>519</v>
      </c>
      <c r="D289" s="2" t="s">
        <v>149</v>
      </c>
      <c r="E289" s="2" t="s">
        <v>1096</v>
      </c>
      <c r="F289" s="2" t="s">
        <v>1096</v>
      </c>
      <c r="G289" s="2" t="s">
        <v>1096</v>
      </c>
      <c r="H289" s="2" t="s">
        <v>1096</v>
      </c>
      <c r="I289" s="2" t="s">
        <v>1548</v>
      </c>
      <c r="J289" s="2" t="s">
        <v>1548</v>
      </c>
      <c r="K289" s="2" t="s">
        <v>1096</v>
      </c>
      <c r="L289" s="2"/>
      <c r="M289" s="2"/>
      <c r="N289" s="2" t="s">
        <v>145</v>
      </c>
      <c r="O289" s="2">
        <v>1.0</v>
      </c>
      <c r="P289" s="2">
        <v>0.0</v>
      </c>
      <c r="Q289" s="2">
        <v>0.0</v>
      </c>
      <c r="R289" s="2">
        <v>1.0</v>
      </c>
      <c r="S289" s="2">
        <v>0.0</v>
      </c>
      <c r="T289" s="2" t="s">
        <v>1549</v>
      </c>
    </row>
    <row r="290" ht="15.75" customHeight="1">
      <c r="A290" s="2" t="s">
        <v>1550</v>
      </c>
      <c r="B290" s="2" t="s">
        <v>1551</v>
      </c>
      <c r="C290" s="2" t="s">
        <v>519</v>
      </c>
      <c r="D290" s="2" t="s">
        <v>71</v>
      </c>
      <c r="E290" s="2" t="s">
        <v>1552</v>
      </c>
      <c r="F290" s="2" t="s">
        <v>1552</v>
      </c>
      <c r="G290" s="2" t="s">
        <v>1553</v>
      </c>
      <c r="H290" s="2" t="s">
        <v>1553</v>
      </c>
      <c r="I290" s="2" t="s">
        <v>1554</v>
      </c>
      <c r="J290" s="2" t="s">
        <v>1554</v>
      </c>
      <c r="K290" s="2" t="s">
        <v>1553</v>
      </c>
      <c r="L290" s="2"/>
      <c r="M290" s="2"/>
      <c r="N290" s="2" t="s">
        <v>145</v>
      </c>
      <c r="O290" s="2">
        <v>1.0</v>
      </c>
      <c r="P290" s="2">
        <v>0.0</v>
      </c>
      <c r="Q290" s="2">
        <v>0.0</v>
      </c>
      <c r="R290" s="2">
        <v>1.0</v>
      </c>
      <c r="S290" s="2">
        <v>0.0</v>
      </c>
      <c r="T290" s="2" t="s">
        <v>1555</v>
      </c>
    </row>
    <row r="291" ht="15.75" customHeight="1">
      <c r="A291" s="2" t="s">
        <v>1556</v>
      </c>
      <c r="B291" s="2" t="s">
        <v>1551</v>
      </c>
      <c r="C291" s="2" t="s">
        <v>519</v>
      </c>
      <c r="D291" s="2" t="s">
        <v>75</v>
      </c>
      <c r="E291" s="2" t="s">
        <v>1470</v>
      </c>
      <c r="F291" s="2" t="s">
        <v>1470</v>
      </c>
      <c r="G291" s="2" t="s">
        <v>524</v>
      </c>
      <c r="H291" s="2" t="s">
        <v>524</v>
      </c>
      <c r="I291" s="2" t="s">
        <v>1557</v>
      </c>
      <c r="J291" s="2" t="s">
        <v>1558</v>
      </c>
      <c r="K291" s="2" t="s">
        <v>524</v>
      </c>
      <c r="L291" s="2"/>
      <c r="M291" s="2"/>
      <c r="N291" s="2" t="s">
        <v>171</v>
      </c>
      <c r="O291" s="2">
        <v>1.0</v>
      </c>
      <c r="P291" s="2">
        <v>0.0</v>
      </c>
      <c r="Q291" s="2">
        <v>0.0</v>
      </c>
      <c r="R291" s="2">
        <v>1.0</v>
      </c>
      <c r="S291" s="2">
        <v>1.0</v>
      </c>
      <c r="T291" s="2" t="s">
        <v>1560</v>
      </c>
    </row>
    <row r="292" ht="15.75" customHeight="1">
      <c r="A292" s="2" t="s">
        <v>1561</v>
      </c>
      <c r="B292" s="2" t="s">
        <v>1551</v>
      </c>
      <c r="C292" s="2" t="s">
        <v>519</v>
      </c>
      <c r="D292" s="2" t="s">
        <v>118</v>
      </c>
      <c r="E292" s="2" t="s">
        <v>1562</v>
      </c>
      <c r="F292" s="2" t="s">
        <v>1562</v>
      </c>
      <c r="G292" s="2" t="s">
        <v>1562</v>
      </c>
      <c r="H292" s="2" t="s">
        <v>1562</v>
      </c>
      <c r="I292" s="2" t="s">
        <v>1563</v>
      </c>
      <c r="J292" s="2" t="s">
        <v>1564</v>
      </c>
      <c r="K292" s="2" t="s">
        <v>1562</v>
      </c>
      <c r="L292" s="2"/>
      <c r="M292" s="2"/>
      <c r="N292" s="2" t="s">
        <v>171</v>
      </c>
      <c r="O292" s="2">
        <v>1.0</v>
      </c>
      <c r="P292" s="2">
        <v>0.0</v>
      </c>
      <c r="Q292" s="2">
        <v>0.0</v>
      </c>
      <c r="R292" s="2">
        <v>1.0</v>
      </c>
      <c r="S292" s="2">
        <v>1.0</v>
      </c>
      <c r="T292" s="2" t="s">
        <v>1565</v>
      </c>
    </row>
    <row r="293" ht="15.75" customHeight="1">
      <c r="A293" s="2" t="s">
        <v>1566</v>
      </c>
      <c r="B293" s="2" t="s">
        <v>1551</v>
      </c>
      <c r="C293" s="2" t="s">
        <v>519</v>
      </c>
      <c r="D293" s="2" t="s">
        <v>149</v>
      </c>
      <c r="E293" s="2" t="s">
        <v>1567</v>
      </c>
      <c r="F293" s="2" t="s">
        <v>1567</v>
      </c>
      <c r="G293" s="2" t="s">
        <v>1567</v>
      </c>
      <c r="H293" s="2" t="s">
        <v>1567</v>
      </c>
      <c r="I293" s="2" t="s">
        <v>1568</v>
      </c>
      <c r="J293" s="2" t="s">
        <v>1569</v>
      </c>
      <c r="K293" s="2" t="s">
        <v>1567</v>
      </c>
      <c r="L293" s="2"/>
      <c r="M293" s="2"/>
      <c r="N293" s="2" t="s">
        <v>171</v>
      </c>
      <c r="O293" s="2">
        <v>1.0</v>
      </c>
      <c r="P293" s="2">
        <v>0.0</v>
      </c>
      <c r="Q293" s="2">
        <v>0.0</v>
      </c>
      <c r="R293" s="2">
        <v>1.0</v>
      </c>
      <c r="S293" s="2">
        <v>1.0</v>
      </c>
      <c r="T293" s="2" t="s">
        <v>1571</v>
      </c>
    </row>
    <row r="294" ht="15.75" customHeight="1">
      <c r="A294" s="2" t="s">
        <v>1572</v>
      </c>
      <c r="B294" s="2" t="s">
        <v>1573</v>
      </c>
      <c r="C294" s="2" t="s">
        <v>519</v>
      </c>
      <c r="D294" s="2" t="s">
        <v>71</v>
      </c>
      <c r="E294" s="2" t="s">
        <v>1574</v>
      </c>
      <c r="F294" s="2" t="s">
        <v>1574</v>
      </c>
      <c r="G294" s="2" t="s">
        <v>1575</v>
      </c>
      <c r="H294" s="2" t="s">
        <v>1575</v>
      </c>
      <c r="I294" s="2" t="s">
        <v>1576</v>
      </c>
      <c r="J294" s="2" t="s">
        <v>1576</v>
      </c>
      <c r="K294" s="2" t="s">
        <v>1575</v>
      </c>
      <c r="L294" s="2"/>
      <c r="M294" s="2"/>
      <c r="N294" s="2" t="s">
        <v>145</v>
      </c>
      <c r="O294" s="2">
        <v>1.0</v>
      </c>
      <c r="P294" s="2">
        <v>0.0</v>
      </c>
      <c r="Q294" s="2">
        <v>0.0</v>
      </c>
      <c r="R294" s="2">
        <v>1.0</v>
      </c>
      <c r="S294" s="2">
        <v>0.0</v>
      </c>
      <c r="T294" s="2" t="s">
        <v>1577</v>
      </c>
    </row>
    <row r="295" ht="15.75" customHeight="1">
      <c r="A295" s="2" t="s">
        <v>1578</v>
      </c>
      <c r="B295" s="2" t="s">
        <v>1573</v>
      </c>
      <c r="C295" s="2" t="s">
        <v>519</v>
      </c>
      <c r="D295" s="2" t="s">
        <v>75</v>
      </c>
      <c r="E295" s="2" t="s">
        <v>1503</v>
      </c>
      <c r="F295" s="2" t="s">
        <v>1503</v>
      </c>
      <c r="G295" s="2" t="s">
        <v>524</v>
      </c>
      <c r="H295" s="2" t="s">
        <v>524</v>
      </c>
      <c r="I295" s="2" t="s">
        <v>1579</v>
      </c>
      <c r="J295" s="2" t="s">
        <v>1580</v>
      </c>
      <c r="K295" s="2" t="s">
        <v>524</v>
      </c>
      <c r="L295" s="2"/>
      <c r="M295" s="2"/>
      <c r="N295" s="2" t="s">
        <v>171</v>
      </c>
      <c r="O295" s="2">
        <v>1.0</v>
      </c>
      <c r="P295" s="2">
        <v>0.0</v>
      </c>
      <c r="Q295" s="2">
        <v>0.0</v>
      </c>
      <c r="R295" s="2">
        <v>1.0</v>
      </c>
      <c r="S295" s="2">
        <v>1.0</v>
      </c>
      <c r="T295" s="2" t="s">
        <v>1583</v>
      </c>
    </row>
    <row r="296" ht="15.75" customHeight="1">
      <c r="A296" s="2" t="s">
        <v>1584</v>
      </c>
      <c r="B296" s="2" t="s">
        <v>1573</v>
      </c>
      <c r="C296" s="2" t="s">
        <v>519</v>
      </c>
      <c r="D296" s="2" t="s">
        <v>118</v>
      </c>
      <c r="E296" s="2" t="s">
        <v>415</v>
      </c>
      <c r="F296" s="2" t="s">
        <v>415</v>
      </c>
      <c r="G296" s="2" t="s">
        <v>415</v>
      </c>
      <c r="H296" s="2" t="s">
        <v>415</v>
      </c>
      <c r="I296" s="2" t="s">
        <v>1585</v>
      </c>
      <c r="J296" s="2" t="s">
        <v>1586</v>
      </c>
      <c r="K296" s="2" t="s">
        <v>415</v>
      </c>
      <c r="L296" s="2"/>
      <c r="M296" s="2"/>
      <c r="N296" s="2" t="s">
        <v>171</v>
      </c>
      <c r="O296" s="2">
        <v>1.0</v>
      </c>
      <c r="P296" s="2">
        <v>0.0</v>
      </c>
      <c r="Q296" s="2">
        <v>0.0</v>
      </c>
      <c r="R296" s="2">
        <v>1.0</v>
      </c>
      <c r="S296" s="2">
        <v>1.0</v>
      </c>
      <c r="T296" s="2" t="s">
        <v>1587</v>
      </c>
    </row>
    <row r="297" ht="15.75" customHeight="1">
      <c r="A297" s="2" t="s">
        <v>1588</v>
      </c>
      <c r="B297" s="2" t="s">
        <v>1573</v>
      </c>
      <c r="C297" s="2" t="s">
        <v>519</v>
      </c>
      <c r="D297" s="2" t="s">
        <v>149</v>
      </c>
      <c r="E297" s="2" t="s">
        <v>1589</v>
      </c>
      <c r="F297" s="2" t="s">
        <v>1589</v>
      </c>
      <c r="G297" s="2" t="s">
        <v>1589</v>
      </c>
      <c r="H297" s="2" t="s">
        <v>1589</v>
      </c>
      <c r="I297" s="2" t="s">
        <v>1591</v>
      </c>
      <c r="J297" s="2" t="s">
        <v>1591</v>
      </c>
      <c r="K297" s="2" t="s">
        <v>1589</v>
      </c>
      <c r="L297" s="2"/>
      <c r="M297" s="2"/>
      <c r="N297" s="2" t="s">
        <v>145</v>
      </c>
      <c r="O297" s="2">
        <v>1.0</v>
      </c>
      <c r="P297" s="2">
        <v>0.0</v>
      </c>
      <c r="Q297" s="2">
        <v>0.0</v>
      </c>
      <c r="R297" s="2">
        <v>1.0</v>
      </c>
      <c r="S297" s="2">
        <v>0.0</v>
      </c>
      <c r="T297" s="2" t="s">
        <v>1592</v>
      </c>
    </row>
    <row r="298" ht="15.75" customHeight="1">
      <c r="A298" s="2" t="s">
        <v>1593</v>
      </c>
      <c r="B298" s="2" t="s">
        <v>1594</v>
      </c>
      <c r="C298" s="2" t="s">
        <v>519</v>
      </c>
      <c r="D298" s="2" t="s">
        <v>71</v>
      </c>
      <c r="E298" s="2" t="s">
        <v>1595</v>
      </c>
      <c r="F298" s="2" t="s">
        <v>1595</v>
      </c>
      <c r="G298" s="2" t="s">
        <v>1596</v>
      </c>
      <c r="H298" s="2" t="s">
        <v>1596</v>
      </c>
      <c r="I298" s="2" t="s">
        <v>1597</v>
      </c>
      <c r="J298" s="2" t="s">
        <v>1597</v>
      </c>
      <c r="K298" s="2" t="s">
        <v>1596</v>
      </c>
      <c r="L298" s="2"/>
      <c r="M298" s="2"/>
      <c r="N298" s="2" t="s">
        <v>145</v>
      </c>
      <c r="O298" s="2">
        <v>1.0</v>
      </c>
      <c r="P298" s="2">
        <v>0.0</v>
      </c>
      <c r="Q298" s="2">
        <v>0.0</v>
      </c>
      <c r="R298" s="2">
        <v>1.0</v>
      </c>
      <c r="S298" s="2">
        <v>0.0</v>
      </c>
      <c r="T298" s="2" t="s">
        <v>1598</v>
      </c>
    </row>
    <row r="299" ht="15.75" customHeight="1">
      <c r="A299" s="2" t="s">
        <v>1599</v>
      </c>
      <c r="B299" s="2" t="s">
        <v>1594</v>
      </c>
      <c r="C299" s="2" t="s">
        <v>519</v>
      </c>
      <c r="D299" s="2" t="s">
        <v>75</v>
      </c>
      <c r="E299" s="2" t="s">
        <v>522</v>
      </c>
      <c r="F299" s="2" t="s">
        <v>1471</v>
      </c>
      <c r="G299" s="2" t="s">
        <v>524</v>
      </c>
      <c r="H299" s="2" t="s">
        <v>524</v>
      </c>
      <c r="I299" s="2" t="s">
        <v>1600</v>
      </c>
      <c r="J299" s="2" t="s">
        <v>1601</v>
      </c>
      <c r="K299" s="2" t="s">
        <v>524</v>
      </c>
      <c r="L299" s="2"/>
      <c r="M299" s="2"/>
      <c r="N299" s="2" t="s">
        <v>171</v>
      </c>
      <c r="O299" s="2">
        <v>1.0</v>
      </c>
      <c r="P299" s="2">
        <v>0.0</v>
      </c>
      <c r="Q299" s="2">
        <v>0.0</v>
      </c>
      <c r="R299" s="2">
        <v>1.0</v>
      </c>
      <c r="S299" s="2">
        <v>1.0</v>
      </c>
      <c r="T299" s="2" t="s">
        <v>1603</v>
      </c>
    </row>
    <row r="300" ht="15.75" customHeight="1">
      <c r="A300" s="2" t="s">
        <v>1604</v>
      </c>
      <c r="B300" s="2" t="s">
        <v>1594</v>
      </c>
      <c r="C300" s="2" t="s">
        <v>519</v>
      </c>
      <c r="D300" s="2" t="s">
        <v>118</v>
      </c>
      <c r="E300" s="2" t="s">
        <v>1605</v>
      </c>
      <c r="F300" s="2" t="s">
        <v>1605</v>
      </c>
      <c r="G300" s="2" t="s">
        <v>1605</v>
      </c>
      <c r="H300" s="2" t="s">
        <v>1605</v>
      </c>
      <c r="I300" s="2" t="s">
        <v>1606</v>
      </c>
      <c r="J300" s="2" t="s">
        <v>1607</v>
      </c>
      <c r="K300" s="2" t="s">
        <v>1605</v>
      </c>
      <c r="L300" s="2"/>
      <c r="M300" s="2"/>
      <c r="N300" s="2" t="s">
        <v>171</v>
      </c>
      <c r="O300" s="2">
        <v>1.0</v>
      </c>
      <c r="P300" s="2">
        <v>0.0</v>
      </c>
      <c r="Q300" s="2">
        <v>0.0</v>
      </c>
      <c r="R300" s="2">
        <v>1.0</v>
      </c>
      <c r="S300" s="2">
        <v>1.0</v>
      </c>
      <c r="T300" s="2" t="s">
        <v>1609</v>
      </c>
    </row>
    <row r="301" ht="15.75" customHeight="1">
      <c r="A301" s="2" t="s">
        <v>1610</v>
      </c>
      <c r="B301" s="2" t="s">
        <v>1594</v>
      </c>
      <c r="C301" s="2" t="s">
        <v>519</v>
      </c>
      <c r="D301" s="2" t="s">
        <v>149</v>
      </c>
      <c r="E301" s="2" t="s">
        <v>1611</v>
      </c>
      <c r="F301" s="2" t="s">
        <v>1611</v>
      </c>
      <c r="G301" s="2" t="s">
        <v>1611</v>
      </c>
      <c r="H301" s="2" t="s">
        <v>1611</v>
      </c>
      <c r="I301" s="2" t="s">
        <v>1612</v>
      </c>
      <c r="J301" s="2" t="s">
        <v>1612</v>
      </c>
      <c r="K301" s="2" t="s">
        <v>1611</v>
      </c>
      <c r="L301" s="2"/>
      <c r="M301" s="2"/>
      <c r="N301" s="2" t="s">
        <v>145</v>
      </c>
      <c r="O301" s="2">
        <v>1.0</v>
      </c>
      <c r="P301" s="2">
        <v>0.0</v>
      </c>
      <c r="Q301" s="2">
        <v>0.0</v>
      </c>
      <c r="R301" s="2">
        <v>1.0</v>
      </c>
      <c r="S301" s="2">
        <v>0.0</v>
      </c>
      <c r="T301" s="2" t="s">
        <v>1613</v>
      </c>
    </row>
    <row r="302" ht="15.75" customHeight="1">
      <c r="A302" s="2" t="s">
        <v>641</v>
      </c>
      <c r="B302" s="2" t="s">
        <v>643</v>
      </c>
      <c r="C302" s="2" t="s">
        <v>519</v>
      </c>
      <c r="D302" s="2" t="s">
        <v>71</v>
      </c>
      <c r="E302" s="2" t="s">
        <v>645</v>
      </c>
      <c r="F302" s="2" t="s">
        <v>647</v>
      </c>
      <c r="G302" s="2" t="s">
        <v>648</v>
      </c>
      <c r="H302" s="2" t="s">
        <v>647</v>
      </c>
      <c r="I302" s="2" t="s">
        <v>649</v>
      </c>
      <c r="J302" s="2" t="s">
        <v>650</v>
      </c>
      <c r="K302" s="2"/>
      <c r="L302" s="2" t="s">
        <v>648</v>
      </c>
      <c r="M302" s="2" t="s">
        <v>647</v>
      </c>
      <c r="N302" s="2" t="s">
        <v>86</v>
      </c>
      <c r="O302" s="2">
        <v>0.0</v>
      </c>
      <c r="P302" s="2">
        <v>1.0</v>
      </c>
      <c r="Q302" s="2">
        <v>1.0</v>
      </c>
      <c r="R302" s="2">
        <v>0.0</v>
      </c>
      <c r="S302" s="2">
        <v>0.0</v>
      </c>
      <c r="T302" s="2" t="s">
        <v>659</v>
      </c>
    </row>
    <row r="303" ht="15.75" customHeight="1">
      <c r="A303" s="2" t="s">
        <v>1615</v>
      </c>
      <c r="B303" s="2" t="s">
        <v>643</v>
      </c>
      <c r="C303" s="2" t="s">
        <v>519</v>
      </c>
      <c r="D303" s="2" t="s">
        <v>75</v>
      </c>
      <c r="E303" s="2" t="s">
        <v>1470</v>
      </c>
      <c r="F303" s="2" t="s">
        <v>1503</v>
      </c>
      <c r="G303" s="2" t="s">
        <v>524</v>
      </c>
      <c r="H303" s="2" t="s">
        <v>524</v>
      </c>
      <c r="I303" s="2" t="s">
        <v>1616</v>
      </c>
      <c r="J303" s="2" t="s">
        <v>1540</v>
      </c>
      <c r="K303" s="2" t="s">
        <v>524</v>
      </c>
      <c r="L303" s="2"/>
      <c r="M303" s="2"/>
      <c r="N303" s="2" t="s">
        <v>171</v>
      </c>
      <c r="O303" s="2">
        <v>1.0</v>
      </c>
      <c r="P303" s="2">
        <v>0.0</v>
      </c>
      <c r="Q303" s="2">
        <v>0.0</v>
      </c>
      <c r="R303" s="2">
        <v>1.0</v>
      </c>
      <c r="S303" s="2">
        <v>1.0</v>
      </c>
      <c r="T303" s="2" t="s">
        <v>1617</v>
      </c>
    </row>
    <row r="304" ht="15.75" customHeight="1">
      <c r="A304" s="2" t="s">
        <v>1618</v>
      </c>
      <c r="B304" s="2" t="s">
        <v>643</v>
      </c>
      <c r="C304" s="2" t="s">
        <v>519</v>
      </c>
      <c r="D304" s="2" t="s">
        <v>118</v>
      </c>
      <c r="E304" s="2" t="s">
        <v>1605</v>
      </c>
      <c r="F304" s="2" t="s">
        <v>1605</v>
      </c>
      <c r="G304" s="2" t="s">
        <v>1605</v>
      </c>
      <c r="H304" s="2" t="s">
        <v>1605</v>
      </c>
      <c r="I304" s="2" t="s">
        <v>1620</v>
      </c>
      <c r="J304" s="2" t="s">
        <v>1621</v>
      </c>
      <c r="K304" s="2" t="s">
        <v>1605</v>
      </c>
      <c r="L304" s="2"/>
      <c r="M304" s="2"/>
      <c r="N304" s="2" t="s">
        <v>171</v>
      </c>
      <c r="O304" s="2">
        <v>1.0</v>
      </c>
      <c r="P304" s="2">
        <v>0.0</v>
      </c>
      <c r="Q304" s="2">
        <v>0.0</v>
      </c>
      <c r="R304" s="2">
        <v>1.0</v>
      </c>
      <c r="S304" s="2">
        <v>1.0</v>
      </c>
      <c r="T304" s="2" t="s">
        <v>1622</v>
      </c>
    </row>
    <row r="305" ht="15.75" customHeight="1">
      <c r="A305" s="2" t="s">
        <v>1623</v>
      </c>
      <c r="B305" s="2" t="s">
        <v>643</v>
      </c>
      <c r="C305" s="2" t="s">
        <v>519</v>
      </c>
      <c r="D305" s="2" t="s">
        <v>149</v>
      </c>
      <c r="E305" s="2" t="s">
        <v>1624</v>
      </c>
      <c r="F305" s="2" t="s">
        <v>1624</v>
      </c>
      <c r="G305" s="2" t="s">
        <v>1624</v>
      </c>
      <c r="H305" s="2" t="s">
        <v>1624</v>
      </c>
      <c r="I305" s="2" t="s">
        <v>1625</v>
      </c>
      <c r="J305" s="2" t="s">
        <v>1625</v>
      </c>
      <c r="K305" s="2" t="s">
        <v>1624</v>
      </c>
      <c r="L305" s="2"/>
      <c r="M305" s="2"/>
      <c r="N305" s="2" t="s">
        <v>145</v>
      </c>
      <c r="O305" s="2">
        <v>1.0</v>
      </c>
      <c r="P305" s="2">
        <v>0.0</v>
      </c>
      <c r="Q305" s="2">
        <v>0.0</v>
      </c>
      <c r="R305" s="2">
        <v>1.0</v>
      </c>
      <c r="S305" s="2">
        <v>0.0</v>
      </c>
      <c r="T305" s="2" t="s">
        <v>1626</v>
      </c>
    </row>
    <row r="306" ht="15.75" customHeight="1">
      <c r="A306" s="2" t="s">
        <v>660</v>
      </c>
      <c r="B306" s="2" t="s">
        <v>661</v>
      </c>
      <c r="C306" s="2" t="s">
        <v>519</v>
      </c>
      <c r="D306" s="2" t="s">
        <v>71</v>
      </c>
      <c r="E306" s="2" t="s">
        <v>662</v>
      </c>
      <c r="F306" s="2" t="s">
        <v>663</v>
      </c>
      <c r="G306" s="2" t="s">
        <v>664</v>
      </c>
      <c r="H306" s="2" t="s">
        <v>663</v>
      </c>
      <c r="I306" s="2" t="s">
        <v>665</v>
      </c>
      <c r="J306" s="2" t="s">
        <v>666</v>
      </c>
      <c r="K306" s="2"/>
      <c r="L306" s="2" t="s">
        <v>664</v>
      </c>
      <c r="M306" s="2" t="s">
        <v>663</v>
      </c>
      <c r="N306" s="2" t="s">
        <v>86</v>
      </c>
      <c r="O306" s="2">
        <v>0.0</v>
      </c>
      <c r="P306" s="2">
        <v>1.0</v>
      </c>
      <c r="Q306" s="2">
        <v>1.0</v>
      </c>
      <c r="R306" s="2">
        <v>0.0</v>
      </c>
      <c r="S306" s="2">
        <v>0.0</v>
      </c>
      <c r="T306" s="2" t="s">
        <v>675</v>
      </c>
    </row>
    <row r="307" ht="15.75" customHeight="1">
      <c r="A307" s="2" t="s">
        <v>1628</v>
      </c>
      <c r="B307" s="2" t="s">
        <v>661</v>
      </c>
      <c r="C307" s="2" t="s">
        <v>519</v>
      </c>
      <c r="D307" s="2" t="s">
        <v>75</v>
      </c>
      <c r="E307" s="2" t="s">
        <v>522</v>
      </c>
      <c r="F307" s="2" t="s">
        <v>1471</v>
      </c>
      <c r="G307" s="2" t="s">
        <v>524</v>
      </c>
      <c r="H307" s="2" t="s">
        <v>524</v>
      </c>
      <c r="I307" s="2" t="s">
        <v>1629</v>
      </c>
      <c r="J307" s="2" t="s">
        <v>1630</v>
      </c>
      <c r="K307" s="2" t="s">
        <v>524</v>
      </c>
      <c r="L307" s="2"/>
      <c r="M307" s="2"/>
      <c r="N307" s="2" t="s">
        <v>171</v>
      </c>
      <c r="O307" s="2">
        <v>1.0</v>
      </c>
      <c r="P307" s="2">
        <v>0.0</v>
      </c>
      <c r="Q307" s="2">
        <v>0.0</v>
      </c>
      <c r="R307" s="2">
        <v>1.0</v>
      </c>
      <c r="S307" s="2">
        <v>1.0</v>
      </c>
      <c r="T307" s="2" t="s">
        <v>1631</v>
      </c>
    </row>
    <row r="308" ht="15.75" customHeight="1">
      <c r="A308" s="2" t="s">
        <v>1632</v>
      </c>
      <c r="B308" s="2" t="s">
        <v>661</v>
      </c>
      <c r="C308" s="2" t="s">
        <v>519</v>
      </c>
      <c r="D308" s="2" t="s">
        <v>118</v>
      </c>
      <c r="E308" s="2" t="s">
        <v>1605</v>
      </c>
      <c r="F308" s="2" t="s">
        <v>1605</v>
      </c>
      <c r="G308" s="2" t="s">
        <v>1605</v>
      </c>
      <c r="H308" s="2" t="s">
        <v>1605</v>
      </c>
      <c r="I308" s="2" t="s">
        <v>1633</v>
      </c>
      <c r="J308" s="2" t="s">
        <v>1634</v>
      </c>
      <c r="K308" s="2" t="s">
        <v>1605</v>
      </c>
      <c r="L308" s="2"/>
      <c r="M308" s="2"/>
      <c r="N308" s="2" t="s">
        <v>171</v>
      </c>
      <c r="O308" s="2">
        <v>1.0</v>
      </c>
      <c r="P308" s="2">
        <v>0.0</v>
      </c>
      <c r="Q308" s="2">
        <v>0.0</v>
      </c>
      <c r="R308" s="2">
        <v>1.0</v>
      </c>
      <c r="S308" s="2">
        <v>1.0</v>
      </c>
      <c r="T308" s="2" t="s">
        <v>1635</v>
      </c>
    </row>
    <row r="309" ht="15.75" customHeight="1">
      <c r="A309" s="2" t="s">
        <v>1636</v>
      </c>
      <c r="B309" s="2" t="s">
        <v>661</v>
      </c>
      <c r="C309" s="2" t="s">
        <v>519</v>
      </c>
      <c r="D309" s="2" t="s">
        <v>149</v>
      </c>
      <c r="E309" s="2" t="s">
        <v>1624</v>
      </c>
      <c r="F309" s="2" t="s">
        <v>1624</v>
      </c>
      <c r="G309" s="2" t="s">
        <v>1624</v>
      </c>
      <c r="H309" s="2" t="s">
        <v>1624</v>
      </c>
      <c r="I309" s="2" t="s">
        <v>1637</v>
      </c>
      <c r="J309" s="2" t="s">
        <v>1637</v>
      </c>
      <c r="K309" s="2" t="s">
        <v>1624</v>
      </c>
      <c r="L309" s="2"/>
      <c r="M309" s="2"/>
      <c r="N309" s="2" t="s">
        <v>145</v>
      </c>
      <c r="O309" s="2">
        <v>1.0</v>
      </c>
      <c r="P309" s="2">
        <v>0.0</v>
      </c>
      <c r="Q309" s="2">
        <v>0.0</v>
      </c>
      <c r="R309" s="2">
        <v>1.0</v>
      </c>
      <c r="S309" s="2">
        <v>0.0</v>
      </c>
      <c r="T309" s="2" t="s">
        <v>1639</v>
      </c>
    </row>
    <row r="310" ht="15.75" customHeight="1">
      <c r="A310" s="2" t="s">
        <v>1640</v>
      </c>
      <c r="B310" s="2" t="s">
        <v>1641</v>
      </c>
      <c r="C310" s="2" t="s">
        <v>519</v>
      </c>
      <c r="D310" s="2" t="s">
        <v>71</v>
      </c>
      <c r="E310" s="2" t="s">
        <v>1642</v>
      </c>
      <c r="F310" s="2" t="s">
        <v>1642</v>
      </c>
      <c r="G310" s="2" t="s">
        <v>1643</v>
      </c>
      <c r="H310" s="2" t="s">
        <v>1643</v>
      </c>
      <c r="I310" s="2" t="s">
        <v>1644</v>
      </c>
      <c r="J310" s="2" t="s">
        <v>1644</v>
      </c>
      <c r="K310" s="2" t="s">
        <v>1643</v>
      </c>
      <c r="L310" s="2"/>
      <c r="M310" s="2"/>
      <c r="N310" s="2" t="s">
        <v>145</v>
      </c>
      <c r="O310" s="2">
        <v>1.0</v>
      </c>
      <c r="P310" s="2">
        <v>0.0</v>
      </c>
      <c r="Q310" s="2">
        <v>0.0</v>
      </c>
      <c r="R310" s="2">
        <v>1.0</v>
      </c>
      <c r="S310" s="2">
        <v>0.0</v>
      </c>
      <c r="T310" s="2" t="s">
        <v>1645</v>
      </c>
    </row>
    <row r="311" ht="15.75" customHeight="1">
      <c r="A311" s="2" t="s">
        <v>1646</v>
      </c>
      <c r="B311" s="2" t="s">
        <v>1641</v>
      </c>
      <c r="C311" s="2" t="s">
        <v>519</v>
      </c>
      <c r="D311" s="2" t="s">
        <v>75</v>
      </c>
      <c r="E311" s="2" t="s">
        <v>1470</v>
      </c>
      <c r="F311" s="2" t="s">
        <v>1503</v>
      </c>
      <c r="G311" s="2" t="s">
        <v>524</v>
      </c>
      <c r="H311" s="2" t="s">
        <v>524</v>
      </c>
      <c r="I311" s="2" t="s">
        <v>1647</v>
      </c>
      <c r="J311" s="2" t="s">
        <v>1648</v>
      </c>
      <c r="K311" s="2" t="s">
        <v>524</v>
      </c>
      <c r="L311" s="2"/>
      <c r="M311" s="2"/>
      <c r="N311" s="2" t="s">
        <v>171</v>
      </c>
      <c r="O311" s="2">
        <v>1.0</v>
      </c>
      <c r="P311" s="2">
        <v>0.0</v>
      </c>
      <c r="Q311" s="2">
        <v>0.0</v>
      </c>
      <c r="R311" s="2">
        <v>1.0</v>
      </c>
      <c r="S311" s="2">
        <v>1.0</v>
      </c>
      <c r="T311" s="2" t="s">
        <v>1649</v>
      </c>
    </row>
    <row r="312" ht="15.75" customHeight="1">
      <c r="A312" s="2" t="s">
        <v>1650</v>
      </c>
      <c r="B312" s="2" t="s">
        <v>1641</v>
      </c>
      <c r="C312" s="2" t="s">
        <v>519</v>
      </c>
      <c r="D312" s="2" t="s">
        <v>118</v>
      </c>
      <c r="E312" s="2" t="s">
        <v>1605</v>
      </c>
      <c r="F312" s="2" t="s">
        <v>1605</v>
      </c>
      <c r="G312" s="2" t="s">
        <v>1605</v>
      </c>
      <c r="H312" s="2" t="s">
        <v>1605</v>
      </c>
      <c r="I312" s="2" t="s">
        <v>1651</v>
      </c>
      <c r="J312" s="2" t="s">
        <v>1652</v>
      </c>
      <c r="K312" s="2" t="s">
        <v>1605</v>
      </c>
      <c r="L312" s="2"/>
      <c r="M312" s="2"/>
      <c r="N312" s="2" t="s">
        <v>171</v>
      </c>
      <c r="O312" s="2">
        <v>1.0</v>
      </c>
      <c r="P312" s="2">
        <v>0.0</v>
      </c>
      <c r="Q312" s="2">
        <v>0.0</v>
      </c>
      <c r="R312" s="2">
        <v>1.0</v>
      </c>
      <c r="S312" s="2">
        <v>1.0</v>
      </c>
      <c r="T312" s="2" t="s">
        <v>1609</v>
      </c>
    </row>
    <row r="313" ht="15.75" customHeight="1">
      <c r="A313" s="2" t="s">
        <v>1653</v>
      </c>
      <c r="B313" s="2" t="s">
        <v>1641</v>
      </c>
      <c r="C313" s="2" t="s">
        <v>519</v>
      </c>
      <c r="D313" s="2" t="s">
        <v>149</v>
      </c>
      <c r="E313" s="2" t="s">
        <v>1611</v>
      </c>
      <c r="F313" s="2" t="s">
        <v>1611</v>
      </c>
      <c r="G313" s="2" t="s">
        <v>1611</v>
      </c>
      <c r="H313" s="2" t="s">
        <v>1611</v>
      </c>
      <c r="I313" s="2" t="s">
        <v>1654</v>
      </c>
      <c r="J313" s="2" t="s">
        <v>1654</v>
      </c>
      <c r="K313" s="2" t="s">
        <v>1611</v>
      </c>
      <c r="L313" s="2"/>
      <c r="M313" s="2"/>
      <c r="N313" s="2" t="s">
        <v>145</v>
      </c>
      <c r="O313" s="2">
        <v>1.0</v>
      </c>
      <c r="P313" s="2">
        <v>0.0</v>
      </c>
      <c r="Q313" s="2">
        <v>0.0</v>
      </c>
      <c r="R313" s="2">
        <v>1.0</v>
      </c>
      <c r="S313" s="2">
        <v>0.0</v>
      </c>
      <c r="T313" s="2" t="s">
        <v>1613</v>
      </c>
    </row>
    <row r="314" ht="15.75" customHeight="1">
      <c r="A314" s="2" t="s">
        <v>1655</v>
      </c>
      <c r="B314" s="2" t="s">
        <v>1656</v>
      </c>
      <c r="C314" s="2" t="s">
        <v>519</v>
      </c>
      <c r="D314" s="2" t="s">
        <v>71</v>
      </c>
      <c r="E314" s="2" t="s">
        <v>1658</v>
      </c>
      <c r="F314" s="2" t="s">
        <v>1658</v>
      </c>
      <c r="G314" s="2" t="s">
        <v>1659</v>
      </c>
      <c r="H314" s="2" t="s">
        <v>1659</v>
      </c>
      <c r="I314" s="2" t="s">
        <v>1660</v>
      </c>
      <c r="J314" s="2" t="s">
        <v>1660</v>
      </c>
      <c r="K314" s="2" t="s">
        <v>1659</v>
      </c>
      <c r="L314" s="2"/>
      <c r="M314" s="2"/>
      <c r="N314" s="2" t="s">
        <v>145</v>
      </c>
      <c r="O314" s="2">
        <v>1.0</v>
      </c>
      <c r="P314" s="2">
        <v>0.0</v>
      </c>
      <c r="Q314" s="2">
        <v>0.0</v>
      </c>
      <c r="R314" s="2">
        <v>1.0</v>
      </c>
      <c r="S314" s="2">
        <v>0.0</v>
      </c>
      <c r="T314" s="2" t="s">
        <v>1661</v>
      </c>
    </row>
    <row r="315" ht="15.75" customHeight="1">
      <c r="A315" s="2" t="s">
        <v>1662</v>
      </c>
      <c r="B315" s="2" t="s">
        <v>1656</v>
      </c>
      <c r="C315" s="2" t="s">
        <v>519</v>
      </c>
      <c r="D315" s="2" t="s">
        <v>75</v>
      </c>
      <c r="E315" s="2" t="s">
        <v>1470</v>
      </c>
      <c r="F315" s="2" t="s">
        <v>1503</v>
      </c>
      <c r="G315" s="2" t="s">
        <v>524</v>
      </c>
      <c r="H315" s="2" t="s">
        <v>524</v>
      </c>
      <c r="I315" s="2" t="s">
        <v>1663</v>
      </c>
      <c r="J315" s="2" t="s">
        <v>1540</v>
      </c>
      <c r="K315" s="2" t="s">
        <v>524</v>
      </c>
      <c r="L315" s="2"/>
      <c r="M315" s="2"/>
      <c r="N315" s="2" t="s">
        <v>171</v>
      </c>
      <c r="O315" s="2">
        <v>1.0</v>
      </c>
      <c r="P315" s="2">
        <v>0.0</v>
      </c>
      <c r="Q315" s="2">
        <v>0.0</v>
      </c>
      <c r="R315" s="2">
        <v>1.0</v>
      </c>
      <c r="S315" s="2">
        <v>1.0</v>
      </c>
      <c r="T315" s="2" t="s">
        <v>1665</v>
      </c>
    </row>
    <row r="316" ht="15.75" customHeight="1">
      <c r="A316" s="2" t="s">
        <v>1666</v>
      </c>
      <c r="B316" s="2" t="s">
        <v>1656</v>
      </c>
      <c r="C316" s="2" t="s">
        <v>519</v>
      </c>
      <c r="D316" s="2" t="s">
        <v>118</v>
      </c>
      <c r="E316" s="2" t="s">
        <v>415</v>
      </c>
      <c r="F316" s="2" t="s">
        <v>415</v>
      </c>
      <c r="G316" s="2" t="s">
        <v>415</v>
      </c>
      <c r="H316" s="2" t="s">
        <v>415</v>
      </c>
      <c r="I316" s="2" t="s">
        <v>1667</v>
      </c>
      <c r="J316" s="2" t="s">
        <v>1668</v>
      </c>
      <c r="K316" s="2" t="s">
        <v>415</v>
      </c>
      <c r="L316" s="2"/>
      <c r="M316" s="2"/>
      <c r="N316" s="2" t="s">
        <v>171</v>
      </c>
      <c r="O316" s="2">
        <v>1.0</v>
      </c>
      <c r="P316" s="2">
        <v>0.0</v>
      </c>
      <c r="Q316" s="2">
        <v>0.0</v>
      </c>
      <c r="R316" s="2">
        <v>1.0</v>
      </c>
      <c r="S316" s="2">
        <v>1.0</v>
      </c>
      <c r="T316" s="2" t="s">
        <v>1669</v>
      </c>
    </row>
    <row r="317" ht="15.75" customHeight="1">
      <c r="A317" s="2" t="s">
        <v>1670</v>
      </c>
      <c r="B317" s="2" t="s">
        <v>1656</v>
      </c>
      <c r="C317" s="2" t="s">
        <v>519</v>
      </c>
      <c r="D317" s="2" t="s">
        <v>149</v>
      </c>
      <c r="E317" s="2" t="s">
        <v>1492</v>
      </c>
      <c r="F317" s="2" t="s">
        <v>1492</v>
      </c>
      <c r="G317" s="2" t="s">
        <v>1492</v>
      </c>
      <c r="H317" s="2" t="s">
        <v>1492</v>
      </c>
      <c r="I317" s="2" t="s">
        <v>1671</v>
      </c>
      <c r="J317" s="2" t="s">
        <v>1672</v>
      </c>
      <c r="K317" s="2" t="s">
        <v>1492</v>
      </c>
      <c r="L317" s="2"/>
      <c r="M317" s="2"/>
      <c r="N317" s="2" t="s">
        <v>171</v>
      </c>
      <c r="O317" s="2">
        <v>1.0</v>
      </c>
      <c r="P317" s="2">
        <v>0.0</v>
      </c>
      <c r="Q317" s="2">
        <v>0.0</v>
      </c>
      <c r="R317" s="2">
        <v>1.0</v>
      </c>
      <c r="S317" s="2">
        <v>1.0</v>
      </c>
      <c r="T317" s="2" t="s">
        <v>1673</v>
      </c>
    </row>
    <row r="318" ht="15.75" customHeight="1">
      <c r="A318" s="2" t="s">
        <v>1674</v>
      </c>
      <c r="B318" s="2" t="s">
        <v>1675</v>
      </c>
      <c r="C318" s="2" t="s">
        <v>519</v>
      </c>
      <c r="D318" s="2" t="s">
        <v>71</v>
      </c>
      <c r="E318" s="2" t="s">
        <v>1676</v>
      </c>
      <c r="F318" s="2" t="s">
        <v>1676</v>
      </c>
      <c r="G318" s="2" t="s">
        <v>1677</v>
      </c>
      <c r="H318" s="2" t="s">
        <v>1677</v>
      </c>
      <c r="I318" s="2" t="s">
        <v>1678</v>
      </c>
      <c r="J318" s="2" t="s">
        <v>1678</v>
      </c>
      <c r="K318" s="2" t="s">
        <v>1677</v>
      </c>
      <c r="L318" s="2"/>
      <c r="M318" s="2"/>
      <c r="N318" s="2" t="s">
        <v>145</v>
      </c>
      <c r="O318" s="2">
        <v>1.0</v>
      </c>
      <c r="P318" s="2">
        <v>0.0</v>
      </c>
      <c r="Q318" s="2">
        <v>0.0</v>
      </c>
      <c r="R318" s="2">
        <v>1.0</v>
      </c>
      <c r="S318" s="2">
        <v>0.0</v>
      </c>
      <c r="T318" s="2" t="s">
        <v>1679</v>
      </c>
    </row>
    <row r="319" ht="15.75" customHeight="1">
      <c r="A319" s="2" t="s">
        <v>1680</v>
      </c>
      <c r="B319" s="2" t="s">
        <v>1675</v>
      </c>
      <c r="C319" s="2" t="s">
        <v>519</v>
      </c>
      <c r="D319" s="2" t="s">
        <v>75</v>
      </c>
      <c r="E319" s="2" t="s">
        <v>1470</v>
      </c>
      <c r="F319" s="2" t="s">
        <v>1471</v>
      </c>
      <c r="G319" s="2" t="s">
        <v>524</v>
      </c>
      <c r="H319" s="2" t="s">
        <v>524</v>
      </c>
      <c r="I319" s="2" t="s">
        <v>1682</v>
      </c>
      <c r="J319" s="2" t="s">
        <v>1473</v>
      </c>
      <c r="K319" s="2" t="s">
        <v>524</v>
      </c>
      <c r="L319" s="2"/>
      <c r="M319" s="2"/>
      <c r="N319" s="2" t="s">
        <v>171</v>
      </c>
      <c r="O319" s="2">
        <v>1.0</v>
      </c>
      <c r="P319" s="2">
        <v>0.0</v>
      </c>
      <c r="Q319" s="2">
        <v>0.0</v>
      </c>
      <c r="R319" s="2">
        <v>1.0</v>
      </c>
      <c r="S319" s="2">
        <v>1.0</v>
      </c>
      <c r="T319" s="2" t="s">
        <v>1683</v>
      </c>
    </row>
    <row r="320" ht="15.75" customHeight="1">
      <c r="A320" s="2" t="s">
        <v>1684</v>
      </c>
      <c r="B320" s="2" t="s">
        <v>1675</v>
      </c>
      <c r="C320" s="2" t="s">
        <v>519</v>
      </c>
      <c r="D320" s="2" t="s">
        <v>118</v>
      </c>
      <c r="E320" s="2" t="s">
        <v>415</v>
      </c>
      <c r="F320" s="2" t="s">
        <v>415</v>
      </c>
      <c r="G320" s="2" t="s">
        <v>415</v>
      </c>
      <c r="H320" s="2" t="s">
        <v>415</v>
      </c>
      <c r="I320" s="2" t="s">
        <v>1685</v>
      </c>
      <c r="J320" s="2" t="s">
        <v>1686</v>
      </c>
      <c r="K320" s="2" t="s">
        <v>415</v>
      </c>
      <c r="L320" s="2"/>
      <c r="M320" s="2"/>
      <c r="N320" s="2" t="s">
        <v>171</v>
      </c>
      <c r="O320" s="2">
        <v>1.0</v>
      </c>
      <c r="P320" s="2">
        <v>0.0</v>
      </c>
      <c r="Q320" s="2">
        <v>0.0</v>
      </c>
      <c r="R320" s="2">
        <v>1.0</v>
      </c>
      <c r="S320" s="2">
        <v>1.0</v>
      </c>
      <c r="T320" s="2" t="s">
        <v>1687</v>
      </c>
    </row>
    <row r="321" ht="15.75" customHeight="1">
      <c r="A321" s="2" t="s">
        <v>1688</v>
      </c>
      <c r="B321" s="2" t="s">
        <v>1675</v>
      </c>
      <c r="C321" s="2" t="s">
        <v>519</v>
      </c>
      <c r="D321" s="2" t="s">
        <v>149</v>
      </c>
      <c r="E321" s="2" t="s">
        <v>1096</v>
      </c>
      <c r="F321" s="2" t="s">
        <v>1096</v>
      </c>
      <c r="G321" s="2" t="s">
        <v>1096</v>
      </c>
      <c r="H321" s="2" t="s">
        <v>1096</v>
      </c>
      <c r="I321" s="2" t="s">
        <v>1689</v>
      </c>
      <c r="J321" s="2" t="s">
        <v>1689</v>
      </c>
      <c r="K321" s="2" t="s">
        <v>1096</v>
      </c>
      <c r="L321" s="2"/>
      <c r="M321" s="2"/>
      <c r="N321" s="2" t="s">
        <v>145</v>
      </c>
      <c r="O321" s="2">
        <v>1.0</v>
      </c>
      <c r="P321" s="2">
        <v>0.0</v>
      </c>
      <c r="Q321" s="2">
        <v>0.0</v>
      </c>
      <c r="R321" s="2">
        <v>1.0</v>
      </c>
      <c r="S321" s="2">
        <v>0.0</v>
      </c>
      <c r="T321" s="2" t="s">
        <v>1691</v>
      </c>
    </row>
    <row r="322" ht="15.75" customHeight="1">
      <c r="A322" s="2" t="s">
        <v>574</v>
      </c>
      <c r="B322" s="2" t="s">
        <v>576</v>
      </c>
      <c r="C322" s="2" t="s">
        <v>519</v>
      </c>
      <c r="D322" s="2" t="s">
        <v>71</v>
      </c>
      <c r="E322" s="2" t="s">
        <v>577</v>
      </c>
      <c r="F322" s="2" t="s">
        <v>578</v>
      </c>
      <c r="G322" s="2" t="s">
        <v>577</v>
      </c>
      <c r="H322" s="2" t="s">
        <v>578</v>
      </c>
      <c r="I322" s="2" t="s">
        <v>579</v>
      </c>
      <c r="J322" s="2" t="s">
        <v>580</v>
      </c>
      <c r="K322" s="2"/>
      <c r="L322" s="2" t="s">
        <v>577</v>
      </c>
      <c r="M322" s="2" t="s">
        <v>578</v>
      </c>
      <c r="N322" s="2" t="s">
        <v>105</v>
      </c>
      <c r="O322" s="2">
        <v>0.0</v>
      </c>
      <c r="P322" s="2">
        <v>1.0</v>
      </c>
      <c r="Q322" s="2">
        <v>1.0</v>
      </c>
      <c r="R322" s="2">
        <v>0.0</v>
      </c>
      <c r="S322" s="2">
        <v>0.0</v>
      </c>
      <c r="T322" s="2" t="s">
        <v>594</v>
      </c>
    </row>
    <row r="323" ht="15.75" customHeight="1">
      <c r="A323" s="2" t="s">
        <v>1692</v>
      </c>
      <c r="B323" s="2" t="s">
        <v>576</v>
      </c>
      <c r="C323" s="2" t="s">
        <v>519</v>
      </c>
      <c r="D323" s="2" t="s">
        <v>75</v>
      </c>
      <c r="E323" s="2" t="s">
        <v>1470</v>
      </c>
      <c r="F323" s="2" t="s">
        <v>1471</v>
      </c>
      <c r="G323" s="2" t="s">
        <v>524</v>
      </c>
      <c r="H323" s="2" t="s">
        <v>524</v>
      </c>
      <c r="I323" s="2" t="s">
        <v>1693</v>
      </c>
      <c r="J323" s="2" t="s">
        <v>1601</v>
      </c>
      <c r="K323" s="2" t="s">
        <v>524</v>
      </c>
      <c r="L323" s="2"/>
      <c r="M323" s="2"/>
      <c r="N323" s="2" t="s">
        <v>171</v>
      </c>
      <c r="O323" s="2">
        <v>1.0</v>
      </c>
      <c r="P323" s="2">
        <v>0.0</v>
      </c>
      <c r="Q323" s="2">
        <v>0.0</v>
      </c>
      <c r="R323" s="2">
        <v>1.0</v>
      </c>
      <c r="S323" s="2">
        <v>1.0</v>
      </c>
      <c r="T323" s="2" t="s">
        <v>1695</v>
      </c>
    </row>
    <row r="324" ht="15.75" customHeight="1">
      <c r="A324" s="2" t="s">
        <v>1696</v>
      </c>
      <c r="B324" s="2" t="s">
        <v>576</v>
      </c>
      <c r="C324" s="2" t="s">
        <v>519</v>
      </c>
      <c r="D324" s="2" t="s">
        <v>118</v>
      </c>
      <c r="E324" s="2" t="s">
        <v>415</v>
      </c>
      <c r="F324" s="2" t="s">
        <v>415</v>
      </c>
      <c r="G324" s="2" t="s">
        <v>415</v>
      </c>
      <c r="H324" s="2" t="s">
        <v>415</v>
      </c>
      <c r="I324" s="2" t="s">
        <v>1697</v>
      </c>
      <c r="J324" s="2" t="s">
        <v>1698</v>
      </c>
      <c r="K324" s="2" t="s">
        <v>415</v>
      </c>
      <c r="L324" s="2"/>
      <c r="M324" s="2"/>
      <c r="N324" s="2" t="s">
        <v>171</v>
      </c>
      <c r="O324" s="2">
        <v>1.0</v>
      </c>
      <c r="P324" s="2">
        <v>0.0</v>
      </c>
      <c r="Q324" s="2">
        <v>0.0</v>
      </c>
      <c r="R324" s="2">
        <v>1.0</v>
      </c>
      <c r="S324" s="2">
        <v>1.0</v>
      </c>
      <c r="T324" s="2" t="s">
        <v>1699</v>
      </c>
    </row>
    <row r="325" ht="15.75" customHeight="1">
      <c r="A325" s="2" t="s">
        <v>1700</v>
      </c>
      <c r="B325" s="2" t="s">
        <v>576</v>
      </c>
      <c r="C325" s="2" t="s">
        <v>519</v>
      </c>
      <c r="D325" s="2" t="s">
        <v>149</v>
      </c>
      <c r="E325" s="2" t="s">
        <v>1701</v>
      </c>
      <c r="F325" s="2" t="s">
        <v>1701</v>
      </c>
      <c r="G325" s="2" t="s">
        <v>1701</v>
      </c>
      <c r="H325" s="2" t="s">
        <v>1701</v>
      </c>
      <c r="I325" s="2" t="s">
        <v>1702</v>
      </c>
      <c r="J325" s="2" t="s">
        <v>1702</v>
      </c>
      <c r="K325" s="2" t="s">
        <v>1701</v>
      </c>
      <c r="L325" s="2"/>
      <c r="M325" s="2"/>
      <c r="N325" s="2" t="s">
        <v>145</v>
      </c>
      <c r="O325" s="2">
        <v>1.0</v>
      </c>
      <c r="P325" s="2">
        <v>0.0</v>
      </c>
      <c r="Q325" s="2">
        <v>0.0</v>
      </c>
      <c r="R325" s="2">
        <v>1.0</v>
      </c>
      <c r="S325" s="2">
        <v>0.0</v>
      </c>
      <c r="T325" s="2" t="s">
        <v>1703</v>
      </c>
    </row>
    <row r="326" ht="15.75" customHeight="1">
      <c r="A326" s="2" t="s">
        <v>1704</v>
      </c>
      <c r="B326" s="2" t="s">
        <v>1705</v>
      </c>
      <c r="C326" s="2" t="s">
        <v>519</v>
      </c>
      <c r="D326" s="2" t="s">
        <v>71</v>
      </c>
      <c r="E326" s="2" t="s">
        <v>553</v>
      </c>
      <c r="F326" s="2" t="s">
        <v>553</v>
      </c>
      <c r="G326" s="2" t="s">
        <v>553</v>
      </c>
      <c r="H326" s="2" t="s">
        <v>553</v>
      </c>
      <c r="I326" s="2" t="s">
        <v>1706</v>
      </c>
      <c r="J326" s="2" t="s">
        <v>1707</v>
      </c>
      <c r="K326" s="2" t="s">
        <v>553</v>
      </c>
      <c r="L326" s="2"/>
      <c r="M326" s="2"/>
      <c r="N326" s="2" t="s">
        <v>171</v>
      </c>
      <c r="O326" s="2">
        <v>1.0</v>
      </c>
      <c r="P326" s="2">
        <v>0.0</v>
      </c>
      <c r="Q326" s="2">
        <v>0.0</v>
      </c>
      <c r="R326" s="2">
        <v>1.0</v>
      </c>
      <c r="S326" s="2">
        <v>1.0</v>
      </c>
      <c r="T326" s="2" t="s">
        <v>1708</v>
      </c>
    </row>
    <row r="327" ht="15.75" customHeight="1">
      <c r="A327" s="2" t="s">
        <v>1709</v>
      </c>
      <c r="B327" s="2" t="s">
        <v>1705</v>
      </c>
      <c r="C327" s="2" t="s">
        <v>519</v>
      </c>
      <c r="D327" s="2" t="s">
        <v>75</v>
      </c>
      <c r="E327" s="2" t="s">
        <v>1470</v>
      </c>
      <c r="F327" s="2" t="s">
        <v>1503</v>
      </c>
      <c r="G327" s="2" t="s">
        <v>524</v>
      </c>
      <c r="H327" s="2" t="s">
        <v>524</v>
      </c>
      <c r="I327" s="2" t="s">
        <v>1710</v>
      </c>
      <c r="J327" s="2" t="s">
        <v>1711</v>
      </c>
      <c r="K327" s="2" t="s">
        <v>524</v>
      </c>
      <c r="L327" s="2"/>
      <c r="M327" s="2"/>
      <c r="N327" s="2" t="s">
        <v>171</v>
      </c>
      <c r="O327" s="2">
        <v>1.0</v>
      </c>
      <c r="P327" s="2">
        <v>0.0</v>
      </c>
      <c r="Q327" s="2">
        <v>0.0</v>
      </c>
      <c r="R327" s="2">
        <v>1.0</v>
      </c>
      <c r="S327" s="2">
        <v>1.0</v>
      </c>
      <c r="T327" s="2" t="s">
        <v>1713</v>
      </c>
    </row>
    <row r="328" ht="15.75" customHeight="1">
      <c r="A328" s="2" t="s">
        <v>1714</v>
      </c>
      <c r="B328" s="2" t="s">
        <v>1705</v>
      </c>
      <c r="C328" s="2" t="s">
        <v>519</v>
      </c>
      <c r="D328" s="2" t="s">
        <v>118</v>
      </c>
      <c r="E328" s="2" t="s">
        <v>415</v>
      </c>
      <c r="F328" s="2" t="s">
        <v>415</v>
      </c>
      <c r="G328" s="2" t="s">
        <v>415</v>
      </c>
      <c r="H328" s="2" t="s">
        <v>415</v>
      </c>
      <c r="I328" s="2" t="s">
        <v>1715</v>
      </c>
      <c r="J328" s="2" t="s">
        <v>1716</v>
      </c>
      <c r="K328" s="2" t="s">
        <v>415</v>
      </c>
      <c r="L328" s="2"/>
      <c r="M328" s="2"/>
      <c r="N328" s="2" t="s">
        <v>171</v>
      </c>
      <c r="O328" s="2">
        <v>1.0</v>
      </c>
      <c r="P328" s="2">
        <v>0.0</v>
      </c>
      <c r="Q328" s="2">
        <v>0.0</v>
      </c>
      <c r="R328" s="2">
        <v>1.0</v>
      </c>
      <c r="S328" s="2">
        <v>1.0</v>
      </c>
      <c r="T328" s="2" t="s">
        <v>1717</v>
      </c>
    </row>
    <row r="329" ht="15.75" customHeight="1">
      <c r="A329" s="2" t="s">
        <v>1718</v>
      </c>
      <c r="B329" s="2" t="s">
        <v>1705</v>
      </c>
      <c r="C329" s="2" t="s">
        <v>519</v>
      </c>
      <c r="D329" s="2" t="s">
        <v>149</v>
      </c>
      <c r="E329" s="2" t="s">
        <v>1096</v>
      </c>
      <c r="F329" s="2" t="s">
        <v>1096</v>
      </c>
      <c r="G329" s="2" t="s">
        <v>1096</v>
      </c>
      <c r="H329" s="2" t="s">
        <v>1096</v>
      </c>
      <c r="I329" s="2" t="s">
        <v>1719</v>
      </c>
      <c r="J329" s="2" t="s">
        <v>1719</v>
      </c>
      <c r="K329" s="2" t="s">
        <v>1096</v>
      </c>
      <c r="L329" s="2"/>
      <c r="M329" s="2"/>
      <c r="N329" s="2" t="s">
        <v>145</v>
      </c>
      <c r="O329" s="2">
        <v>1.0</v>
      </c>
      <c r="P329" s="2">
        <v>0.0</v>
      </c>
      <c r="Q329" s="2">
        <v>0.0</v>
      </c>
      <c r="R329" s="2">
        <v>1.0</v>
      </c>
      <c r="S329" s="2">
        <v>0.0</v>
      </c>
      <c r="T329" s="2" t="s">
        <v>1720</v>
      </c>
    </row>
    <row r="330" ht="15.75" customHeight="1">
      <c r="A330" s="2" t="s">
        <v>1721</v>
      </c>
      <c r="B330" s="2" t="s">
        <v>1722</v>
      </c>
      <c r="C330" s="2" t="s">
        <v>519</v>
      </c>
      <c r="D330" s="2" t="s">
        <v>71</v>
      </c>
      <c r="E330" s="2" t="s">
        <v>1723</v>
      </c>
      <c r="F330" s="2" t="s">
        <v>1723</v>
      </c>
      <c r="G330" s="2" t="s">
        <v>1724</v>
      </c>
      <c r="H330" s="2" t="s">
        <v>1724</v>
      </c>
      <c r="I330" s="2" t="s">
        <v>1725</v>
      </c>
      <c r="J330" s="2" t="s">
        <v>1725</v>
      </c>
      <c r="K330" s="2" t="s">
        <v>1724</v>
      </c>
      <c r="L330" s="2"/>
      <c r="M330" s="2"/>
      <c r="N330" s="2" t="s">
        <v>145</v>
      </c>
      <c r="O330" s="2">
        <v>1.0</v>
      </c>
      <c r="P330" s="2">
        <v>0.0</v>
      </c>
      <c r="Q330" s="2">
        <v>0.0</v>
      </c>
      <c r="R330" s="2">
        <v>1.0</v>
      </c>
      <c r="S330" s="2">
        <v>0.0</v>
      </c>
      <c r="T330" s="2" t="s">
        <v>1726</v>
      </c>
    </row>
    <row r="331" ht="15.75" customHeight="1">
      <c r="A331" s="2" t="s">
        <v>1727</v>
      </c>
      <c r="B331" s="2" t="s">
        <v>1722</v>
      </c>
      <c r="C331" s="2" t="s">
        <v>519</v>
      </c>
      <c r="D331" s="2" t="s">
        <v>75</v>
      </c>
      <c r="E331" s="2" t="s">
        <v>1470</v>
      </c>
      <c r="F331" s="2" t="s">
        <v>1471</v>
      </c>
      <c r="G331" s="2" t="s">
        <v>524</v>
      </c>
      <c r="H331" s="2" t="s">
        <v>524</v>
      </c>
      <c r="I331" s="2" t="s">
        <v>1728</v>
      </c>
      <c r="J331" s="2" t="s">
        <v>1473</v>
      </c>
      <c r="K331" s="2" t="s">
        <v>524</v>
      </c>
      <c r="L331" s="2"/>
      <c r="M331" s="2"/>
      <c r="N331" s="2" t="s">
        <v>171</v>
      </c>
      <c r="O331" s="2">
        <v>1.0</v>
      </c>
      <c r="P331" s="2">
        <v>0.0</v>
      </c>
      <c r="Q331" s="2">
        <v>0.0</v>
      </c>
      <c r="R331" s="2">
        <v>1.0</v>
      </c>
      <c r="S331" s="2">
        <v>1.0</v>
      </c>
      <c r="T331" s="2" t="s">
        <v>1731</v>
      </c>
    </row>
    <row r="332" ht="15.75" customHeight="1">
      <c r="A332" s="2" t="s">
        <v>1732</v>
      </c>
      <c r="B332" s="2" t="s">
        <v>1722</v>
      </c>
      <c r="C332" s="2" t="s">
        <v>519</v>
      </c>
      <c r="D332" s="2" t="s">
        <v>118</v>
      </c>
      <c r="E332" s="2" t="s">
        <v>415</v>
      </c>
      <c r="F332" s="2" t="s">
        <v>415</v>
      </c>
      <c r="G332" s="2" t="s">
        <v>415</v>
      </c>
      <c r="H332" s="2" t="s">
        <v>415</v>
      </c>
      <c r="I332" s="2" t="s">
        <v>1733</v>
      </c>
      <c r="J332" s="2" t="s">
        <v>1734</v>
      </c>
      <c r="K332" s="2" t="s">
        <v>415</v>
      </c>
      <c r="L332" s="2"/>
      <c r="M332" s="2"/>
      <c r="N332" s="2" t="s">
        <v>171</v>
      </c>
      <c r="O332" s="2">
        <v>1.0</v>
      </c>
      <c r="P332" s="2">
        <v>0.0</v>
      </c>
      <c r="Q332" s="2">
        <v>0.0</v>
      </c>
      <c r="R332" s="2">
        <v>1.0</v>
      </c>
      <c r="S332" s="2">
        <v>1.0</v>
      </c>
      <c r="T332" s="2" t="s">
        <v>1735</v>
      </c>
    </row>
    <row r="333" ht="15.75" customHeight="1">
      <c r="A333" s="2" t="s">
        <v>1736</v>
      </c>
      <c r="B333" s="2" t="s">
        <v>1722</v>
      </c>
      <c r="C333" s="2" t="s">
        <v>519</v>
      </c>
      <c r="D333" s="2" t="s">
        <v>149</v>
      </c>
      <c r="E333" s="2" t="s">
        <v>1096</v>
      </c>
      <c r="F333" s="2" t="s">
        <v>1096</v>
      </c>
      <c r="G333" s="2" t="s">
        <v>1096</v>
      </c>
      <c r="H333" s="2" t="s">
        <v>1096</v>
      </c>
      <c r="I333" s="2" t="s">
        <v>1737</v>
      </c>
      <c r="J333" s="2" t="s">
        <v>1737</v>
      </c>
      <c r="K333" s="2" t="s">
        <v>1096</v>
      </c>
      <c r="L333" s="2"/>
      <c r="M333" s="2"/>
      <c r="N333" s="2" t="s">
        <v>145</v>
      </c>
      <c r="O333" s="2">
        <v>1.0</v>
      </c>
      <c r="P333" s="2">
        <v>0.0</v>
      </c>
      <c r="Q333" s="2">
        <v>0.0</v>
      </c>
      <c r="R333" s="2">
        <v>1.0</v>
      </c>
      <c r="S333" s="2">
        <v>0.0</v>
      </c>
      <c r="T333" s="2" t="s">
        <v>1738</v>
      </c>
    </row>
    <row r="334" ht="15.75" customHeight="1">
      <c r="A334" s="2" t="s">
        <v>1739</v>
      </c>
      <c r="B334" s="2" t="s">
        <v>1740</v>
      </c>
      <c r="C334" s="2" t="s">
        <v>519</v>
      </c>
      <c r="D334" s="2" t="s">
        <v>71</v>
      </c>
      <c r="E334" s="2" t="s">
        <v>1741</v>
      </c>
      <c r="F334" s="2" t="s">
        <v>1741</v>
      </c>
      <c r="G334" s="2" t="s">
        <v>1741</v>
      </c>
      <c r="H334" s="2" t="s">
        <v>1741</v>
      </c>
      <c r="I334" s="2" t="s">
        <v>1742</v>
      </c>
      <c r="J334" s="2" t="s">
        <v>1742</v>
      </c>
      <c r="K334" s="2" t="s">
        <v>1741</v>
      </c>
      <c r="L334" s="2"/>
      <c r="M334" s="2"/>
      <c r="N334" s="2" t="s">
        <v>145</v>
      </c>
      <c r="O334" s="2">
        <v>1.0</v>
      </c>
      <c r="P334" s="2">
        <v>0.0</v>
      </c>
      <c r="Q334" s="2">
        <v>0.0</v>
      </c>
      <c r="R334" s="2">
        <v>1.0</v>
      </c>
      <c r="S334" s="2">
        <v>0.0</v>
      </c>
      <c r="T334" s="2" t="s">
        <v>1744</v>
      </c>
    </row>
    <row r="335" ht="15.75" customHeight="1">
      <c r="A335" s="2" t="s">
        <v>1745</v>
      </c>
      <c r="B335" s="2" t="s">
        <v>1740</v>
      </c>
      <c r="C335" s="2" t="s">
        <v>519</v>
      </c>
      <c r="D335" s="2" t="s">
        <v>75</v>
      </c>
      <c r="E335" s="2" t="s">
        <v>522</v>
      </c>
      <c r="F335" s="2" t="s">
        <v>1471</v>
      </c>
      <c r="G335" s="2" t="s">
        <v>524</v>
      </c>
      <c r="H335" s="2" t="s">
        <v>524</v>
      </c>
      <c r="I335" s="2" t="s">
        <v>1746</v>
      </c>
      <c r="J335" s="2" t="s">
        <v>1747</v>
      </c>
      <c r="K335" s="2" t="s">
        <v>524</v>
      </c>
      <c r="L335" s="2"/>
      <c r="M335" s="2"/>
      <c r="N335" s="2" t="s">
        <v>171</v>
      </c>
      <c r="O335" s="2">
        <v>1.0</v>
      </c>
      <c r="P335" s="2">
        <v>0.0</v>
      </c>
      <c r="Q335" s="2">
        <v>0.0</v>
      </c>
      <c r="R335" s="2">
        <v>1.0</v>
      </c>
      <c r="S335" s="2">
        <v>1.0</v>
      </c>
      <c r="T335" s="2" t="s">
        <v>1749</v>
      </c>
    </row>
    <row r="336" ht="15.75" customHeight="1">
      <c r="A336" s="2" t="s">
        <v>1750</v>
      </c>
      <c r="B336" s="2" t="s">
        <v>1740</v>
      </c>
      <c r="C336" s="2" t="s">
        <v>519</v>
      </c>
      <c r="D336" s="2" t="s">
        <v>118</v>
      </c>
      <c r="E336" s="2" t="s">
        <v>415</v>
      </c>
      <c r="F336" s="2" t="s">
        <v>415</v>
      </c>
      <c r="G336" s="2" t="s">
        <v>415</v>
      </c>
      <c r="H336" s="2" t="s">
        <v>415</v>
      </c>
      <c r="I336" s="2" t="s">
        <v>1751</v>
      </c>
      <c r="J336" s="2" t="s">
        <v>1752</v>
      </c>
      <c r="K336" s="2" t="s">
        <v>415</v>
      </c>
      <c r="L336" s="2"/>
      <c r="M336" s="2"/>
      <c r="N336" s="2" t="s">
        <v>171</v>
      </c>
      <c r="O336" s="2">
        <v>1.0</v>
      </c>
      <c r="P336" s="2">
        <v>0.0</v>
      </c>
      <c r="Q336" s="2">
        <v>0.0</v>
      </c>
      <c r="R336" s="2">
        <v>1.0</v>
      </c>
      <c r="S336" s="2">
        <v>1.0</v>
      </c>
      <c r="T336" s="2" t="s">
        <v>1753</v>
      </c>
    </row>
    <row r="337" ht="15.75" customHeight="1">
      <c r="A337" s="2" t="s">
        <v>1754</v>
      </c>
      <c r="B337" s="2" t="s">
        <v>1740</v>
      </c>
      <c r="C337" s="2" t="s">
        <v>519</v>
      </c>
      <c r="D337" s="2" t="s">
        <v>149</v>
      </c>
      <c r="E337" s="2" t="s">
        <v>1492</v>
      </c>
      <c r="F337" s="2" t="s">
        <v>1492</v>
      </c>
      <c r="G337" s="2" t="s">
        <v>1492</v>
      </c>
      <c r="H337" s="2" t="s">
        <v>1492</v>
      </c>
      <c r="I337" s="2" t="s">
        <v>1755</v>
      </c>
      <c r="J337" s="2" t="s">
        <v>1756</v>
      </c>
      <c r="K337" s="2" t="s">
        <v>1492</v>
      </c>
      <c r="L337" s="2"/>
      <c r="M337" s="2"/>
      <c r="N337" s="2" t="s">
        <v>171</v>
      </c>
      <c r="O337" s="2">
        <v>1.0</v>
      </c>
      <c r="P337" s="2">
        <v>0.0</v>
      </c>
      <c r="Q337" s="2">
        <v>0.0</v>
      </c>
      <c r="R337" s="2">
        <v>1.0</v>
      </c>
      <c r="S337" s="2">
        <v>1.0</v>
      </c>
      <c r="T337" s="2" t="s">
        <v>1757</v>
      </c>
    </row>
    <row r="338" ht="15.75" customHeight="1">
      <c r="A338" s="2" t="s">
        <v>596</v>
      </c>
      <c r="B338" s="2" t="s">
        <v>598</v>
      </c>
      <c r="C338" s="2" t="s">
        <v>519</v>
      </c>
      <c r="D338" s="2" t="s">
        <v>71</v>
      </c>
      <c r="E338" s="2" t="s">
        <v>553</v>
      </c>
      <c r="F338" s="2" t="s">
        <v>600</v>
      </c>
      <c r="G338" s="2" t="s">
        <v>553</v>
      </c>
      <c r="H338" s="2" t="s">
        <v>602</v>
      </c>
      <c r="I338" s="2" t="s">
        <v>603</v>
      </c>
      <c r="J338" s="2" t="s">
        <v>605</v>
      </c>
      <c r="K338" s="2"/>
      <c r="L338" s="2" t="s">
        <v>553</v>
      </c>
      <c r="M338" s="2" t="s">
        <v>602</v>
      </c>
      <c r="N338" s="2" t="s">
        <v>105</v>
      </c>
      <c r="O338" s="2">
        <v>0.0</v>
      </c>
      <c r="P338" s="2">
        <v>1.0</v>
      </c>
      <c r="Q338" s="2">
        <v>1.0</v>
      </c>
      <c r="R338" s="2">
        <v>0.0</v>
      </c>
      <c r="S338" s="2">
        <v>0.0</v>
      </c>
      <c r="T338" s="2" t="s">
        <v>621</v>
      </c>
    </row>
    <row r="339" ht="15.75" customHeight="1">
      <c r="A339" s="2" t="s">
        <v>1759</v>
      </c>
      <c r="B339" s="2" t="s">
        <v>598</v>
      </c>
      <c r="C339" s="2" t="s">
        <v>519</v>
      </c>
      <c r="D339" s="2" t="s">
        <v>75</v>
      </c>
      <c r="E339" s="2" t="s">
        <v>1470</v>
      </c>
      <c r="F339" s="2" t="s">
        <v>1503</v>
      </c>
      <c r="G339" s="2" t="s">
        <v>524</v>
      </c>
      <c r="H339" s="2" t="s">
        <v>524</v>
      </c>
      <c r="I339" s="2" t="s">
        <v>1760</v>
      </c>
      <c r="J339" s="2" t="s">
        <v>1761</v>
      </c>
      <c r="K339" s="2" t="s">
        <v>524</v>
      </c>
      <c r="L339" s="2"/>
      <c r="M339" s="2"/>
      <c r="N339" s="2" t="s">
        <v>171</v>
      </c>
      <c r="O339" s="2">
        <v>1.0</v>
      </c>
      <c r="P339" s="2">
        <v>0.0</v>
      </c>
      <c r="Q339" s="2">
        <v>0.0</v>
      </c>
      <c r="R339" s="2">
        <v>1.0</v>
      </c>
      <c r="S339" s="2">
        <v>1.0</v>
      </c>
      <c r="T339" s="2" t="s">
        <v>1764</v>
      </c>
    </row>
    <row r="340" ht="15.75" customHeight="1">
      <c r="A340" s="2" t="s">
        <v>1765</v>
      </c>
      <c r="B340" s="2" t="s">
        <v>598</v>
      </c>
      <c r="C340" s="2" t="s">
        <v>519</v>
      </c>
      <c r="D340" s="2" t="s">
        <v>118</v>
      </c>
      <c r="E340" s="2" t="s">
        <v>415</v>
      </c>
      <c r="F340" s="2" t="s">
        <v>415</v>
      </c>
      <c r="G340" s="2" t="s">
        <v>415</v>
      </c>
      <c r="H340" s="2" t="s">
        <v>415</v>
      </c>
      <c r="I340" s="2" t="s">
        <v>1766</v>
      </c>
      <c r="J340" s="2" t="s">
        <v>1767</v>
      </c>
      <c r="K340" s="2" t="s">
        <v>415</v>
      </c>
      <c r="L340" s="2"/>
      <c r="M340" s="2"/>
      <c r="N340" s="2" t="s">
        <v>171</v>
      </c>
      <c r="O340" s="2">
        <v>1.0</v>
      </c>
      <c r="P340" s="2">
        <v>0.0</v>
      </c>
      <c r="Q340" s="2">
        <v>0.0</v>
      </c>
      <c r="R340" s="2">
        <v>1.0</v>
      </c>
      <c r="S340" s="2">
        <v>1.0</v>
      </c>
      <c r="T340" s="2" t="s">
        <v>1768</v>
      </c>
    </row>
    <row r="341" ht="15.75" customHeight="1">
      <c r="A341" s="2" t="s">
        <v>1769</v>
      </c>
      <c r="B341" s="2" t="s">
        <v>598</v>
      </c>
      <c r="C341" s="2" t="s">
        <v>519</v>
      </c>
      <c r="D341" s="2" t="s">
        <v>149</v>
      </c>
      <c r="E341" s="2" t="s">
        <v>1096</v>
      </c>
      <c r="F341" s="2" t="s">
        <v>1096</v>
      </c>
      <c r="G341" s="2" t="s">
        <v>1096</v>
      </c>
      <c r="H341" s="2" t="s">
        <v>1096</v>
      </c>
      <c r="I341" s="2" t="s">
        <v>1770</v>
      </c>
      <c r="J341" s="2" t="s">
        <v>1770</v>
      </c>
      <c r="K341" s="2" t="s">
        <v>1096</v>
      </c>
      <c r="L341" s="2"/>
      <c r="M341" s="2"/>
      <c r="N341" s="2" t="s">
        <v>145</v>
      </c>
      <c r="O341" s="2">
        <v>1.0</v>
      </c>
      <c r="P341" s="2">
        <v>0.0</v>
      </c>
      <c r="Q341" s="2">
        <v>0.0</v>
      </c>
      <c r="R341" s="2">
        <v>1.0</v>
      </c>
      <c r="S341" s="2">
        <v>0.0</v>
      </c>
      <c r="T341" s="2" t="s">
        <v>1771</v>
      </c>
    </row>
    <row r="342" ht="15.75" customHeight="1">
      <c r="A342" s="2" t="s">
        <v>1772</v>
      </c>
      <c r="B342" s="2" t="s">
        <v>678</v>
      </c>
      <c r="C342" s="2" t="s">
        <v>519</v>
      </c>
      <c r="D342" s="2" t="s">
        <v>71</v>
      </c>
      <c r="E342" s="2" t="s">
        <v>1773</v>
      </c>
      <c r="F342" s="2" t="s">
        <v>1773</v>
      </c>
      <c r="G342" s="2" t="s">
        <v>1774</v>
      </c>
      <c r="H342" s="2" t="s">
        <v>1774</v>
      </c>
      <c r="I342" s="2" t="s">
        <v>1775</v>
      </c>
      <c r="J342" s="2" t="s">
        <v>1776</v>
      </c>
      <c r="K342" s="2" t="s">
        <v>1774</v>
      </c>
      <c r="L342" s="2"/>
      <c r="M342" s="2"/>
      <c r="N342" s="2" t="s">
        <v>171</v>
      </c>
      <c r="O342" s="2">
        <v>1.0</v>
      </c>
      <c r="P342" s="2">
        <v>0.0</v>
      </c>
      <c r="Q342" s="2">
        <v>0.0</v>
      </c>
      <c r="R342" s="2">
        <v>1.0</v>
      </c>
      <c r="S342" s="2">
        <v>1.0</v>
      </c>
      <c r="T342" s="2" t="s">
        <v>1778</v>
      </c>
    </row>
    <row r="343" ht="15.75" customHeight="1">
      <c r="A343" s="2" t="s">
        <v>1779</v>
      </c>
      <c r="B343" s="2" t="s">
        <v>678</v>
      </c>
      <c r="C343" s="2" t="s">
        <v>519</v>
      </c>
      <c r="D343" s="2" t="s">
        <v>75</v>
      </c>
      <c r="E343" s="2" t="s">
        <v>1470</v>
      </c>
      <c r="F343" s="2" t="s">
        <v>1503</v>
      </c>
      <c r="G343" s="2" t="s">
        <v>524</v>
      </c>
      <c r="H343" s="2" t="s">
        <v>524</v>
      </c>
      <c r="I343" s="2" t="s">
        <v>1780</v>
      </c>
      <c r="J343" s="2" t="s">
        <v>1781</v>
      </c>
      <c r="K343" s="2" t="s">
        <v>524</v>
      </c>
      <c r="L343" s="2"/>
      <c r="M343" s="2"/>
      <c r="N343" s="2" t="s">
        <v>171</v>
      </c>
      <c r="O343" s="2">
        <v>1.0</v>
      </c>
      <c r="P343" s="2">
        <v>0.0</v>
      </c>
      <c r="Q343" s="2">
        <v>0.0</v>
      </c>
      <c r="R343" s="2">
        <v>1.0</v>
      </c>
      <c r="S343" s="2">
        <v>1.0</v>
      </c>
      <c r="T343" s="2" t="s">
        <v>1782</v>
      </c>
    </row>
    <row r="344" ht="15.75" customHeight="1">
      <c r="A344" s="2" t="s">
        <v>1783</v>
      </c>
      <c r="B344" s="2" t="s">
        <v>678</v>
      </c>
      <c r="C344" s="2" t="s">
        <v>519</v>
      </c>
      <c r="D344" s="2" t="s">
        <v>118</v>
      </c>
      <c r="E344" s="2" t="s">
        <v>1784</v>
      </c>
      <c r="F344" s="2" t="s">
        <v>1784</v>
      </c>
      <c r="G344" s="2" t="s">
        <v>1784</v>
      </c>
      <c r="H344" s="2" t="s">
        <v>1784</v>
      </c>
      <c r="I344" s="2" t="s">
        <v>1785</v>
      </c>
      <c r="J344" s="2" t="s">
        <v>1786</v>
      </c>
      <c r="K344" s="2" t="s">
        <v>1784</v>
      </c>
      <c r="L344" s="2"/>
      <c r="M344" s="2"/>
      <c r="N344" s="2" t="s">
        <v>171</v>
      </c>
      <c r="O344" s="2">
        <v>1.0</v>
      </c>
      <c r="P344" s="2">
        <v>0.0</v>
      </c>
      <c r="Q344" s="2">
        <v>0.0</v>
      </c>
      <c r="R344" s="2">
        <v>1.0</v>
      </c>
      <c r="S344" s="2">
        <v>1.0</v>
      </c>
      <c r="T344" s="2" t="s">
        <v>1787</v>
      </c>
    </row>
    <row r="345" ht="15.75" customHeight="1">
      <c r="A345" s="2" t="s">
        <v>677</v>
      </c>
      <c r="B345" s="2" t="s">
        <v>678</v>
      </c>
      <c r="C345" s="2" t="s">
        <v>519</v>
      </c>
      <c r="D345" s="2" t="s">
        <v>149</v>
      </c>
      <c r="E345" s="2" t="s">
        <v>679</v>
      </c>
      <c r="F345" s="2" t="s">
        <v>680</v>
      </c>
      <c r="G345" s="2" t="s">
        <v>679</v>
      </c>
      <c r="H345" s="2" t="s">
        <v>680</v>
      </c>
      <c r="I345" s="2" t="s">
        <v>681</v>
      </c>
      <c r="J345" s="2" t="s">
        <v>682</v>
      </c>
      <c r="K345" s="2"/>
      <c r="L345" s="2" t="s">
        <v>679</v>
      </c>
      <c r="M345" s="2" t="s">
        <v>680</v>
      </c>
      <c r="N345" s="2" t="s">
        <v>86</v>
      </c>
      <c r="O345" s="2">
        <v>0.0</v>
      </c>
      <c r="P345" s="2">
        <v>1.0</v>
      </c>
      <c r="Q345" s="2">
        <v>1.0</v>
      </c>
      <c r="R345" s="2">
        <v>0.0</v>
      </c>
      <c r="S345" s="2">
        <v>0.0</v>
      </c>
      <c r="T345" s="2" t="s">
        <v>689</v>
      </c>
    </row>
    <row r="346" ht="15.75" customHeight="1">
      <c r="A346" s="2" t="s">
        <v>1789</v>
      </c>
      <c r="B346" s="2" t="s">
        <v>1790</v>
      </c>
      <c r="C346" s="2" t="s">
        <v>894</v>
      </c>
      <c r="D346" s="2" t="s">
        <v>71</v>
      </c>
      <c r="E346" s="2" t="s">
        <v>1791</v>
      </c>
      <c r="F346" s="2" t="s">
        <v>1791</v>
      </c>
      <c r="G346" s="2" t="s">
        <v>1792</v>
      </c>
      <c r="H346" s="2" t="s">
        <v>1792</v>
      </c>
      <c r="I346" s="2" t="s">
        <v>1793</v>
      </c>
      <c r="J346" s="2" t="s">
        <v>1793</v>
      </c>
      <c r="K346" s="2" t="s">
        <v>1792</v>
      </c>
      <c r="L346" s="2"/>
      <c r="M346" s="2"/>
      <c r="N346" s="2" t="s">
        <v>145</v>
      </c>
      <c r="O346" s="2">
        <v>1.0</v>
      </c>
      <c r="P346" s="2">
        <v>0.0</v>
      </c>
      <c r="Q346" s="2">
        <v>0.0</v>
      </c>
      <c r="R346" s="2">
        <v>1.0</v>
      </c>
      <c r="S346" s="2">
        <v>0.0</v>
      </c>
      <c r="T346" s="2" t="s">
        <v>1794</v>
      </c>
    </row>
    <row r="347" ht="15.75" customHeight="1">
      <c r="A347" s="2" t="s">
        <v>1795</v>
      </c>
      <c r="B347" s="2" t="s">
        <v>1790</v>
      </c>
      <c r="C347" s="2" t="s">
        <v>894</v>
      </c>
      <c r="D347" s="2" t="s">
        <v>75</v>
      </c>
      <c r="E347" s="2" t="s">
        <v>1796</v>
      </c>
      <c r="F347" s="2" t="s">
        <v>1796</v>
      </c>
      <c r="G347" s="2" t="s">
        <v>1797</v>
      </c>
      <c r="H347" s="2" t="s">
        <v>1797</v>
      </c>
      <c r="I347" s="2" t="s">
        <v>1798</v>
      </c>
      <c r="J347" s="2" t="s">
        <v>1798</v>
      </c>
      <c r="K347" s="2" t="s">
        <v>1797</v>
      </c>
      <c r="L347" s="2"/>
      <c r="M347" s="2"/>
      <c r="N347" s="2" t="s">
        <v>145</v>
      </c>
      <c r="O347" s="2">
        <v>1.0</v>
      </c>
      <c r="P347" s="2">
        <v>0.0</v>
      </c>
      <c r="Q347" s="2">
        <v>0.0</v>
      </c>
      <c r="R347" s="2">
        <v>1.0</v>
      </c>
      <c r="S347" s="2">
        <v>0.0</v>
      </c>
      <c r="T347" s="2" t="s">
        <v>1799</v>
      </c>
    </row>
    <row r="348" ht="15.75" customHeight="1">
      <c r="A348" s="2" t="s">
        <v>1800</v>
      </c>
      <c r="B348" s="2" t="s">
        <v>1790</v>
      </c>
      <c r="C348" s="2" t="s">
        <v>894</v>
      </c>
      <c r="D348" s="2" t="s">
        <v>118</v>
      </c>
      <c r="E348" s="2" t="s">
        <v>1801</v>
      </c>
      <c r="F348" s="2" t="s">
        <v>1801</v>
      </c>
      <c r="G348" s="2" t="s">
        <v>1801</v>
      </c>
      <c r="H348" s="2" t="s">
        <v>1801</v>
      </c>
      <c r="I348" s="2" t="s">
        <v>1802</v>
      </c>
      <c r="J348" s="2" t="s">
        <v>1803</v>
      </c>
      <c r="K348" s="2" t="s">
        <v>1801</v>
      </c>
      <c r="L348" s="2"/>
      <c r="M348" s="2"/>
      <c r="N348" s="2" t="s">
        <v>171</v>
      </c>
      <c r="O348" s="2">
        <v>1.0</v>
      </c>
      <c r="P348" s="2">
        <v>0.0</v>
      </c>
      <c r="Q348" s="2">
        <v>0.0</v>
      </c>
      <c r="R348" s="2">
        <v>1.0</v>
      </c>
      <c r="S348" s="2">
        <v>1.0</v>
      </c>
      <c r="T348" s="2" t="s">
        <v>1804</v>
      </c>
    </row>
    <row r="349" ht="15.75" customHeight="1">
      <c r="A349" s="2" t="s">
        <v>1805</v>
      </c>
      <c r="B349" s="2" t="s">
        <v>1790</v>
      </c>
      <c r="C349" s="2" t="s">
        <v>894</v>
      </c>
      <c r="D349" s="2" t="s">
        <v>149</v>
      </c>
      <c r="E349" s="2" t="s">
        <v>962</v>
      </c>
      <c r="F349" s="2" t="s">
        <v>962</v>
      </c>
      <c r="G349" s="2" t="s">
        <v>962</v>
      </c>
      <c r="H349" s="2" t="s">
        <v>962</v>
      </c>
      <c r="I349" s="2" t="s">
        <v>1806</v>
      </c>
      <c r="J349" s="2" t="s">
        <v>1807</v>
      </c>
      <c r="K349" s="2" t="s">
        <v>962</v>
      </c>
      <c r="L349" s="2"/>
      <c r="M349" s="2"/>
      <c r="N349" s="2" t="s">
        <v>171</v>
      </c>
      <c r="O349" s="2">
        <v>1.0</v>
      </c>
      <c r="P349" s="2">
        <v>0.0</v>
      </c>
      <c r="Q349" s="2">
        <v>0.0</v>
      </c>
      <c r="R349" s="2">
        <v>1.0</v>
      </c>
      <c r="S349" s="2">
        <v>1.0</v>
      </c>
      <c r="T349" s="2" t="s">
        <v>1808</v>
      </c>
    </row>
    <row r="350" ht="15.75" customHeight="1">
      <c r="A350" s="2" t="s">
        <v>1809</v>
      </c>
      <c r="B350" s="2" t="s">
        <v>1810</v>
      </c>
      <c r="C350" s="2" t="s">
        <v>894</v>
      </c>
      <c r="D350" s="2" t="s">
        <v>71</v>
      </c>
      <c r="E350" s="2" t="s">
        <v>1811</v>
      </c>
      <c r="F350" s="2" t="s">
        <v>1811</v>
      </c>
      <c r="G350" s="2" t="s">
        <v>1812</v>
      </c>
      <c r="H350" s="2" t="s">
        <v>1812</v>
      </c>
      <c r="I350" s="2" t="s">
        <v>1813</v>
      </c>
      <c r="J350" s="2" t="s">
        <v>1813</v>
      </c>
      <c r="K350" s="2" t="s">
        <v>1812</v>
      </c>
      <c r="L350" s="2"/>
      <c r="M350" s="2"/>
      <c r="N350" s="2" t="s">
        <v>145</v>
      </c>
      <c r="O350" s="2">
        <v>1.0</v>
      </c>
      <c r="P350" s="2">
        <v>0.0</v>
      </c>
      <c r="Q350" s="2">
        <v>0.0</v>
      </c>
      <c r="R350" s="2">
        <v>1.0</v>
      </c>
      <c r="S350" s="2">
        <v>0.0</v>
      </c>
      <c r="T350" s="2" t="s">
        <v>1814</v>
      </c>
    </row>
    <row r="351" ht="15.75" customHeight="1">
      <c r="A351" s="2" t="s">
        <v>1815</v>
      </c>
      <c r="B351" s="2" t="s">
        <v>1810</v>
      </c>
      <c r="C351" s="2" t="s">
        <v>894</v>
      </c>
      <c r="D351" s="2" t="s">
        <v>75</v>
      </c>
      <c r="E351" s="2" t="s">
        <v>191</v>
      </c>
      <c r="F351" s="2" t="s">
        <v>191</v>
      </c>
      <c r="G351" s="2" t="s">
        <v>194</v>
      </c>
      <c r="H351" s="2" t="s">
        <v>194</v>
      </c>
      <c r="I351" s="2" t="s">
        <v>1816</v>
      </c>
      <c r="J351" s="2" t="s">
        <v>1816</v>
      </c>
      <c r="K351" s="2" t="s">
        <v>194</v>
      </c>
      <c r="L351" s="2"/>
      <c r="M351" s="2"/>
      <c r="N351" s="2" t="s">
        <v>145</v>
      </c>
      <c r="O351" s="2">
        <v>1.0</v>
      </c>
      <c r="P351" s="2">
        <v>0.0</v>
      </c>
      <c r="Q351" s="2">
        <v>0.0</v>
      </c>
      <c r="R351" s="2">
        <v>1.0</v>
      </c>
      <c r="S351" s="2">
        <v>0.0</v>
      </c>
      <c r="T351" s="2" t="s">
        <v>1817</v>
      </c>
    </row>
    <row r="352" ht="15.75" customHeight="1">
      <c r="A352" s="2" t="s">
        <v>1818</v>
      </c>
      <c r="B352" s="2" t="s">
        <v>1810</v>
      </c>
      <c r="C352" s="2" t="s">
        <v>894</v>
      </c>
      <c r="D352" s="2" t="s">
        <v>118</v>
      </c>
      <c r="E352" s="2" t="s">
        <v>1801</v>
      </c>
      <c r="F352" s="2" t="s">
        <v>1801</v>
      </c>
      <c r="G352" s="2" t="s">
        <v>1801</v>
      </c>
      <c r="H352" s="2" t="s">
        <v>1801</v>
      </c>
      <c r="I352" s="2" t="s">
        <v>1820</v>
      </c>
      <c r="J352" s="2" t="s">
        <v>1821</v>
      </c>
      <c r="K352" s="2" t="s">
        <v>1801</v>
      </c>
      <c r="L352" s="2"/>
      <c r="M352" s="2"/>
      <c r="N352" s="2" t="s">
        <v>171</v>
      </c>
      <c r="O352" s="2">
        <v>1.0</v>
      </c>
      <c r="P352" s="2">
        <v>0.0</v>
      </c>
      <c r="Q352" s="2">
        <v>0.0</v>
      </c>
      <c r="R352" s="2">
        <v>1.0</v>
      </c>
      <c r="S352" s="2">
        <v>1.0</v>
      </c>
      <c r="T352" s="2" t="s">
        <v>1822</v>
      </c>
    </row>
    <row r="353" ht="15.75" customHeight="1">
      <c r="A353" s="2" t="s">
        <v>1823</v>
      </c>
      <c r="B353" s="2" t="s">
        <v>1810</v>
      </c>
      <c r="C353" s="2" t="s">
        <v>894</v>
      </c>
      <c r="D353" s="2" t="s">
        <v>149</v>
      </c>
      <c r="E353" s="2" t="s">
        <v>962</v>
      </c>
      <c r="F353" s="2" t="s">
        <v>962</v>
      </c>
      <c r="G353" s="2" t="s">
        <v>962</v>
      </c>
      <c r="H353" s="2" t="s">
        <v>962</v>
      </c>
      <c r="I353" s="2" t="s">
        <v>1824</v>
      </c>
      <c r="J353" s="2" t="s">
        <v>1825</v>
      </c>
      <c r="K353" s="2" t="s">
        <v>962</v>
      </c>
      <c r="L353" s="2"/>
      <c r="M353" s="2"/>
      <c r="N353" s="2" t="s">
        <v>171</v>
      </c>
      <c r="O353" s="2">
        <v>1.0</v>
      </c>
      <c r="P353" s="2">
        <v>0.0</v>
      </c>
      <c r="Q353" s="2">
        <v>0.0</v>
      </c>
      <c r="R353" s="2">
        <v>1.0</v>
      </c>
      <c r="S353" s="2">
        <v>1.0</v>
      </c>
      <c r="T353" s="2" t="s">
        <v>1826</v>
      </c>
    </row>
    <row r="354" ht="15.75" customHeight="1">
      <c r="A354" s="2" t="s">
        <v>926</v>
      </c>
      <c r="B354" s="2" t="s">
        <v>927</v>
      </c>
      <c r="C354" s="2" t="s">
        <v>894</v>
      </c>
      <c r="D354" s="2" t="s">
        <v>71</v>
      </c>
      <c r="E354" s="2" t="s">
        <v>928</v>
      </c>
      <c r="F354" s="2" t="s">
        <v>500</v>
      </c>
      <c r="G354" s="2" t="s">
        <v>931</v>
      </c>
      <c r="H354" s="2" t="s">
        <v>500</v>
      </c>
      <c r="I354" s="2" t="s">
        <v>932</v>
      </c>
      <c r="J354" s="2" t="s">
        <v>933</v>
      </c>
      <c r="K354" s="2"/>
      <c r="L354" s="2" t="s">
        <v>931</v>
      </c>
      <c r="M354" s="2" t="s">
        <v>500</v>
      </c>
      <c r="N354" s="2" t="s">
        <v>105</v>
      </c>
      <c r="O354" s="2">
        <v>0.0</v>
      </c>
      <c r="P354" s="2">
        <v>1.0</v>
      </c>
      <c r="Q354" s="2">
        <v>1.0</v>
      </c>
      <c r="R354" s="2">
        <v>0.0</v>
      </c>
      <c r="S354" s="2">
        <v>0.0</v>
      </c>
      <c r="T354" s="2" t="s">
        <v>938</v>
      </c>
    </row>
    <row r="355" ht="15.75" customHeight="1">
      <c r="A355" s="2" t="s">
        <v>1827</v>
      </c>
      <c r="B355" s="2" t="s">
        <v>927</v>
      </c>
      <c r="C355" s="2" t="s">
        <v>894</v>
      </c>
      <c r="D355" s="2" t="s">
        <v>75</v>
      </c>
      <c r="E355" s="2" t="s">
        <v>1828</v>
      </c>
      <c r="F355" s="2" t="s">
        <v>1828</v>
      </c>
      <c r="G355" s="2" t="s">
        <v>1829</v>
      </c>
      <c r="H355" s="2" t="s">
        <v>1829</v>
      </c>
      <c r="I355" s="2" t="s">
        <v>1830</v>
      </c>
      <c r="J355" s="2" t="s">
        <v>1830</v>
      </c>
      <c r="K355" s="2" t="s">
        <v>1829</v>
      </c>
      <c r="L355" s="2"/>
      <c r="M355" s="2"/>
      <c r="N355" s="2" t="s">
        <v>145</v>
      </c>
      <c r="O355" s="2">
        <v>1.0</v>
      </c>
      <c r="P355" s="2">
        <v>0.0</v>
      </c>
      <c r="Q355" s="2">
        <v>0.0</v>
      </c>
      <c r="R355" s="2">
        <v>1.0</v>
      </c>
      <c r="S355" s="2">
        <v>0.0</v>
      </c>
      <c r="T355" s="2" t="s">
        <v>1831</v>
      </c>
    </row>
    <row r="356" ht="15.75" customHeight="1">
      <c r="A356" s="2" t="s">
        <v>1832</v>
      </c>
      <c r="B356" s="2" t="s">
        <v>927</v>
      </c>
      <c r="C356" s="2" t="s">
        <v>894</v>
      </c>
      <c r="D356" s="2" t="s">
        <v>118</v>
      </c>
      <c r="E356" s="2" t="s">
        <v>1833</v>
      </c>
      <c r="F356" s="2" t="s">
        <v>1833</v>
      </c>
      <c r="G356" s="2" t="s">
        <v>1833</v>
      </c>
      <c r="H356" s="2" t="s">
        <v>1833</v>
      </c>
      <c r="I356" s="2" t="s">
        <v>1834</v>
      </c>
      <c r="J356" s="2" t="s">
        <v>1835</v>
      </c>
      <c r="K356" s="2" t="s">
        <v>1833</v>
      </c>
      <c r="L356" s="2"/>
      <c r="M356" s="2"/>
      <c r="N356" s="2" t="s">
        <v>171</v>
      </c>
      <c r="O356" s="2">
        <v>1.0</v>
      </c>
      <c r="P356" s="2">
        <v>0.0</v>
      </c>
      <c r="Q356" s="2">
        <v>0.0</v>
      </c>
      <c r="R356" s="2">
        <v>1.0</v>
      </c>
      <c r="S356" s="2">
        <v>1.0</v>
      </c>
      <c r="T356" s="2" t="s">
        <v>1837</v>
      </c>
    </row>
    <row r="357" ht="15.75" customHeight="1">
      <c r="A357" s="2" t="s">
        <v>1838</v>
      </c>
      <c r="B357" s="2" t="s">
        <v>927</v>
      </c>
      <c r="C357" s="2" t="s">
        <v>894</v>
      </c>
      <c r="D357" s="2" t="s">
        <v>149</v>
      </c>
      <c r="E357" s="2" t="s">
        <v>1839</v>
      </c>
      <c r="F357" s="2" t="s">
        <v>1839</v>
      </c>
      <c r="G357" s="2" t="s">
        <v>1839</v>
      </c>
      <c r="H357" s="2" t="s">
        <v>1839</v>
      </c>
      <c r="I357" s="2" t="s">
        <v>1840</v>
      </c>
      <c r="J357" s="2" t="s">
        <v>1841</v>
      </c>
      <c r="K357" s="2" t="s">
        <v>1839</v>
      </c>
      <c r="L357" s="2"/>
      <c r="M357" s="2"/>
      <c r="N357" s="2" t="s">
        <v>171</v>
      </c>
      <c r="O357" s="2">
        <v>1.0</v>
      </c>
      <c r="P357" s="2">
        <v>0.0</v>
      </c>
      <c r="Q357" s="2">
        <v>0.0</v>
      </c>
      <c r="R357" s="2">
        <v>1.0</v>
      </c>
      <c r="S357" s="2">
        <v>1.0</v>
      </c>
      <c r="T357" s="2" t="s">
        <v>1842</v>
      </c>
    </row>
    <row r="358" ht="15.75" customHeight="1">
      <c r="A358" s="2" t="s">
        <v>1843</v>
      </c>
      <c r="B358" s="2" t="s">
        <v>960</v>
      </c>
      <c r="C358" s="2" t="s">
        <v>894</v>
      </c>
      <c r="D358" s="2" t="s">
        <v>71</v>
      </c>
      <c r="E358" s="2" t="s">
        <v>1844</v>
      </c>
      <c r="F358" s="2" t="s">
        <v>1844</v>
      </c>
      <c r="G358" s="2" t="s">
        <v>1845</v>
      </c>
      <c r="H358" s="2" t="s">
        <v>1845</v>
      </c>
      <c r="I358" s="2" t="s">
        <v>1846</v>
      </c>
      <c r="J358" s="2" t="s">
        <v>1846</v>
      </c>
      <c r="K358" s="2" t="s">
        <v>1845</v>
      </c>
      <c r="L358" s="2"/>
      <c r="M358" s="2"/>
      <c r="N358" s="2" t="s">
        <v>145</v>
      </c>
      <c r="O358" s="2">
        <v>1.0</v>
      </c>
      <c r="P358" s="2">
        <v>0.0</v>
      </c>
      <c r="Q358" s="2">
        <v>0.0</v>
      </c>
      <c r="R358" s="2">
        <v>1.0</v>
      </c>
      <c r="S358" s="2">
        <v>0.0</v>
      </c>
      <c r="T358" s="2" t="s">
        <v>1847</v>
      </c>
    </row>
    <row r="359" ht="15.75" customHeight="1">
      <c r="A359" s="2" t="s">
        <v>1848</v>
      </c>
      <c r="B359" s="2" t="s">
        <v>960</v>
      </c>
      <c r="C359" s="2" t="s">
        <v>894</v>
      </c>
      <c r="D359" s="2" t="s">
        <v>75</v>
      </c>
      <c r="E359" s="2" t="s">
        <v>1849</v>
      </c>
      <c r="F359" s="2" t="s">
        <v>1849</v>
      </c>
      <c r="G359" s="2" t="s">
        <v>1850</v>
      </c>
      <c r="H359" s="2" t="s">
        <v>1850</v>
      </c>
      <c r="I359" s="2" t="s">
        <v>1851</v>
      </c>
      <c r="J359" s="2" t="s">
        <v>1851</v>
      </c>
      <c r="K359" s="2" t="s">
        <v>1850</v>
      </c>
      <c r="L359" s="2"/>
      <c r="M359" s="2"/>
      <c r="N359" s="2" t="s">
        <v>145</v>
      </c>
      <c r="O359" s="2">
        <v>1.0</v>
      </c>
      <c r="P359" s="2">
        <v>0.0</v>
      </c>
      <c r="Q359" s="2">
        <v>0.0</v>
      </c>
      <c r="R359" s="2">
        <v>1.0</v>
      </c>
      <c r="S359" s="2">
        <v>0.0</v>
      </c>
      <c r="T359" s="2" t="s">
        <v>1853</v>
      </c>
    </row>
    <row r="360" ht="15.75" customHeight="1">
      <c r="A360" s="2" t="s">
        <v>1854</v>
      </c>
      <c r="B360" s="2" t="s">
        <v>960</v>
      </c>
      <c r="C360" s="2" t="s">
        <v>894</v>
      </c>
      <c r="D360" s="2" t="s">
        <v>118</v>
      </c>
      <c r="E360" s="2" t="s">
        <v>1855</v>
      </c>
      <c r="F360" s="2" t="s">
        <v>1855</v>
      </c>
      <c r="G360" s="2" t="s">
        <v>1855</v>
      </c>
      <c r="H360" s="2" t="s">
        <v>1855</v>
      </c>
      <c r="I360" s="2" t="s">
        <v>1856</v>
      </c>
      <c r="J360" s="2" t="s">
        <v>1857</v>
      </c>
      <c r="K360" s="2" t="s">
        <v>1855</v>
      </c>
      <c r="L360" s="2"/>
      <c r="M360" s="2"/>
      <c r="N360" s="2" t="s">
        <v>171</v>
      </c>
      <c r="O360" s="2">
        <v>1.0</v>
      </c>
      <c r="P360" s="2">
        <v>0.0</v>
      </c>
      <c r="Q360" s="2">
        <v>0.0</v>
      </c>
      <c r="R360" s="2">
        <v>1.0</v>
      </c>
      <c r="S360" s="2">
        <v>1.0</v>
      </c>
      <c r="T360" s="2" t="s">
        <v>1858</v>
      </c>
    </row>
    <row r="361" ht="15.75" customHeight="1">
      <c r="A361" s="2" t="s">
        <v>959</v>
      </c>
      <c r="B361" s="2" t="s">
        <v>960</v>
      </c>
      <c r="C361" s="2" t="s">
        <v>894</v>
      </c>
      <c r="D361" s="2" t="s">
        <v>149</v>
      </c>
      <c r="E361" s="2" t="s">
        <v>961</v>
      </c>
      <c r="F361" s="2" t="s">
        <v>962</v>
      </c>
      <c r="G361" s="2" t="s">
        <v>961</v>
      </c>
      <c r="H361" s="2" t="s">
        <v>962</v>
      </c>
      <c r="I361" s="2" t="s">
        <v>964</v>
      </c>
      <c r="J361" s="2" t="s">
        <v>965</v>
      </c>
      <c r="K361" s="2"/>
      <c r="L361" s="2" t="s">
        <v>961</v>
      </c>
      <c r="M361" s="2" t="s">
        <v>962</v>
      </c>
      <c r="N361" s="2" t="s">
        <v>105</v>
      </c>
      <c r="O361" s="2">
        <v>0.0</v>
      </c>
      <c r="P361" s="2">
        <v>1.0</v>
      </c>
      <c r="Q361" s="2">
        <v>1.0</v>
      </c>
      <c r="R361" s="2">
        <v>0.0</v>
      </c>
      <c r="S361" s="2">
        <v>0.0</v>
      </c>
      <c r="T361" s="2" t="s">
        <v>973</v>
      </c>
    </row>
    <row r="362" ht="15.75" customHeight="1">
      <c r="A362" s="2" t="s">
        <v>1859</v>
      </c>
      <c r="B362" s="2" t="s">
        <v>1860</v>
      </c>
      <c r="C362" s="2" t="s">
        <v>894</v>
      </c>
      <c r="D362" s="2" t="s">
        <v>71</v>
      </c>
      <c r="E362" s="2" t="s">
        <v>1861</v>
      </c>
      <c r="F362" s="2" t="s">
        <v>1862</v>
      </c>
      <c r="G362" s="2" t="s">
        <v>1863</v>
      </c>
      <c r="H362" s="2" t="s">
        <v>1863</v>
      </c>
      <c r="I362" s="2" t="s">
        <v>1864</v>
      </c>
      <c r="J362" s="2" t="s">
        <v>1865</v>
      </c>
      <c r="K362" s="2" t="s">
        <v>1863</v>
      </c>
      <c r="L362" s="2"/>
      <c r="M362" s="2"/>
      <c r="N362" s="2" t="s">
        <v>145</v>
      </c>
      <c r="O362" s="2">
        <v>1.0</v>
      </c>
      <c r="P362" s="2">
        <v>0.0</v>
      </c>
      <c r="Q362" s="2">
        <v>0.0</v>
      </c>
      <c r="R362" s="2">
        <v>1.0</v>
      </c>
      <c r="S362" s="2">
        <v>0.0</v>
      </c>
      <c r="T362" s="2" t="s">
        <v>1866</v>
      </c>
    </row>
    <row r="363" ht="15.75" customHeight="1">
      <c r="A363" s="2" t="s">
        <v>1867</v>
      </c>
      <c r="B363" s="2" t="s">
        <v>1860</v>
      </c>
      <c r="C363" s="2" t="s">
        <v>894</v>
      </c>
      <c r="D363" s="2" t="s">
        <v>75</v>
      </c>
      <c r="E363" s="2" t="s">
        <v>1868</v>
      </c>
      <c r="F363" s="2" t="s">
        <v>1868</v>
      </c>
      <c r="G363" s="2" t="s">
        <v>1850</v>
      </c>
      <c r="H363" s="2" t="s">
        <v>1850</v>
      </c>
      <c r="I363" s="2" t="s">
        <v>1869</v>
      </c>
      <c r="J363" s="2" t="s">
        <v>1869</v>
      </c>
      <c r="K363" s="2" t="s">
        <v>1850</v>
      </c>
      <c r="L363" s="2"/>
      <c r="M363" s="2"/>
      <c r="N363" s="2" t="s">
        <v>145</v>
      </c>
      <c r="O363" s="2">
        <v>1.0</v>
      </c>
      <c r="P363" s="2">
        <v>0.0</v>
      </c>
      <c r="Q363" s="2">
        <v>0.0</v>
      </c>
      <c r="R363" s="2">
        <v>1.0</v>
      </c>
      <c r="S363" s="2">
        <v>0.0</v>
      </c>
      <c r="T363" s="2" t="s">
        <v>1870</v>
      </c>
    </row>
    <row r="364" ht="15.75" customHeight="1">
      <c r="A364" s="2" t="s">
        <v>1871</v>
      </c>
      <c r="B364" s="2" t="s">
        <v>1860</v>
      </c>
      <c r="C364" s="2" t="s">
        <v>894</v>
      </c>
      <c r="D364" s="2" t="s">
        <v>118</v>
      </c>
      <c r="E364" s="2" t="s">
        <v>135</v>
      </c>
      <c r="F364" s="2" t="s">
        <v>135</v>
      </c>
      <c r="G364" s="2" t="s">
        <v>135</v>
      </c>
      <c r="H364" s="2" t="s">
        <v>135</v>
      </c>
      <c r="I364" s="2" t="s">
        <v>1872</v>
      </c>
      <c r="J364" s="2" t="s">
        <v>1872</v>
      </c>
      <c r="K364" s="2" t="s">
        <v>135</v>
      </c>
      <c r="L364" s="2"/>
      <c r="M364" s="2"/>
      <c r="N364" s="2" t="s">
        <v>145</v>
      </c>
      <c r="O364" s="2">
        <v>1.0</v>
      </c>
      <c r="P364" s="2">
        <v>0.0</v>
      </c>
      <c r="Q364" s="2">
        <v>0.0</v>
      </c>
      <c r="R364" s="2">
        <v>1.0</v>
      </c>
      <c r="S364" s="2">
        <v>0.0</v>
      </c>
      <c r="T364" s="2" t="s">
        <v>1873</v>
      </c>
    </row>
    <row r="365" ht="15.75" customHeight="1">
      <c r="A365" s="2" t="s">
        <v>1874</v>
      </c>
      <c r="B365" s="2" t="s">
        <v>1860</v>
      </c>
      <c r="C365" s="2" t="s">
        <v>894</v>
      </c>
      <c r="D365" s="2" t="s">
        <v>149</v>
      </c>
      <c r="E365" s="2" t="s">
        <v>962</v>
      </c>
      <c r="F365" s="2" t="s">
        <v>962</v>
      </c>
      <c r="G365" s="2" t="s">
        <v>962</v>
      </c>
      <c r="H365" s="2" t="s">
        <v>962</v>
      </c>
      <c r="I365" s="2" t="s">
        <v>1875</v>
      </c>
      <c r="J365" s="2" t="s">
        <v>1876</v>
      </c>
      <c r="K365" s="2" t="s">
        <v>962</v>
      </c>
      <c r="L365" s="2"/>
      <c r="M365" s="2"/>
      <c r="N365" s="2" t="s">
        <v>171</v>
      </c>
      <c r="O365" s="2">
        <v>1.0</v>
      </c>
      <c r="P365" s="2">
        <v>0.0</v>
      </c>
      <c r="Q365" s="2">
        <v>0.0</v>
      </c>
      <c r="R365" s="2">
        <v>1.0</v>
      </c>
      <c r="S365" s="2">
        <v>1.0</v>
      </c>
      <c r="T365" s="2" t="s">
        <v>1877</v>
      </c>
    </row>
    <row r="366" ht="15.75" customHeight="1">
      <c r="A366" s="2" t="s">
        <v>1878</v>
      </c>
      <c r="B366" s="2" t="s">
        <v>1879</v>
      </c>
      <c r="C366" s="2" t="s">
        <v>894</v>
      </c>
      <c r="D366" s="2" t="s">
        <v>71</v>
      </c>
      <c r="E366" s="2" t="s">
        <v>1880</v>
      </c>
      <c r="F366" s="2" t="s">
        <v>1880</v>
      </c>
      <c r="G366" s="2" t="s">
        <v>1882</v>
      </c>
      <c r="H366" s="2" t="s">
        <v>1882</v>
      </c>
      <c r="I366" s="2" t="s">
        <v>1883</v>
      </c>
      <c r="J366" s="2" t="s">
        <v>1883</v>
      </c>
      <c r="K366" s="2" t="s">
        <v>1882</v>
      </c>
      <c r="L366" s="2"/>
      <c r="M366" s="2"/>
      <c r="N366" s="2" t="s">
        <v>145</v>
      </c>
      <c r="O366" s="2">
        <v>1.0</v>
      </c>
      <c r="P366" s="2">
        <v>0.0</v>
      </c>
      <c r="Q366" s="2">
        <v>0.0</v>
      </c>
      <c r="R366" s="2">
        <v>1.0</v>
      </c>
      <c r="S366" s="2">
        <v>0.0</v>
      </c>
      <c r="T366" s="2" t="s">
        <v>1884</v>
      </c>
    </row>
    <row r="367" ht="15.75" customHeight="1">
      <c r="A367" s="2" t="s">
        <v>1885</v>
      </c>
      <c r="B367" s="2" t="s">
        <v>1879</v>
      </c>
      <c r="C367" s="2" t="s">
        <v>894</v>
      </c>
      <c r="D367" s="2" t="s">
        <v>75</v>
      </c>
      <c r="E367" s="2" t="s">
        <v>1868</v>
      </c>
      <c r="F367" s="2" t="s">
        <v>1868</v>
      </c>
      <c r="G367" s="2" t="s">
        <v>1850</v>
      </c>
      <c r="H367" s="2" t="s">
        <v>1850</v>
      </c>
      <c r="I367" s="2" t="s">
        <v>1886</v>
      </c>
      <c r="J367" s="2" t="s">
        <v>1886</v>
      </c>
      <c r="K367" s="2" t="s">
        <v>1850</v>
      </c>
      <c r="L367" s="2"/>
      <c r="M367" s="2"/>
      <c r="N367" s="2" t="s">
        <v>145</v>
      </c>
      <c r="O367" s="2">
        <v>1.0</v>
      </c>
      <c r="P367" s="2">
        <v>0.0</v>
      </c>
      <c r="Q367" s="2">
        <v>0.0</v>
      </c>
      <c r="R367" s="2">
        <v>1.0</v>
      </c>
      <c r="S367" s="2">
        <v>0.0</v>
      </c>
      <c r="T367" s="2" t="s">
        <v>1887</v>
      </c>
    </row>
    <row r="368" ht="15.75" customHeight="1">
      <c r="A368" s="2" t="s">
        <v>1888</v>
      </c>
      <c r="B368" s="2" t="s">
        <v>1879</v>
      </c>
      <c r="C368" s="2" t="s">
        <v>894</v>
      </c>
      <c r="D368" s="2" t="s">
        <v>118</v>
      </c>
      <c r="E368" s="2" t="s">
        <v>135</v>
      </c>
      <c r="F368" s="2" t="s">
        <v>135</v>
      </c>
      <c r="G368" s="2" t="s">
        <v>135</v>
      </c>
      <c r="H368" s="2" t="s">
        <v>135</v>
      </c>
      <c r="I368" s="2" t="s">
        <v>1889</v>
      </c>
      <c r="J368" s="2" t="s">
        <v>1889</v>
      </c>
      <c r="K368" s="2" t="s">
        <v>135</v>
      </c>
      <c r="L368" s="2"/>
      <c r="M368" s="2"/>
      <c r="N368" s="2" t="s">
        <v>145</v>
      </c>
      <c r="O368" s="2">
        <v>1.0</v>
      </c>
      <c r="P368" s="2">
        <v>0.0</v>
      </c>
      <c r="Q368" s="2">
        <v>0.0</v>
      </c>
      <c r="R368" s="2">
        <v>1.0</v>
      </c>
      <c r="S368" s="2">
        <v>0.0</v>
      </c>
      <c r="T368" s="2" t="s">
        <v>1890</v>
      </c>
    </row>
    <row r="369" ht="15.75" customHeight="1">
      <c r="A369" s="2" t="s">
        <v>1891</v>
      </c>
      <c r="B369" s="2" t="s">
        <v>1879</v>
      </c>
      <c r="C369" s="2" t="s">
        <v>894</v>
      </c>
      <c r="D369" s="2" t="s">
        <v>149</v>
      </c>
      <c r="E369" s="2" t="s">
        <v>962</v>
      </c>
      <c r="F369" s="2" t="s">
        <v>962</v>
      </c>
      <c r="G369" s="2" t="s">
        <v>962</v>
      </c>
      <c r="H369" s="2" t="s">
        <v>962</v>
      </c>
      <c r="I369" s="2" t="s">
        <v>1892</v>
      </c>
      <c r="J369" s="2" t="s">
        <v>1893</v>
      </c>
      <c r="K369" s="2" t="s">
        <v>962</v>
      </c>
      <c r="L369" s="2"/>
      <c r="M369" s="2"/>
      <c r="N369" s="2" t="s">
        <v>171</v>
      </c>
      <c r="O369" s="2">
        <v>1.0</v>
      </c>
      <c r="P369" s="2">
        <v>0.0</v>
      </c>
      <c r="Q369" s="2">
        <v>0.0</v>
      </c>
      <c r="R369" s="2">
        <v>1.0</v>
      </c>
      <c r="S369" s="2">
        <v>1.0</v>
      </c>
      <c r="T369" s="2" t="s">
        <v>1894</v>
      </c>
    </row>
    <row r="370" ht="15.75" customHeight="1">
      <c r="A370" s="2" t="s">
        <v>940</v>
      </c>
      <c r="B370" s="2" t="s">
        <v>941</v>
      </c>
      <c r="C370" s="2" t="s">
        <v>894</v>
      </c>
      <c r="D370" s="2" t="s">
        <v>71</v>
      </c>
      <c r="E370" s="2" t="s">
        <v>942</v>
      </c>
      <c r="F370" s="2" t="s">
        <v>943</v>
      </c>
      <c r="G370" s="2" t="s">
        <v>944</v>
      </c>
      <c r="H370" s="2" t="s">
        <v>945</v>
      </c>
      <c r="I370" s="2" t="s">
        <v>946</v>
      </c>
      <c r="J370" s="2" t="s">
        <v>947</v>
      </c>
      <c r="K370" s="2"/>
      <c r="L370" s="2" t="s">
        <v>944</v>
      </c>
      <c r="M370" s="2" t="s">
        <v>945</v>
      </c>
      <c r="N370" s="2" t="s">
        <v>86</v>
      </c>
      <c r="O370" s="2">
        <v>0.0</v>
      </c>
      <c r="P370" s="2">
        <v>1.0</v>
      </c>
      <c r="Q370" s="2">
        <v>1.0</v>
      </c>
      <c r="R370" s="2">
        <v>0.0</v>
      </c>
      <c r="S370" s="2">
        <v>0.0</v>
      </c>
      <c r="T370" s="2" t="s">
        <v>957</v>
      </c>
    </row>
    <row r="371" ht="15.75" customHeight="1">
      <c r="A371" s="2" t="s">
        <v>1896</v>
      </c>
      <c r="B371" s="2" t="s">
        <v>941</v>
      </c>
      <c r="C371" s="2" t="s">
        <v>894</v>
      </c>
      <c r="D371" s="2" t="s">
        <v>75</v>
      </c>
      <c r="E371" s="2" t="s">
        <v>1828</v>
      </c>
      <c r="F371" s="2" t="s">
        <v>1828</v>
      </c>
      <c r="G371" s="2" t="s">
        <v>1829</v>
      </c>
      <c r="H371" s="2" t="s">
        <v>1829</v>
      </c>
      <c r="I371" s="2" t="s">
        <v>1897</v>
      </c>
      <c r="J371" s="2" t="s">
        <v>1897</v>
      </c>
      <c r="K371" s="2" t="s">
        <v>1829</v>
      </c>
      <c r="L371" s="2"/>
      <c r="M371" s="2"/>
      <c r="N371" s="2" t="s">
        <v>145</v>
      </c>
      <c r="O371" s="2">
        <v>1.0</v>
      </c>
      <c r="P371" s="2">
        <v>0.0</v>
      </c>
      <c r="Q371" s="2">
        <v>0.0</v>
      </c>
      <c r="R371" s="2">
        <v>1.0</v>
      </c>
      <c r="S371" s="2">
        <v>0.0</v>
      </c>
      <c r="T371" s="2" t="s">
        <v>1899</v>
      </c>
    </row>
    <row r="372" ht="15.75" customHeight="1">
      <c r="A372" s="2" t="s">
        <v>1900</v>
      </c>
      <c r="B372" s="2" t="s">
        <v>941</v>
      </c>
      <c r="C372" s="2" t="s">
        <v>894</v>
      </c>
      <c r="D372" s="2" t="s">
        <v>118</v>
      </c>
      <c r="E372" s="2" t="s">
        <v>1801</v>
      </c>
      <c r="F372" s="2" t="s">
        <v>1801</v>
      </c>
      <c r="G372" s="2" t="s">
        <v>1801</v>
      </c>
      <c r="H372" s="2" t="s">
        <v>1801</v>
      </c>
      <c r="I372" s="2" t="s">
        <v>1901</v>
      </c>
      <c r="J372" s="2" t="s">
        <v>1902</v>
      </c>
      <c r="K372" s="2" t="s">
        <v>1801</v>
      </c>
      <c r="L372" s="2"/>
      <c r="M372" s="2"/>
      <c r="N372" s="2" t="s">
        <v>171</v>
      </c>
      <c r="O372" s="2">
        <v>1.0</v>
      </c>
      <c r="P372" s="2">
        <v>0.0</v>
      </c>
      <c r="Q372" s="2">
        <v>0.0</v>
      </c>
      <c r="R372" s="2">
        <v>1.0</v>
      </c>
      <c r="S372" s="2">
        <v>1.0</v>
      </c>
      <c r="T372" s="2" t="s">
        <v>1903</v>
      </c>
    </row>
    <row r="373" ht="15.75" customHeight="1">
      <c r="A373" s="2" t="s">
        <v>1904</v>
      </c>
      <c r="B373" s="2" t="s">
        <v>941</v>
      </c>
      <c r="C373" s="2" t="s">
        <v>894</v>
      </c>
      <c r="D373" s="2" t="s">
        <v>149</v>
      </c>
      <c r="E373" s="2" t="s">
        <v>962</v>
      </c>
      <c r="F373" s="2" t="s">
        <v>962</v>
      </c>
      <c r="G373" s="2" t="s">
        <v>962</v>
      </c>
      <c r="H373" s="2" t="s">
        <v>962</v>
      </c>
      <c r="I373" s="2" t="s">
        <v>1905</v>
      </c>
      <c r="J373" s="2" t="s">
        <v>1906</v>
      </c>
      <c r="K373" s="2" t="s">
        <v>962</v>
      </c>
      <c r="L373" s="2"/>
      <c r="M373" s="2"/>
      <c r="N373" s="2" t="s">
        <v>171</v>
      </c>
      <c r="O373" s="2">
        <v>1.0</v>
      </c>
      <c r="P373" s="2">
        <v>0.0</v>
      </c>
      <c r="Q373" s="2">
        <v>0.0</v>
      </c>
      <c r="R373" s="2">
        <v>1.0</v>
      </c>
      <c r="S373" s="2">
        <v>1.0</v>
      </c>
      <c r="T373" s="2" t="s">
        <v>1907</v>
      </c>
    </row>
    <row r="374" ht="15.75" customHeight="1">
      <c r="A374" s="2" t="s">
        <v>1908</v>
      </c>
      <c r="B374" s="2" t="s">
        <v>1909</v>
      </c>
      <c r="C374" s="2" t="s">
        <v>894</v>
      </c>
      <c r="D374" s="2" t="s">
        <v>71</v>
      </c>
      <c r="E374" s="2" t="s">
        <v>1910</v>
      </c>
      <c r="F374" s="2" t="s">
        <v>1910</v>
      </c>
      <c r="G374" s="2" t="s">
        <v>1911</v>
      </c>
      <c r="H374" s="2" t="s">
        <v>1911</v>
      </c>
      <c r="I374" s="2" t="s">
        <v>1912</v>
      </c>
      <c r="J374" s="2" t="s">
        <v>1912</v>
      </c>
      <c r="K374" s="2" t="s">
        <v>1911</v>
      </c>
      <c r="L374" s="2"/>
      <c r="M374" s="2"/>
      <c r="N374" s="2" t="s">
        <v>145</v>
      </c>
      <c r="O374" s="2">
        <v>1.0</v>
      </c>
      <c r="P374" s="2">
        <v>0.0</v>
      </c>
      <c r="Q374" s="2">
        <v>0.0</v>
      </c>
      <c r="R374" s="2">
        <v>1.0</v>
      </c>
      <c r="S374" s="2">
        <v>0.0</v>
      </c>
      <c r="T374" s="2" t="s">
        <v>1913</v>
      </c>
    </row>
    <row r="375" ht="15.75" customHeight="1">
      <c r="A375" s="2" t="s">
        <v>1914</v>
      </c>
      <c r="B375" s="2" t="s">
        <v>1909</v>
      </c>
      <c r="C375" s="2" t="s">
        <v>894</v>
      </c>
      <c r="D375" s="2" t="s">
        <v>75</v>
      </c>
      <c r="E375" s="2" t="s">
        <v>191</v>
      </c>
      <c r="F375" s="2" t="s">
        <v>191</v>
      </c>
      <c r="G375" s="2" t="s">
        <v>194</v>
      </c>
      <c r="H375" s="2" t="s">
        <v>194</v>
      </c>
      <c r="I375" s="2" t="s">
        <v>1915</v>
      </c>
      <c r="J375" s="2" t="s">
        <v>1915</v>
      </c>
      <c r="K375" s="2" t="s">
        <v>194</v>
      </c>
      <c r="L375" s="2"/>
      <c r="M375" s="2"/>
      <c r="N375" s="2" t="s">
        <v>145</v>
      </c>
      <c r="O375" s="2">
        <v>1.0</v>
      </c>
      <c r="P375" s="2">
        <v>0.0</v>
      </c>
      <c r="Q375" s="2">
        <v>0.0</v>
      </c>
      <c r="R375" s="2">
        <v>1.0</v>
      </c>
      <c r="S375" s="2">
        <v>0.0</v>
      </c>
      <c r="T375" s="2" t="s">
        <v>1917</v>
      </c>
    </row>
    <row r="376" ht="15.75" customHeight="1">
      <c r="A376" s="2" t="s">
        <v>1918</v>
      </c>
      <c r="B376" s="2" t="s">
        <v>1909</v>
      </c>
      <c r="C376" s="2" t="s">
        <v>894</v>
      </c>
      <c r="D376" s="2" t="s">
        <v>118</v>
      </c>
      <c r="E376" s="2" t="s">
        <v>1801</v>
      </c>
      <c r="F376" s="2" t="s">
        <v>1801</v>
      </c>
      <c r="G376" s="2" t="s">
        <v>1801</v>
      </c>
      <c r="H376" s="2" t="s">
        <v>1801</v>
      </c>
      <c r="I376" s="2" t="s">
        <v>1919</v>
      </c>
      <c r="J376" s="2" t="s">
        <v>1920</v>
      </c>
      <c r="K376" s="2" t="s">
        <v>1801</v>
      </c>
      <c r="L376" s="2"/>
      <c r="M376" s="2"/>
      <c r="N376" s="2" t="s">
        <v>171</v>
      </c>
      <c r="O376" s="2">
        <v>1.0</v>
      </c>
      <c r="P376" s="2">
        <v>0.0</v>
      </c>
      <c r="Q376" s="2">
        <v>0.0</v>
      </c>
      <c r="R376" s="2">
        <v>1.0</v>
      </c>
      <c r="S376" s="2">
        <v>1.0</v>
      </c>
      <c r="T376" s="2" t="s">
        <v>1822</v>
      </c>
    </row>
    <row r="377" ht="15.75" customHeight="1">
      <c r="A377" s="2" t="s">
        <v>1921</v>
      </c>
      <c r="B377" s="2" t="s">
        <v>1909</v>
      </c>
      <c r="C377" s="2" t="s">
        <v>894</v>
      </c>
      <c r="D377" s="2" t="s">
        <v>149</v>
      </c>
      <c r="E377" s="2" t="s">
        <v>962</v>
      </c>
      <c r="F377" s="2" t="s">
        <v>962</v>
      </c>
      <c r="G377" s="2" t="s">
        <v>962</v>
      </c>
      <c r="H377" s="2" t="s">
        <v>962</v>
      </c>
      <c r="I377" s="2" t="s">
        <v>1922</v>
      </c>
      <c r="J377" s="2" t="s">
        <v>1923</v>
      </c>
      <c r="K377" s="2" t="s">
        <v>962</v>
      </c>
      <c r="L377" s="2"/>
      <c r="M377" s="2"/>
      <c r="N377" s="2" t="s">
        <v>171</v>
      </c>
      <c r="O377" s="2">
        <v>1.0</v>
      </c>
      <c r="P377" s="2">
        <v>0.0</v>
      </c>
      <c r="Q377" s="2">
        <v>0.0</v>
      </c>
      <c r="R377" s="2">
        <v>1.0</v>
      </c>
      <c r="S377" s="2">
        <v>1.0</v>
      </c>
      <c r="T377" s="2" t="s">
        <v>1826</v>
      </c>
    </row>
    <row r="378" ht="15.75" customHeight="1">
      <c r="A378" s="2" t="s">
        <v>1925</v>
      </c>
      <c r="B378" s="2" t="s">
        <v>1926</v>
      </c>
      <c r="C378" s="2" t="s">
        <v>894</v>
      </c>
      <c r="D378" s="2" t="s">
        <v>71</v>
      </c>
      <c r="E378" s="2" t="s">
        <v>1927</v>
      </c>
      <c r="F378" s="2" t="s">
        <v>1927</v>
      </c>
      <c r="G378" s="2" t="s">
        <v>1928</v>
      </c>
      <c r="H378" s="2" t="s">
        <v>1928</v>
      </c>
      <c r="I378" s="2" t="s">
        <v>1929</v>
      </c>
      <c r="J378" s="2" t="s">
        <v>1929</v>
      </c>
      <c r="K378" s="2" t="s">
        <v>1928</v>
      </c>
      <c r="L378" s="2"/>
      <c r="M378" s="2"/>
      <c r="N378" s="2" t="s">
        <v>145</v>
      </c>
      <c r="O378" s="2">
        <v>1.0</v>
      </c>
      <c r="P378" s="2">
        <v>0.0</v>
      </c>
      <c r="Q378" s="2">
        <v>0.0</v>
      </c>
      <c r="R378" s="2">
        <v>1.0</v>
      </c>
      <c r="S378" s="2">
        <v>0.0</v>
      </c>
      <c r="T378" s="2" t="s">
        <v>1930</v>
      </c>
    </row>
    <row r="379" ht="15.75" customHeight="1">
      <c r="A379" s="2" t="s">
        <v>1931</v>
      </c>
      <c r="B379" s="2" t="s">
        <v>1926</v>
      </c>
      <c r="C379" s="2" t="s">
        <v>894</v>
      </c>
      <c r="D379" s="2" t="s">
        <v>75</v>
      </c>
      <c r="E379" s="2" t="s">
        <v>1932</v>
      </c>
      <c r="F379" s="2" t="s">
        <v>1932</v>
      </c>
      <c r="G379" s="2" t="s">
        <v>1933</v>
      </c>
      <c r="H379" s="2" t="s">
        <v>1933</v>
      </c>
      <c r="I379" s="2" t="s">
        <v>1934</v>
      </c>
      <c r="J379" s="2" t="s">
        <v>1934</v>
      </c>
      <c r="K379" s="2" t="s">
        <v>1933</v>
      </c>
      <c r="L379" s="2"/>
      <c r="M379" s="2"/>
      <c r="N379" s="2" t="s">
        <v>145</v>
      </c>
      <c r="O379" s="2">
        <v>1.0</v>
      </c>
      <c r="P379" s="2">
        <v>0.0</v>
      </c>
      <c r="Q379" s="2">
        <v>0.0</v>
      </c>
      <c r="R379" s="2">
        <v>1.0</v>
      </c>
      <c r="S379" s="2">
        <v>0.0</v>
      </c>
      <c r="T379" s="2" t="s">
        <v>1935</v>
      </c>
    </row>
    <row r="380" ht="15.75" customHeight="1">
      <c r="A380" s="2" t="s">
        <v>1936</v>
      </c>
      <c r="B380" s="2" t="s">
        <v>1926</v>
      </c>
      <c r="C380" s="2" t="s">
        <v>894</v>
      </c>
      <c r="D380" s="2" t="s">
        <v>118</v>
      </c>
      <c r="E380" s="2" t="s">
        <v>1801</v>
      </c>
      <c r="F380" s="2" t="s">
        <v>1801</v>
      </c>
      <c r="G380" s="2" t="s">
        <v>1801</v>
      </c>
      <c r="H380" s="2" t="s">
        <v>1801</v>
      </c>
      <c r="I380" s="2" t="s">
        <v>1938</v>
      </c>
      <c r="J380" s="2" t="s">
        <v>1939</v>
      </c>
      <c r="K380" s="2" t="s">
        <v>1801</v>
      </c>
      <c r="L380" s="2"/>
      <c r="M380" s="2"/>
      <c r="N380" s="2" t="s">
        <v>171</v>
      </c>
      <c r="O380" s="2">
        <v>1.0</v>
      </c>
      <c r="P380" s="2">
        <v>0.0</v>
      </c>
      <c r="Q380" s="2">
        <v>0.0</v>
      </c>
      <c r="R380" s="2">
        <v>1.0</v>
      </c>
      <c r="S380" s="2">
        <v>1.0</v>
      </c>
      <c r="T380" s="2" t="s">
        <v>1940</v>
      </c>
    </row>
    <row r="381" ht="15.75" customHeight="1">
      <c r="A381" s="2" t="s">
        <v>1941</v>
      </c>
      <c r="B381" s="2" t="s">
        <v>1926</v>
      </c>
      <c r="C381" s="2" t="s">
        <v>894</v>
      </c>
      <c r="D381" s="2" t="s">
        <v>149</v>
      </c>
      <c r="E381" s="2" t="s">
        <v>962</v>
      </c>
      <c r="F381" s="2" t="s">
        <v>962</v>
      </c>
      <c r="G381" s="2" t="s">
        <v>962</v>
      </c>
      <c r="H381" s="2" t="s">
        <v>962</v>
      </c>
      <c r="I381" s="2" t="s">
        <v>1942</v>
      </c>
      <c r="J381" s="2" t="s">
        <v>1943</v>
      </c>
      <c r="K381" s="2" t="s">
        <v>962</v>
      </c>
      <c r="L381" s="2"/>
      <c r="M381" s="2"/>
      <c r="N381" s="2" t="s">
        <v>171</v>
      </c>
      <c r="O381" s="2">
        <v>1.0</v>
      </c>
      <c r="P381" s="2">
        <v>0.0</v>
      </c>
      <c r="Q381" s="2">
        <v>0.0</v>
      </c>
      <c r="R381" s="2">
        <v>1.0</v>
      </c>
      <c r="S381" s="2">
        <v>1.0</v>
      </c>
      <c r="T381" s="2" t="s">
        <v>1944</v>
      </c>
    </row>
    <row r="382" ht="15.75" customHeight="1">
      <c r="A382" s="2" t="s">
        <v>1945</v>
      </c>
      <c r="B382" s="2" t="s">
        <v>919</v>
      </c>
      <c r="C382" s="2" t="s">
        <v>894</v>
      </c>
      <c r="D382" s="2" t="s">
        <v>71</v>
      </c>
      <c r="E382" s="2" t="s">
        <v>1946</v>
      </c>
      <c r="F382" s="2" t="s">
        <v>1946</v>
      </c>
      <c r="G382" s="2" t="s">
        <v>1947</v>
      </c>
      <c r="H382" s="2" t="s">
        <v>1947</v>
      </c>
      <c r="I382" s="2" t="s">
        <v>1948</v>
      </c>
      <c r="J382" s="2" t="s">
        <v>1948</v>
      </c>
      <c r="K382" s="2" t="s">
        <v>1947</v>
      </c>
      <c r="L382" s="2"/>
      <c r="M382" s="2"/>
      <c r="N382" s="2" t="s">
        <v>145</v>
      </c>
      <c r="O382" s="2">
        <v>1.0</v>
      </c>
      <c r="P382" s="2">
        <v>0.0</v>
      </c>
      <c r="Q382" s="2">
        <v>0.0</v>
      </c>
      <c r="R382" s="2">
        <v>1.0</v>
      </c>
      <c r="S382" s="2">
        <v>0.0</v>
      </c>
      <c r="T382" s="2" t="s">
        <v>1949</v>
      </c>
    </row>
    <row r="383" ht="15.75" customHeight="1">
      <c r="A383" s="2" t="s">
        <v>918</v>
      </c>
      <c r="B383" s="2" t="s">
        <v>919</v>
      </c>
      <c r="C383" s="2" t="s">
        <v>894</v>
      </c>
      <c r="D383" s="2" t="s">
        <v>75</v>
      </c>
      <c r="E383" s="2"/>
      <c r="F383" s="2" t="s">
        <v>908</v>
      </c>
      <c r="G383" s="2" t="s">
        <v>93</v>
      </c>
      <c r="H383" s="2" t="s">
        <v>908</v>
      </c>
      <c r="I383" s="2"/>
      <c r="J383" s="2" t="s">
        <v>920</v>
      </c>
      <c r="K383" s="2"/>
      <c r="L383" s="2"/>
      <c r="M383" s="2" t="s">
        <v>908</v>
      </c>
      <c r="N383" s="2" t="s">
        <v>95</v>
      </c>
      <c r="O383" s="2">
        <v>0.0</v>
      </c>
      <c r="P383" s="2">
        <v>0.0</v>
      </c>
      <c r="Q383" s="2">
        <v>1.0</v>
      </c>
      <c r="R383" s="2">
        <v>0.0</v>
      </c>
      <c r="S383" s="2">
        <v>0.0</v>
      </c>
      <c r="T383" s="2" t="s">
        <v>925</v>
      </c>
    </row>
    <row r="384" ht="15.75" customHeight="1">
      <c r="A384" s="2" t="s">
        <v>1950</v>
      </c>
      <c r="B384" s="2" t="s">
        <v>919</v>
      </c>
      <c r="C384" s="2" t="s">
        <v>894</v>
      </c>
      <c r="D384" s="2" t="s">
        <v>118</v>
      </c>
      <c r="E384" s="2" t="s">
        <v>1855</v>
      </c>
      <c r="F384" s="2" t="s">
        <v>1855</v>
      </c>
      <c r="G384" s="2" t="s">
        <v>1855</v>
      </c>
      <c r="H384" s="2" t="s">
        <v>1855</v>
      </c>
      <c r="I384" s="2" t="s">
        <v>1951</v>
      </c>
      <c r="J384" s="2" t="s">
        <v>1952</v>
      </c>
      <c r="K384" s="2" t="s">
        <v>1855</v>
      </c>
      <c r="L384" s="2"/>
      <c r="M384" s="2"/>
      <c r="N384" s="2" t="s">
        <v>171</v>
      </c>
      <c r="O384" s="2">
        <v>1.0</v>
      </c>
      <c r="P384" s="2">
        <v>0.0</v>
      </c>
      <c r="Q384" s="2">
        <v>0.0</v>
      </c>
      <c r="R384" s="2">
        <v>1.0</v>
      </c>
      <c r="S384" s="2">
        <v>1.0</v>
      </c>
      <c r="T384" s="2" t="s">
        <v>1953</v>
      </c>
    </row>
    <row r="385" ht="15.75" customHeight="1">
      <c r="A385" s="2" t="s">
        <v>975</v>
      </c>
      <c r="B385" s="2" t="s">
        <v>919</v>
      </c>
      <c r="C385" s="2" t="s">
        <v>894</v>
      </c>
      <c r="D385" s="2" t="s">
        <v>149</v>
      </c>
      <c r="E385" s="2" t="s">
        <v>961</v>
      </c>
      <c r="F385" s="2" t="s">
        <v>962</v>
      </c>
      <c r="G385" s="2" t="s">
        <v>961</v>
      </c>
      <c r="H385" s="2" t="s">
        <v>962</v>
      </c>
      <c r="I385" s="2" t="s">
        <v>978</v>
      </c>
      <c r="J385" s="2" t="s">
        <v>979</v>
      </c>
      <c r="K385" s="2"/>
      <c r="L385" s="2" t="s">
        <v>961</v>
      </c>
      <c r="M385" s="2" t="s">
        <v>962</v>
      </c>
      <c r="N385" s="2" t="s">
        <v>105</v>
      </c>
      <c r="O385" s="2">
        <v>0.0</v>
      </c>
      <c r="P385" s="2">
        <v>1.0</v>
      </c>
      <c r="Q385" s="2">
        <v>1.0</v>
      </c>
      <c r="R385" s="2">
        <v>0.0</v>
      </c>
      <c r="S385" s="2">
        <v>0.0</v>
      </c>
      <c r="T385" s="2" t="s">
        <v>987</v>
      </c>
    </row>
    <row r="386" ht="15.75" customHeight="1">
      <c r="A386" s="2" t="s">
        <v>1955</v>
      </c>
      <c r="B386" s="2" t="s">
        <v>1956</v>
      </c>
      <c r="C386" s="2" t="s">
        <v>894</v>
      </c>
      <c r="D386" s="2" t="s">
        <v>71</v>
      </c>
      <c r="E386" s="2" t="s">
        <v>1957</v>
      </c>
      <c r="F386" s="2" t="s">
        <v>1957</v>
      </c>
      <c r="G386" s="2" t="s">
        <v>1958</v>
      </c>
      <c r="H386" s="2" t="s">
        <v>1958</v>
      </c>
      <c r="I386" s="2" t="s">
        <v>1959</v>
      </c>
      <c r="J386" s="2" t="s">
        <v>1959</v>
      </c>
      <c r="K386" s="2" t="s">
        <v>1958</v>
      </c>
      <c r="L386" s="2"/>
      <c r="M386" s="2"/>
      <c r="N386" s="2" t="s">
        <v>145</v>
      </c>
      <c r="O386" s="2">
        <v>1.0</v>
      </c>
      <c r="P386" s="2">
        <v>0.0</v>
      </c>
      <c r="Q386" s="2">
        <v>0.0</v>
      </c>
      <c r="R386" s="2">
        <v>1.0</v>
      </c>
      <c r="S386" s="2">
        <v>0.0</v>
      </c>
      <c r="T386" s="2" t="s">
        <v>1960</v>
      </c>
    </row>
    <row r="387" ht="15.75" customHeight="1">
      <c r="A387" s="2" t="s">
        <v>1961</v>
      </c>
      <c r="B387" s="2" t="s">
        <v>1956</v>
      </c>
      <c r="C387" s="2" t="s">
        <v>894</v>
      </c>
      <c r="D387" s="2" t="s">
        <v>75</v>
      </c>
      <c r="E387" s="2" t="s">
        <v>1962</v>
      </c>
      <c r="F387" s="2" t="s">
        <v>1962</v>
      </c>
      <c r="G387" s="2" t="s">
        <v>1933</v>
      </c>
      <c r="H387" s="2" t="s">
        <v>1933</v>
      </c>
      <c r="I387" s="2" t="s">
        <v>1963</v>
      </c>
      <c r="J387" s="2" t="s">
        <v>1963</v>
      </c>
      <c r="K387" s="2" t="s">
        <v>1933</v>
      </c>
      <c r="L387" s="2"/>
      <c r="M387" s="2"/>
      <c r="N387" s="2" t="s">
        <v>145</v>
      </c>
      <c r="O387" s="2">
        <v>1.0</v>
      </c>
      <c r="P387" s="2">
        <v>0.0</v>
      </c>
      <c r="Q387" s="2">
        <v>0.0</v>
      </c>
      <c r="R387" s="2">
        <v>1.0</v>
      </c>
      <c r="S387" s="2">
        <v>0.0</v>
      </c>
      <c r="T387" s="2" t="s">
        <v>1964</v>
      </c>
    </row>
    <row r="388" ht="15.75" customHeight="1">
      <c r="A388" s="2" t="s">
        <v>1965</v>
      </c>
      <c r="B388" s="2" t="s">
        <v>1956</v>
      </c>
      <c r="C388" s="2" t="s">
        <v>894</v>
      </c>
      <c r="D388" s="2" t="s">
        <v>118</v>
      </c>
      <c r="E388" s="2" t="s">
        <v>1801</v>
      </c>
      <c r="F388" s="2" t="s">
        <v>1801</v>
      </c>
      <c r="G388" s="2" t="s">
        <v>1801</v>
      </c>
      <c r="H388" s="2" t="s">
        <v>1801</v>
      </c>
      <c r="I388" s="2" t="s">
        <v>1966</v>
      </c>
      <c r="J388" s="2" t="s">
        <v>1967</v>
      </c>
      <c r="K388" s="2" t="s">
        <v>1801</v>
      </c>
      <c r="L388" s="2"/>
      <c r="M388" s="2"/>
      <c r="N388" s="2" t="s">
        <v>171</v>
      </c>
      <c r="O388" s="2">
        <v>1.0</v>
      </c>
      <c r="P388" s="2">
        <v>0.0</v>
      </c>
      <c r="Q388" s="2">
        <v>0.0</v>
      </c>
      <c r="R388" s="2">
        <v>1.0</v>
      </c>
      <c r="S388" s="2">
        <v>1.0</v>
      </c>
      <c r="T388" s="2" t="s">
        <v>1968</v>
      </c>
    </row>
    <row r="389" ht="15.75" customHeight="1">
      <c r="A389" s="2" t="s">
        <v>1969</v>
      </c>
      <c r="B389" s="2" t="s">
        <v>1956</v>
      </c>
      <c r="C389" s="2" t="s">
        <v>894</v>
      </c>
      <c r="D389" s="2" t="s">
        <v>149</v>
      </c>
      <c r="E389" s="2" t="s">
        <v>962</v>
      </c>
      <c r="F389" s="2" t="s">
        <v>962</v>
      </c>
      <c r="G389" s="2" t="s">
        <v>962</v>
      </c>
      <c r="H389" s="2" t="s">
        <v>962</v>
      </c>
      <c r="I389" s="2" t="s">
        <v>1970</v>
      </c>
      <c r="J389" s="2" t="s">
        <v>1971</v>
      </c>
      <c r="K389" s="2" t="s">
        <v>962</v>
      </c>
      <c r="L389" s="2"/>
      <c r="M389" s="2"/>
      <c r="N389" s="2" t="s">
        <v>171</v>
      </c>
      <c r="O389" s="2">
        <v>1.0</v>
      </c>
      <c r="P389" s="2">
        <v>0.0</v>
      </c>
      <c r="Q389" s="2">
        <v>0.0</v>
      </c>
      <c r="R389" s="2">
        <v>1.0</v>
      </c>
      <c r="S389" s="2">
        <v>1.0</v>
      </c>
      <c r="T389" s="2" t="s">
        <v>1973</v>
      </c>
    </row>
    <row r="390" ht="15.75" customHeight="1">
      <c r="A390" s="2" t="s">
        <v>1974</v>
      </c>
      <c r="B390" s="2" t="s">
        <v>1975</v>
      </c>
      <c r="C390" s="2" t="s">
        <v>894</v>
      </c>
      <c r="D390" s="2" t="s">
        <v>71</v>
      </c>
      <c r="E390" s="2" t="s">
        <v>1976</v>
      </c>
      <c r="F390" s="2" t="s">
        <v>1976</v>
      </c>
      <c r="G390" s="2" t="s">
        <v>1977</v>
      </c>
      <c r="H390" s="2" t="s">
        <v>1977</v>
      </c>
      <c r="I390" s="2" t="s">
        <v>1978</v>
      </c>
      <c r="J390" s="2" t="s">
        <v>1978</v>
      </c>
      <c r="K390" s="2" t="s">
        <v>1977</v>
      </c>
      <c r="L390" s="2"/>
      <c r="M390" s="2"/>
      <c r="N390" s="2" t="s">
        <v>145</v>
      </c>
      <c r="O390" s="2">
        <v>1.0</v>
      </c>
      <c r="P390" s="2">
        <v>0.0</v>
      </c>
      <c r="Q390" s="2">
        <v>0.0</v>
      </c>
      <c r="R390" s="2">
        <v>1.0</v>
      </c>
      <c r="S390" s="2">
        <v>0.0</v>
      </c>
      <c r="T390" s="2" t="s">
        <v>1979</v>
      </c>
    </row>
    <row r="391" ht="15.75" customHeight="1">
      <c r="A391" s="2" t="s">
        <v>1980</v>
      </c>
      <c r="B391" s="2" t="s">
        <v>1975</v>
      </c>
      <c r="C391" s="2" t="s">
        <v>894</v>
      </c>
      <c r="D391" s="2" t="s">
        <v>75</v>
      </c>
      <c r="E391" s="2" t="s">
        <v>1981</v>
      </c>
      <c r="F391" s="2" t="s">
        <v>1981</v>
      </c>
      <c r="G391" s="2" t="s">
        <v>1982</v>
      </c>
      <c r="H391" s="2" t="s">
        <v>1982</v>
      </c>
      <c r="I391" s="2" t="s">
        <v>1983</v>
      </c>
      <c r="J391" s="2" t="s">
        <v>1983</v>
      </c>
      <c r="K391" s="2" t="s">
        <v>1982</v>
      </c>
      <c r="L391" s="2"/>
      <c r="M391" s="2"/>
      <c r="N391" s="2" t="s">
        <v>145</v>
      </c>
      <c r="O391" s="2">
        <v>1.0</v>
      </c>
      <c r="P391" s="2">
        <v>0.0</v>
      </c>
      <c r="Q391" s="2">
        <v>0.0</v>
      </c>
      <c r="R391" s="2">
        <v>1.0</v>
      </c>
      <c r="S391" s="2">
        <v>0.0</v>
      </c>
      <c r="T391" s="2" t="s">
        <v>1984</v>
      </c>
    </row>
    <row r="392" ht="15.75" customHeight="1">
      <c r="A392" s="2" t="s">
        <v>1985</v>
      </c>
      <c r="B392" s="2" t="s">
        <v>1975</v>
      </c>
      <c r="C392" s="2" t="s">
        <v>894</v>
      </c>
      <c r="D392" s="2" t="s">
        <v>118</v>
      </c>
      <c r="E392" s="2" t="s">
        <v>1801</v>
      </c>
      <c r="F392" s="2" t="s">
        <v>1801</v>
      </c>
      <c r="G392" s="2" t="s">
        <v>1801</v>
      </c>
      <c r="H392" s="2" t="s">
        <v>1801</v>
      </c>
      <c r="I392" s="2" t="s">
        <v>1986</v>
      </c>
      <c r="J392" s="2" t="s">
        <v>1987</v>
      </c>
      <c r="K392" s="2" t="s">
        <v>1801</v>
      </c>
      <c r="L392" s="2"/>
      <c r="M392" s="2"/>
      <c r="N392" s="2" t="s">
        <v>171</v>
      </c>
      <c r="O392" s="2">
        <v>1.0</v>
      </c>
      <c r="P392" s="2">
        <v>0.0</v>
      </c>
      <c r="Q392" s="2">
        <v>0.0</v>
      </c>
      <c r="R392" s="2">
        <v>1.0</v>
      </c>
      <c r="S392" s="2">
        <v>1.0</v>
      </c>
      <c r="T392" s="2" t="s">
        <v>1989</v>
      </c>
    </row>
    <row r="393" ht="15.75" customHeight="1">
      <c r="A393" s="2" t="s">
        <v>1990</v>
      </c>
      <c r="B393" s="2" t="s">
        <v>1975</v>
      </c>
      <c r="C393" s="2" t="s">
        <v>894</v>
      </c>
      <c r="D393" s="2" t="s">
        <v>149</v>
      </c>
      <c r="E393" s="2" t="s">
        <v>962</v>
      </c>
      <c r="F393" s="2" t="s">
        <v>962</v>
      </c>
      <c r="G393" s="2" t="s">
        <v>962</v>
      </c>
      <c r="H393" s="2" t="s">
        <v>962</v>
      </c>
      <c r="I393" s="2" t="s">
        <v>1991</v>
      </c>
      <c r="J393" s="2" t="s">
        <v>1992</v>
      </c>
      <c r="K393" s="2" t="s">
        <v>962</v>
      </c>
      <c r="L393" s="2"/>
      <c r="M393" s="2"/>
      <c r="N393" s="2" t="s">
        <v>171</v>
      </c>
      <c r="O393" s="2">
        <v>1.0</v>
      </c>
      <c r="P393" s="2">
        <v>0.0</v>
      </c>
      <c r="Q393" s="2">
        <v>0.0</v>
      </c>
      <c r="R393" s="2">
        <v>1.0</v>
      </c>
      <c r="S393" s="2">
        <v>1.0</v>
      </c>
      <c r="T393" s="2" t="s">
        <v>1994</v>
      </c>
    </row>
    <row r="394" ht="15.75" customHeight="1">
      <c r="A394" s="2" t="s">
        <v>1995</v>
      </c>
      <c r="B394" s="2" t="s">
        <v>1996</v>
      </c>
      <c r="C394" s="2" t="s">
        <v>894</v>
      </c>
      <c r="D394" s="2" t="s">
        <v>71</v>
      </c>
      <c r="E394" s="2" t="s">
        <v>1997</v>
      </c>
      <c r="F394" s="2" t="s">
        <v>1997</v>
      </c>
      <c r="G394" s="2" t="s">
        <v>1998</v>
      </c>
      <c r="H394" s="2" t="s">
        <v>1998</v>
      </c>
      <c r="I394" s="2" t="s">
        <v>1999</v>
      </c>
      <c r="J394" s="2" t="s">
        <v>1999</v>
      </c>
      <c r="K394" s="2" t="s">
        <v>1998</v>
      </c>
      <c r="L394" s="2"/>
      <c r="M394" s="2"/>
      <c r="N394" s="2" t="s">
        <v>145</v>
      </c>
      <c r="O394" s="2">
        <v>1.0</v>
      </c>
      <c r="P394" s="2">
        <v>0.0</v>
      </c>
      <c r="Q394" s="2">
        <v>0.0</v>
      </c>
      <c r="R394" s="2">
        <v>1.0</v>
      </c>
      <c r="S394" s="2">
        <v>0.0</v>
      </c>
      <c r="T394" s="2" t="s">
        <v>2000</v>
      </c>
    </row>
    <row r="395" ht="15.75" customHeight="1">
      <c r="A395" s="2" t="s">
        <v>2001</v>
      </c>
      <c r="B395" s="2" t="s">
        <v>1996</v>
      </c>
      <c r="C395" s="2" t="s">
        <v>894</v>
      </c>
      <c r="D395" s="2" t="s">
        <v>75</v>
      </c>
      <c r="E395" s="2" t="s">
        <v>2002</v>
      </c>
      <c r="F395" s="2" t="s">
        <v>2002</v>
      </c>
      <c r="G395" s="2" t="s">
        <v>2003</v>
      </c>
      <c r="H395" s="2" t="s">
        <v>2003</v>
      </c>
      <c r="I395" s="2" t="s">
        <v>2004</v>
      </c>
      <c r="J395" s="2" t="s">
        <v>2004</v>
      </c>
      <c r="K395" s="2" t="s">
        <v>2003</v>
      </c>
      <c r="L395" s="2"/>
      <c r="M395" s="2"/>
      <c r="N395" s="2" t="s">
        <v>145</v>
      </c>
      <c r="O395" s="2">
        <v>1.0</v>
      </c>
      <c r="P395" s="2">
        <v>0.0</v>
      </c>
      <c r="Q395" s="2">
        <v>0.0</v>
      </c>
      <c r="R395" s="2">
        <v>1.0</v>
      </c>
      <c r="S395" s="2">
        <v>0.0</v>
      </c>
      <c r="T395" s="2" t="s">
        <v>2005</v>
      </c>
    </row>
    <row r="396" ht="15.75" customHeight="1">
      <c r="A396" s="2" t="s">
        <v>2006</v>
      </c>
      <c r="B396" s="2" t="s">
        <v>1996</v>
      </c>
      <c r="C396" s="2" t="s">
        <v>894</v>
      </c>
      <c r="D396" s="2" t="s">
        <v>118</v>
      </c>
      <c r="E396" s="2" t="s">
        <v>2008</v>
      </c>
      <c r="F396" s="2" t="s">
        <v>2008</v>
      </c>
      <c r="G396" s="2" t="s">
        <v>2008</v>
      </c>
      <c r="H396" s="2" t="s">
        <v>2008</v>
      </c>
      <c r="I396" s="2" t="s">
        <v>2009</v>
      </c>
      <c r="J396" s="2" t="s">
        <v>2009</v>
      </c>
      <c r="K396" s="2" t="s">
        <v>2008</v>
      </c>
      <c r="L396" s="2"/>
      <c r="M396" s="2"/>
      <c r="N396" s="2" t="s">
        <v>145</v>
      </c>
      <c r="O396" s="2">
        <v>1.0</v>
      </c>
      <c r="P396" s="2">
        <v>0.0</v>
      </c>
      <c r="Q396" s="2">
        <v>0.0</v>
      </c>
      <c r="R396" s="2">
        <v>1.0</v>
      </c>
      <c r="S396" s="2">
        <v>0.0</v>
      </c>
      <c r="T396" s="2" t="s">
        <v>2010</v>
      </c>
    </row>
    <row r="397" ht="15.75" customHeight="1">
      <c r="A397" s="2" t="s">
        <v>2011</v>
      </c>
      <c r="B397" s="2" t="s">
        <v>1996</v>
      </c>
      <c r="C397" s="2" t="s">
        <v>894</v>
      </c>
      <c r="D397" s="2" t="s">
        <v>149</v>
      </c>
      <c r="E397" s="2" t="s">
        <v>962</v>
      </c>
      <c r="F397" s="2" t="s">
        <v>962</v>
      </c>
      <c r="G397" s="2" t="s">
        <v>962</v>
      </c>
      <c r="H397" s="2" t="s">
        <v>962</v>
      </c>
      <c r="I397" s="2" t="s">
        <v>2012</v>
      </c>
      <c r="J397" s="2" t="s">
        <v>2013</v>
      </c>
      <c r="K397" s="2" t="s">
        <v>962</v>
      </c>
      <c r="L397" s="2"/>
      <c r="M397" s="2"/>
      <c r="N397" s="2" t="s">
        <v>171</v>
      </c>
      <c r="O397" s="2">
        <v>1.0</v>
      </c>
      <c r="P397" s="2">
        <v>0.0</v>
      </c>
      <c r="Q397" s="2">
        <v>0.0</v>
      </c>
      <c r="R397" s="2">
        <v>1.0</v>
      </c>
      <c r="S397" s="2">
        <v>1.0</v>
      </c>
      <c r="T397" s="2" t="s">
        <v>2014</v>
      </c>
    </row>
    <row r="398" ht="15.75" customHeight="1">
      <c r="A398" s="2" t="s">
        <v>2015</v>
      </c>
      <c r="B398" s="2" t="s">
        <v>2016</v>
      </c>
      <c r="C398" s="2" t="s">
        <v>894</v>
      </c>
      <c r="D398" s="2" t="s">
        <v>71</v>
      </c>
      <c r="E398" s="2" t="s">
        <v>2017</v>
      </c>
      <c r="F398" s="2" t="s">
        <v>2017</v>
      </c>
      <c r="G398" s="2" t="s">
        <v>2018</v>
      </c>
      <c r="H398" s="2" t="s">
        <v>2018</v>
      </c>
      <c r="I398" s="2" t="s">
        <v>2019</v>
      </c>
      <c r="J398" s="2" t="s">
        <v>2019</v>
      </c>
      <c r="K398" s="2" t="s">
        <v>2018</v>
      </c>
      <c r="L398" s="2"/>
      <c r="M398" s="2"/>
      <c r="N398" s="2" t="s">
        <v>145</v>
      </c>
      <c r="O398" s="2">
        <v>1.0</v>
      </c>
      <c r="P398" s="2">
        <v>0.0</v>
      </c>
      <c r="Q398" s="2">
        <v>0.0</v>
      </c>
      <c r="R398" s="2">
        <v>1.0</v>
      </c>
      <c r="S398" s="2">
        <v>0.0</v>
      </c>
      <c r="T398" s="2" t="s">
        <v>2020</v>
      </c>
    </row>
    <row r="399" ht="15.75" customHeight="1">
      <c r="A399" s="2" t="s">
        <v>2021</v>
      </c>
      <c r="B399" s="2" t="s">
        <v>2016</v>
      </c>
      <c r="C399" s="2" t="s">
        <v>894</v>
      </c>
      <c r="D399" s="2" t="s">
        <v>75</v>
      </c>
      <c r="E399" s="2" t="s">
        <v>1932</v>
      </c>
      <c r="F399" s="2" t="s">
        <v>1932</v>
      </c>
      <c r="G399" s="2" t="s">
        <v>1933</v>
      </c>
      <c r="H399" s="2" t="s">
        <v>1933</v>
      </c>
      <c r="I399" s="2" t="s">
        <v>2022</v>
      </c>
      <c r="J399" s="2" t="s">
        <v>2022</v>
      </c>
      <c r="K399" s="2" t="s">
        <v>1933</v>
      </c>
      <c r="L399" s="2"/>
      <c r="M399" s="2"/>
      <c r="N399" s="2" t="s">
        <v>145</v>
      </c>
      <c r="O399" s="2">
        <v>1.0</v>
      </c>
      <c r="P399" s="2">
        <v>0.0</v>
      </c>
      <c r="Q399" s="2">
        <v>0.0</v>
      </c>
      <c r="R399" s="2">
        <v>1.0</v>
      </c>
      <c r="S399" s="2">
        <v>0.0</v>
      </c>
      <c r="T399" s="2" t="s">
        <v>2023</v>
      </c>
    </row>
    <row r="400" ht="15.75" customHeight="1">
      <c r="A400" s="2" t="s">
        <v>2025</v>
      </c>
      <c r="B400" s="2" t="s">
        <v>2016</v>
      </c>
      <c r="C400" s="2" t="s">
        <v>894</v>
      </c>
      <c r="D400" s="2" t="s">
        <v>118</v>
      </c>
      <c r="E400" s="2" t="s">
        <v>1801</v>
      </c>
      <c r="F400" s="2" t="s">
        <v>1801</v>
      </c>
      <c r="G400" s="2" t="s">
        <v>1801</v>
      </c>
      <c r="H400" s="2" t="s">
        <v>1801</v>
      </c>
      <c r="I400" s="2" t="s">
        <v>2026</v>
      </c>
      <c r="J400" s="2" t="s">
        <v>2027</v>
      </c>
      <c r="K400" s="2" t="s">
        <v>1801</v>
      </c>
      <c r="L400" s="2"/>
      <c r="M400" s="2"/>
      <c r="N400" s="2" t="s">
        <v>171</v>
      </c>
      <c r="O400" s="2">
        <v>1.0</v>
      </c>
      <c r="P400" s="2">
        <v>0.0</v>
      </c>
      <c r="Q400" s="2">
        <v>0.0</v>
      </c>
      <c r="R400" s="2">
        <v>1.0</v>
      </c>
      <c r="S400" s="2">
        <v>1.0</v>
      </c>
      <c r="T400" s="2" t="s">
        <v>2028</v>
      </c>
    </row>
    <row r="401" ht="15.75" customHeight="1">
      <c r="A401" s="2" t="s">
        <v>2029</v>
      </c>
      <c r="B401" s="2" t="s">
        <v>2016</v>
      </c>
      <c r="C401" s="2" t="s">
        <v>894</v>
      </c>
      <c r="D401" s="2" t="s">
        <v>149</v>
      </c>
      <c r="E401" s="2" t="s">
        <v>962</v>
      </c>
      <c r="F401" s="2" t="s">
        <v>962</v>
      </c>
      <c r="G401" s="2" t="s">
        <v>962</v>
      </c>
      <c r="H401" s="2" t="s">
        <v>962</v>
      </c>
      <c r="I401" s="2" t="s">
        <v>2012</v>
      </c>
      <c r="J401" s="2" t="s">
        <v>2013</v>
      </c>
      <c r="K401" s="2" t="s">
        <v>962</v>
      </c>
      <c r="L401" s="2"/>
      <c r="M401" s="2"/>
      <c r="N401" s="2" t="s">
        <v>171</v>
      </c>
      <c r="O401" s="2">
        <v>1.0</v>
      </c>
      <c r="P401" s="2">
        <v>0.0</v>
      </c>
      <c r="Q401" s="2">
        <v>0.0</v>
      </c>
      <c r="R401" s="2">
        <v>1.0</v>
      </c>
      <c r="S401" s="2">
        <v>1.0</v>
      </c>
      <c r="T401" s="2" t="s">
        <v>2030</v>
      </c>
    </row>
    <row r="402" ht="15.75" customHeight="1">
      <c r="A402" s="2" t="s">
        <v>2032</v>
      </c>
      <c r="B402" s="2" t="s">
        <v>893</v>
      </c>
      <c r="C402" s="2" t="s">
        <v>894</v>
      </c>
      <c r="D402" s="2" t="s">
        <v>71</v>
      </c>
      <c r="E402" s="2" t="s">
        <v>2033</v>
      </c>
      <c r="F402" s="2" t="s">
        <v>2033</v>
      </c>
      <c r="G402" s="2" t="s">
        <v>2034</v>
      </c>
      <c r="H402" s="2" t="s">
        <v>2034</v>
      </c>
      <c r="I402" s="2" t="s">
        <v>2035</v>
      </c>
      <c r="J402" s="2" t="s">
        <v>2035</v>
      </c>
      <c r="K402" s="2" t="s">
        <v>2034</v>
      </c>
      <c r="L402" s="2"/>
      <c r="M402" s="2"/>
      <c r="N402" s="2" t="s">
        <v>145</v>
      </c>
      <c r="O402" s="2">
        <v>1.0</v>
      </c>
      <c r="P402" s="2">
        <v>0.0</v>
      </c>
      <c r="Q402" s="2">
        <v>0.0</v>
      </c>
      <c r="R402" s="2">
        <v>1.0</v>
      </c>
      <c r="S402" s="2">
        <v>0.0</v>
      </c>
      <c r="T402" s="2" t="s">
        <v>2036</v>
      </c>
    </row>
    <row r="403" ht="15.75" customHeight="1">
      <c r="A403" s="2" t="s">
        <v>892</v>
      </c>
      <c r="B403" s="2" t="s">
        <v>893</v>
      </c>
      <c r="C403" s="2" t="s">
        <v>894</v>
      </c>
      <c r="D403" s="2" t="s">
        <v>75</v>
      </c>
      <c r="E403" s="2" t="s">
        <v>895</v>
      </c>
      <c r="F403" s="2" t="s">
        <v>896</v>
      </c>
      <c r="G403" s="2" t="s">
        <v>897</v>
      </c>
      <c r="H403" s="2" t="s">
        <v>898</v>
      </c>
      <c r="I403" s="2" t="s">
        <v>899</v>
      </c>
      <c r="J403" s="2" t="s">
        <v>900</v>
      </c>
      <c r="K403" s="2"/>
      <c r="L403" s="2" t="s">
        <v>897</v>
      </c>
      <c r="M403" s="2" t="s">
        <v>898</v>
      </c>
      <c r="N403" s="2" t="s">
        <v>105</v>
      </c>
      <c r="O403" s="2">
        <v>0.0</v>
      </c>
      <c r="P403" s="2">
        <v>1.0</v>
      </c>
      <c r="Q403" s="2">
        <v>1.0</v>
      </c>
      <c r="R403" s="2">
        <v>0.0</v>
      </c>
      <c r="S403" s="2">
        <v>0.0</v>
      </c>
      <c r="T403" s="2" t="s">
        <v>905</v>
      </c>
    </row>
    <row r="404" ht="15.75" customHeight="1">
      <c r="A404" s="2" t="s">
        <v>2038</v>
      </c>
      <c r="B404" s="2" t="s">
        <v>893</v>
      </c>
      <c r="C404" s="2" t="s">
        <v>894</v>
      </c>
      <c r="D404" s="2" t="s">
        <v>118</v>
      </c>
      <c r="E404" s="2" t="s">
        <v>1801</v>
      </c>
      <c r="F404" s="2" t="s">
        <v>1801</v>
      </c>
      <c r="G404" s="2" t="s">
        <v>1801</v>
      </c>
      <c r="H404" s="2" t="s">
        <v>1801</v>
      </c>
      <c r="I404" s="2" t="s">
        <v>2039</v>
      </c>
      <c r="J404" s="2" t="s">
        <v>2040</v>
      </c>
      <c r="K404" s="2" t="s">
        <v>1801</v>
      </c>
      <c r="L404" s="2"/>
      <c r="M404" s="2"/>
      <c r="N404" s="2" t="s">
        <v>171</v>
      </c>
      <c r="O404" s="2">
        <v>1.0</v>
      </c>
      <c r="P404" s="2">
        <v>0.0</v>
      </c>
      <c r="Q404" s="2">
        <v>0.0</v>
      </c>
      <c r="R404" s="2">
        <v>1.0</v>
      </c>
      <c r="S404" s="2">
        <v>1.0</v>
      </c>
      <c r="T404" s="2" t="s">
        <v>2041</v>
      </c>
    </row>
    <row r="405" ht="15.75" customHeight="1">
      <c r="A405" s="2" t="s">
        <v>2042</v>
      </c>
      <c r="B405" s="2" t="s">
        <v>893</v>
      </c>
      <c r="C405" s="2" t="s">
        <v>894</v>
      </c>
      <c r="D405" s="2" t="s">
        <v>149</v>
      </c>
      <c r="E405" s="2" t="s">
        <v>962</v>
      </c>
      <c r="F405" s="2" t="s">
        <v>962</v>
      </c>
      <c r="G405" s="2" t="s">
        <v>962</v>
      </c>
      <c r="H405" s="2" t="s">
        <v>962</v>
      </c>
      <c r="I405" s="2" t="s">
        <v>2043</v>
      </c>
      <c r="J405" s="2" t="s">
        <v>2044</v>
      </c>
      <c r="K405" s="2" t="s">
        <v>962</v>
      </c>
      <c r="L405" s="2"/>
      <c r="M405" s="2"/>
      <c r="N405" s="2" t="s">
        <v>171</v>
      </c>
      <c r="O405" s="2">
        <v>1.0</v>
      </c>
      <c r="P405" s="2">
        <v>0.0</v>
      </c>
      <c r="Q405" s="2">
        <v>0.0</v>
      </c>
      <c r="R405" s="2">
        <v>1.0</v>
      </c>
      <c r="S405" s="2">
        <v>1.0</v>
      </c>
      <c r="T405" s="2" t="s">
        <v>2045</v>
      </c>
    </row>
    <row r="406" ht="15.75" customHeight="1">
      <c r="A406" s="2" t="s">
        <v>2046</v>
      </c>
      <c r="B406" s="2" t="s">
        <v>2047</v>
      </c>
      <c r="C406" s="2" t="s">
        <v>894</v>
      </c>
      <c r="D406" s="2" t="s">
        <v>71</v>
      </c>
      <c r="E406" s="2" t="s">
        <v>2048</v>
      </c>
      <c r="F406" s="2" t="s">
        <v>2048</v>
      </c>
      <c r="G406" s="2" t="s">
        <v>2049</v>
      </c>
      <c r="H406" s="2" t="s">
        <v>2049</v>
      </c>
      <c r="I406" s="2" t="s">
        <v>2050</v>
      </c>
      <c r="J406" s="2" t="s">
        <v>2050</v>
      </c>
      <c r="K406" s="2" t="s">
        <v>2049</v>
      </c>
      <c r="L406" s="2"/>
      <c r="M406" s="2"/>
      <c r="N406" s="2" t="s">
        <v>145</v>
      </c>
      <c r="O406" s="2">
        <v>1.0</v>
      </c>
      <c r="P406" s="2">
        <v>0.0</v>
      </c>
      <c r="Q406" s="2">
        <v>0.0</v>
      </c>
      <c r="R406" s="2">
        <v>1.0</v>
      </c>
      <c r="S406" s="2">
        <v>0.0</v>
      </c>
      <c r="T406" s="2" t="s">
        <v>2051</v>
      </c>
    </row>
    <row r="407" ht="15.75" customHeight="1">
      <c r="A407" s="2" t="s">
        <v>2052</v>
      </c>
      <c r="B407" s="2" t="s">
        <v>2047</v>
      </c>
      <c r="C407" s="2" t="s">
        <v>894</v>
      </c>
      <c r="D407" s="2" t="s">
        <v>75</v>
      </c>
      <c r="E407" s="2" t="s">
        <v>1981</v>
      </c>
      <c r="F407" s="2" t="s">
        <v>1981</v>
      </c>
      <c r="G407" s="2" t="s">
        <v>1982</v>
      </c>
      <c r="H407" s="2" t="s">
        <v>1982</v>
      </c>
      <c r="I407" s="2" t="s">
        <v>2053</v>
      </c>
      <c r="J407" s="2" t="s">
        <v>2053</v>
      </c>
      <c r="K407" s="2" t="s">
        <v>1982</v>
      </c>
      <c r="L407" s="2"/>
      <c r="M407" s="2"/>
      <c r="N407" s="2" t="s">
        <v>145</v>
      </c>
      <c r="O407" s="2">
        <v>1.0</v>
      </c>
      <c r="P407" s="2">
        <v>0.0</v>
      </c>
      <c r="Q407" s="2">
        <v>0.0</v>
      </c>
      <c r="R407" s="2">
        <v>1.0</v>
      </c>
      <c r="S407" s="2">
        <v>0.0</v>
      </c>
      <c r="T407" s="2" t="s">
        <v>2054</v>
      </c>
    </row>
    <row r="408" ht="15.75" customHeight="1">
      <c r="A408" s="2" t="s">
        <v>2055</v>
      </c>
      <c r="B408" s="2" t="s">
        <v>2047</v>
      </c>
      <c r="C408" s="2" t="s">
        <v>894</v>
      </c>
      <c r="D408" s="2" t="s">
        <v>118</v>
      </c>
      <c r="E408" s="2" t="s">
        <v>1801</v>
      </c>
      <c r="F408" s="2" t="s">
        <v>1801</v>
      </c>
      <c r="G408" s="2" t="s">
        <v>1801</v>
      </c>
      <c r="H408" s="2" t="s">
        <v>1801</v>
      </c>
      <c r="I408" s="2" t="s">
        <v>2057</v>
      </c>
      <c r="J408" s="2" t="s">
        <v>2058</v>
      </c>
      <c r="K408" s="2" t="s">
        <v>1801</v>
      </c>
      <c r="L408" s="2"/>
      <c r="M408" s="2"/>
      <c r="N408" s="2" t="s">
        <v>171</v>
      </c>
      <c r="O408" s="2">
        <v>1.0</v>
      </c>
      <c r="P408" s="2">
        <v>0.0</v>
      </c>
      <c r="Q408" s="2">
        <v>0.0</v>
      </c>
      <c r="R408" s="2">
        <v>1.0</v>
      </c>
      <c r="S408" s="2">
        <v>1.0</v>
      </c>
      <c r="T408" s="2" t="s">
        <v>2059</v>
      </c>
    </row>
    <row r="409" ht="15.75" customHeight="1">
      <c r="A409" s="2" t="s">
        <v>2060</v>
      </c>
      <c r="B409" s="2" t="s">
        <v>2047</v>
      </c>
      <c r="C409" s="2" t="s">
        <v>894</v>
      </c>
      <c r="D409" s="2" t="s">
        <v>149</v>
      </c>
      <c r="E409" s="2" t="s">
        <v>962</v>
      </c>
      <c r="F409" s="2" t="s">
        <v>962</v>
      </c>
      <c r="G409" s="2" t="s">
        <v>962</v>
      </c>
      <c r="H409" s="2" t="s">
        <v>962</v>
      </c>
      <c r="I409" s="2" t="s">
        <v>2061</v>
      </c>
      <c r="J409" s="2" t="s">
        <v>2062</v>
      </c>
      <c r="K409" s="2" t="s">
        <v>962</v>
      </c>
      <c r="L409" s="2"/>
      <c r="M409" s="2"/>
      <c r="N409" s="2" t="s">
        <v>171</v>
      </c>
      <c r="O409" s="2">
        <v>1.0</v>
      </c>
      <c r="P409" s="2">
        <v>0.0</v>
      </c>
      <c r="Q409" s="2">
        <v>0.0</v>
      </c>
      <c r="R409" s="2">
        <v>1.0</v>
      </c>
      <c r="S409" s="2">
        <v>1.0</v>
      </c>
      <c r="T409" s="2" t="s">
        <v>2063</v>
      </c>
    </row>
    <row r="410" ht="15.75" customHeight="1">
      <c r="A410" s="2" t="s">
        <v>2064</v>
      </c>
      <c r="B410" s="2" t="s">
        <v>2065</v>
      </c>
      <c r="C410" s="2" t="s">
        <v>894</v>
      </c>
      <c r="D410" s="2" t="s">
        <v>71</v>
      </c>
      <c r="E410" s="2" t="s">
        <v>2066</v>
      </c>
      <c r="F410" s="2" t="s">
        <v>2066</v>
      </c>
      <c r="G410" s="2" t="s">
        <v>2067</v>
      </c>
      <c r="H410" s="2" t="s">
        <v>2067</v>
      </c>
      <c r="I410" s="2" t="s">
        <v>2068</v>
      </c>
      <c r="J410" s="2" t="s">
        <v>2068</v>
      </c>
      <c r="K410" s="2" t="s">
        <v>2067</v>
      </c>
      <c r="L410" s="2"/>
      <c r="M410" s="2"/>
      <c r="N410" s="2" t="s">
        <v>145</v>
      </c>
      <c r="O410" s="2">
        <v>1.0</v>
      </c>
      <c r="P410" s="2">
        <v>0.0</v>
      </c>
      <c r="Q410" s="2">
        <v>0.0</v>
      </c>
      <c r="R410" s="2">
        <v>1.0</v>
      </c>
      <c r="S410" s="2">
        <v>0.0</v>
      </c>
      <c r="T410" s="2" t="s">
        <v>2069</v>
      </c>
    </row>
    <row r="411" ht="15.75" customHeight="1">
      <c r="A411" s="2" t="s">
        <v>2070</v>
      </c>
      <c r="B411" s="2" t="s">
        <v>2065</v>
      </c>
      <c r="C411" s="2" t="s">
        <v>894</v>
      </c>
      <c r="D411" s="2" t="s">
        <v>75</v>
      </c>
      <c r="E411" s="2" t="s">
        <v>1962</v>
      </c>
      <c r="F411" s="2" t="s">
        <v>1962</v>
      </c>
      <c r="G411" s="2" t="s">
        <v>1933</v>
      </c>
      <c r="H411" s="2" t="s">
        <v>1933</v>
      </c>
      <c r="I411" s="2" t="s">
        <v>2071</v>
      </c>
      <c r="J411" s="2" t="s">
        <v>2071</v>
      </c>
      <c r="K411" s="2" t="s">
        <v>1933</v>
      </c>
      <c r="L411" s="2"/>
      <c r="M411" s="2"/>
      <c r="N411" s="2" t="s">
        <v>145</v>
      </c>
      <c r="O411" s="2">
        <v>1.0</v>
      </c>
      <c r="P411" s="2">
        <v>0.0</v>
      </c>
      <c r="Q411" s="2">
        <v>0.0</v>
      </c>
      <c r="R411" s="2">
        <v>1.0</v>
      </c>
      <c r="S411" s="2">
        <v>0.0</v>
      </c>
      <c r="T411" s="2" t="s">
        <v>2072</v>
      </c>
    </row>
    <row r="412" ht="15.75" customHeight="1">
      <c r="A412" s="2" t="s">
        <v>2073</v>
      </c>
      <c r="B412" s="2" t="s">
        <v>2065</v>
      </c>
      <c r="C412" s="2" t="s">
        <v>894</v>
      </c>
      <c r="D412" s="2" t="s">
        <v>118</v>
      </c>
      <c r="E412" s="2" t="s">
        <v>1801</v>
      </c>
      <c r="F412" s="2" t="s">
        <v>1801</v>
      </c>
      <c r="G412" s="2" t="s">
        <v>1801</v>
      </c>
      <c r="H412" s="2" t="s">
        <v>1801</v>
      </c>
      <c r="I412" s="2" t="s">
        <v>2074</v>
      </c>
      <c r="J412" s="2" t="s">
        <v>2075</v>
      </c>
      <c r="K412" s="2" t="s">
        <v>1801</v>
      </c>
      <c r="L412" s="2"/>
      <c r="M412" s="2"/>
      <c r="N412" s="2" t="s">
        <v>171</v>
      </c>
      <c r="O412" s="2">
        <v>1.0</v>
      </c>
      <c r="P412" s="2">
        <v>0.0</v>
      </c>
      <c r="Q412" s="2">
        <v>0.0</v>
      </c>
      <c r="R412" s="2">
        <v>1.0</v>
      </c>
      <c r="S412" s="2">
        <v>1.0</v>
      </c>
      <c r="T412" s="2" t="s">
        <v>2077</v>
      </c>
    </row>
    <row r="413" ht="15.75" customHeight="1">
      <c r="A413" s="2" t="s">
        <v>2078</v>
      </c>
      <c r="B413" s="2" t="s">
        <v>2065</v>
      </c>
      <c r="C413" s="2" t="s">
        <v>894</v>
      </c>
      <c r="D413" s="2" t="s">
        <v>149</v>
      </c>
      <c r="E413" s="2" t="s">
        <v>962</v>
      </c>
      <c r="F413" s="2" t="s">
        <v>962</v>
      </c>
      <c r="G413" s="2" t="s">
        <v>962</v>
      </c>
      <c r="H413" s="2" t="s">
        <v>962</v>
      </c>
      <c r="I413" s="2" t="s">
        <v>2079</v>
      </c>
      <c r="J413" s="2" t="s">
        <v>2080</v>
      </c>
      <c r="K413" s="2" t="s">
        <v>962</v>
      </c>
      <c r="L413" s="2"/>
      <c r="M413" s="2"/>
      <c r="N413" s="2" t="s">
        <v>171</v>
      </c>
      <c r="O413" s="2">
        <v>1.0</v>
      </c>
      <c r="P413" s="2">
        <v>0.0</v>
      </c>
      <c r="Q413" s="2">
        <v>0.0</v>
      </c>
      <c r="R413" s="2">
        <v>1.0</v>
      </c>
      <c r="S413" s="2">
        <v>1.0</v>
      </c>
      <c r="T413" s="2" t="s">
        <v>2081</v>
      </c>
    </row>
    <row r="414" ht="15.75" customHeight="1">
      <c r="A414" s="2" t="s">
        <v>2082</v>
      </c>
      <c r="B414" s="2" t="s">
        <v>2083</v>
      </c>
      <c r="C414" s="2" t="s">
        <v>894</v>
      </c>
      <c r="D414" s="2" t="s">
        <v>71</v>
      </c>
      <c r="E414" s="2" t="s">
        <v>2084</v>
      </c>
      <c r="F414" s="2" t="s">
        <v>2084</v>
      </c>
      <c r="G414" s="2" t="s">
        <v>2085</v>
      </c>
      <c r="H414" s="2" t="s">
        <v>2085</v>
      </c>
      <c r="I414" s="2" t="s">
        <v>2086</v>
      </c>
      <c r="J414" s="2" t="s">
        <v>2086</v>
      </c>
      <c r="K414" s="2" t="s">
        <v>2085</v>
      </c>
      <c r="L414" s="2"/>
      <c r="M414" s="2"/>
      <c r="N414" s="2" t="s">
        <v>145</v>
      </c>
      <c r="O414" s="2">
        <v>1.0</v>
      </c>
      <c r="P414" s="2">
        <v>0.0</v>
      </c>
      <c r="Q414" s="2">
        <v>0.0</v>
      </c>
      <c r="R414" s="2">
        <v>1.0</v>
      </c>
      <c r="S414" s="2">
        <v>0.0</v>
      </c>
      <c r="T414" s="2" t="s">
        <v>2087</v>
      </c>
    </row>
    <row r="415" ht="15.75" customHeight="1">
      <c r="A415" s="2" t="s">
        <v>2089</v>
      </c>
      <c r="B415" s="2" t="s">
        <v>2083</v>
      </c>
      <c r="C415" s="2" t="s">
        <v>894</v>
      </c>
      <c r="D415" s="2" t="s">
        <v>75</v>
      </c>
      <c r="E415" s="2" t="s">
        <v>2090</v>
      </c>
      <c r="F415" s="2" t="s">
        <v>2090</v>
      </c>
      <c r="G415" s="2" t="s">
        <v>2091</v>
      </c>
      <c r="H415" s="2" t="s">
        <v>2091</v>
      </c>
      <c r="I415" s="2" t="s">
        <v>2092</v>
      </c>
      <c r="J415" s="2" t="s">
        <v>2092</v>
      </c>
      <c r="K415" s="2" t="s">
        <v>2091</v>
      </c>
      <c r="L415" s="2"/>
      <c r="M415" s="2"/>
      <c r="N415" s="2" t="s">
        <v>145</v>
      </c>
      <c r="O415" s="2">
        <v>1.0</v>
      </c>
      <c r="P415" s="2">
        <v>0.0</v>
      </c>
      <c r="Q415" s="2">
        <v>0.0</v>
      </c>
      <c r="R415" s="2">
        <v>1.0</v>
      </c>
      <c r="S415" s="2">
        <v>0.0</v>
      </c>
      <c r="T415" s="2" t="s">
        <v>2093</v>
      </c>
    </row>
    <row r="416" ht="15.75" customHeight="1">
      <c r="A416" s="2" t="s">
        <v>2094</v>
      </c>
      <c r="B416" s="2" t="s">
        <v>2083</v>
      </c>
      <c r="C416" s="2" t="s">
        <v>894</v>
      </c>
      <c r="D416" s="2" t="s">
        <v>118</v>
      </c>
      <c r="E416" s="2" t="s">
        <v>1801</v>
      </c>
      <c r="F416" s="2" t="s">
        <v>1801</v>
      </c>
      <c r="G416" s="2" t="s">
        <v>1801</v>
      </c>
      <c r="H416" s="2" t="s">
        <v>1801</v>
      </c>
      <c r="I416" s="2" t="s">
        <v>2095</v>
      </c>
      <c r="J416" s="2" t="s">
        <v>2096</v>
      </c>
      <c r="K416" s="2" t="s">
        <v>1801</v>
      </c>
      <c r="L416" s="2"/>
      <c r="M416" s="2"/>
      <c r="N416" s="2" t="s">
        <v>171</v>
      </c>
      <c r="O416" s="2">
        <v>1.0</v>
      </c>
      <c r="P416" s="2">
        <v>0.0</v>
      </c>
      <c r="Q416" s="2">
        <v>0.0</v>
      </c>
      <c r="R416" s="2">
        <v>1.0</v>
      </c>
      <c r="S416" s="2">
        <v>1.0</v>
      </c>
      <c r="T416" s="2" t="s">
        <v>2097</v>
      </c>
    </row>
    <row r="417" ht="15.75" customHeight="1">
      <c r="A417" s="2" t="s">
        <v>2099</v>
      </c>
      <c r="B417" s="2" t="s">
        <v>2083</v>
      </c>
      <c r="C417" s="2" t="s">
        <v>894</v>
      </c>
      <c r="D417" s="2" t="s">
        <v>149</v>
      </c>
      <c r="E417" s="2" t="s">
        <v>962</v>
      </c>
      <c r="F417" s="2" t="s">
        <v>962</v>
      </c>
      <c r="G417" s="2" t="s">
        <v>962</v>
      </c>
      <c r="H417" s="2" t="s">
        <v>962</v>
      </c>
      <c r="I417" s="2" t="s">
        <v>2101</v>
      </c>
      <c r="J417" s="2" t="s">
        <v>2102</v>
      </c>
      <c r="K417" s="2" t="s">
        <v>962</v>
      </c>
      <c r="L417" s="2"/>
      <c r="M417" s="2"/>
      <c r="N417" s="2" t="s">
        <v>171</v>
      </c>
      <c r="O417" s="2">
        <v>1.0</v>
      </c>
      <c r="P417" s="2">
        <v>0.0</v>
      </c>
      <c r="Q417" s="2">
        <v>0.0</v>
      </c>
      <c r="R417" s="2">
        <v>1.0</v>
      </c>
      <c r="S417" s="2">
        <v>1.0</v>
      </c>
      <c r="T417" s="2" t="s">
        <v>2103</v>
      </c>
    </row>
    <row r="418" ht="15.75" customHeight="1">
      <c r="A418" s="2" t="s">
        <v>2104</v>
      </c>
      <c r="B418" s="2" t="s">
        <v>2100</v>
      </c>
      <c r="C418" s="2" t="s">
        <v>894</v>
      </c>
      <c r="D418" s="2" t="s">
        <v>71</v>
      </c>
      <c r="E418" s="2" t="s">
        <v>2105</v>
      </c>
      <c r="F418" s="2" t="s">
        <v>2105</v>
      </c>
      <c r="G418" s="2" t="s">
        <v>2106</v>
      </c>
      <c r="H418" s="2" t="s">
        <v>2106</v>
      </c>
      <c r="I418" s="2" t="s">
        <v>2107</v>
      </c>
      <c r="J418" s="2" t="s">
        <v>2107</v>
      </c>
      <c r="K418" s="2" t="s">
        <v>2106</v>
      </c>
      <c r="L418" s="2"/>
      <c r="M418" s="2"/>
      <c r="N418" s="2" t="s">
        <v>145</v>
      </c>
      <c r="O418" s="2">
        <v>1.0</v>
      </c>
      <c r="P418" s="2">
        <v>0.0</v>
      </c>
      <c r="Q418" s="2">
        <v>0.0</v>
      </c>
      <c r="R418" s="2">
        <v>1.0</v>
      </c>
      <c r="S418" s="2">
        <v>0.0</v>
      </c>
      <c r="T418" s="2" t="s">
        <v>2108</v>
      </c>
    </row>
    <row r="419" ht="15.75" customHeight="1">
      <c r="A419" s="2" t="s">
        <v>2109</v>
      </c>
      <c r="B419" s="2" t="s">
        <v>2100</v>
      </c>
      <c r="C419" s="2" t="s">
        <v>894</v>
      </c>
      <c r="D419" s="2" t="s">
        <v>75</v>
      </c>
      <c r="E419" s="2" t="s">
        <v>2110</v>
      </c>
      <c r="F419" s="2" t="s">
        <v>2110</v>
      </c>
      <c r="G419" s="2" t="s">
        <v>2111</v>
      </c>
      <c r="H419" s="2" t="s">
        <v>2111</v>
      </c>
      <c r="I419" s="2" t="s">
        <v>2112</v>
      </c>
      <c r="J419" s="2" t="s">
        <v>2112</v>
      </c>
      <c r="K419" s="2" t="s">
        <v>2111</v>
      </c>
      <c r="L419" s="2"/>
      <c r="M419" s="2"/>
      <c r="N419" s="2" t="s">
        <v>145</v>
      </c>
      <c r="O419" s="2">
        <v>1.0</v>
      </c>
      <c r="P419" s="2">
        <v>0.0</v>
      </c>
      <c r="Q419" s="2">
        <v>0.0</v>
      </c>
      <c r="R419" s="2">
        <v>1.0</v>
      </c>
      <c r="S419" s="2">
        <v>0.0</v>
      </c>
      <c r="T419" s="2" t="s">
        <v>2113</v>
      </c>
    </row>
    <row r="420" ht="15.75" customHeight="1">
      <c r="A420" s="2" t="s">
        <v>2114</v>
      </c>
      <c r="B420" s="2" t="s">
        <v>2100</v>
      </c>
      <c r="C420" s="2" t="s">
        <v>894</v>
      </c>
      <c r="D420" s="2" t="s">
        <v>118</v>
      </c>
      <c r="E420" s="2" t="s">
        <v>2115</v>
      </c>
      <c r="F420" s="2" t="s">
        <v>2115</v>
      </c>
      <c r="G420" s="2" t="s">
        <v>2115</v>
      </c>
      <c r="H420" s="2" t="s">
        <v>2115</v>
      </c>
      <c r="I420" s="2" t="s">
        <v>2116</v>
      </c>
      <c r="J420" s="2" t="s">
        <v>2117</v>
      </c>
      <c r="K420" s="2" t="s">
        <v>2115</v>
      </c>
      <c r="L420" s="2"/>
      <c r="M420" s="2"/>
      <c r="N420" s="2" t="s">
        <v>171</v>
      </c>
      <c r="O420" s="2">
        <v>1.0</v>
      </c>
      <c r="P420" s="2">
        <v>0.0</v>
      </c>
      <c r="Q420" s="2">
        <v>0.0</v>
      </c>
      <c r="R420" s="2">
        <v>1.0</v>
      </c>
      <c r="S420" s="2">
        <v>1.0</v>
      </c>
      <c r="T420" s="2" t="s">
        <v>2118</v>
      </c>
    </row>
    <row r="421" ht="15.75" customHeight="1">
      <c r="A421" s="2" t="s">
        <v>2120</v>
      </c>
      <c r="B421" s="2" t="s">
        <v>2100</v>
      </c>
      <c r="C421" s="2" t="s">
        <v>894</v>
      </c>
      <c r="D421" s="2" t="s">
        <v>149</v>
      </c>
      <c r="E421" s="2" t="s">
        <v>962</v>
      </c>
      <c r="F421" s="2" t="s">
        <v>962</v>
      </c>
      <c r="G421" s="2" t="s">
        <v>962</v>
      </c>
      <c r="H421" s="2" t="s">
        <v>962</v>
      </c>
      <c r="I421" s="2" t="s">
        <v>2121</v>
      </c>
      <c r="J421" s="2" t="s">
        <v>2122</v>
      </c>
      <c r="K421" s="2" t="s">
        <v>962</v>
      </c>
      <c r="L421" s="2"/>
      <c r="M421" s="2"/>
      <c r="N421" s="2" t="s">
        <v>171</v>
      </c>
      <c r="O421" s="2">
        <v>1.0</v>
      </c>
      <c r="P421" s="2">
        <v>0.0</v>
      </c>
      <c r="Q421" s="2">
        <v>0.0</v>
      </c>
      <c r="R421" s="2">
        <v>1.0</v>
      </c>
      <c r="S421" s="2">
        <v>1.0</v>
      </c>
      <c r="T421" s="2" t="s">
        <v>2123</v>
      </c>
    </row>
    <row r="422" ht="15.75" customHeight="1">
      <c r="A422" s="2" t="s">
        <v>2124</v>
      </c>
      <c r="B422" s="2" t="s">
        <v>907</v>
      </c>
      <c r="C422" s="2" t="s">
        <v>894</v>
      </c>
      <c r="D422" s="2" t="s">
        <v>71</v>
      </c>
      <c r="E422" s="2" t="s">
        <v>2125</v>
      </c>
      <c r="F422" s="2" t="s">
        <v>2125</v>
      </c>
      <c r="G422" s="2" t="s">
        <v>2126</v>
      </c>
      <c r="H422" s="2" t="s">
        <v>2126</v>
      </c>
      <c r="I422" s="2" t="s">
        <v>2127</v>
      </c>
      <c r="J422" s="2" t="s">
        <v>2127</v>
      </c>
      <c r="K422" s="2" t="s">
        <v>2126</v>
      </c>
      <c r="L422" s="2"/>
      <c r="M422" s="2"/>
      <c r="N422" s="2" t="s">
        <v>145</v>
      </c>
      <c r="O422" s="2">
        <v>1.0</v>
      </c>
      <c r="P422" s="2">
        <v>0.0</v>
      </c>
      <c r="Q422" s="2">
        <v>0.0</v>
      </c>
      <c r="R422" s="2">
        <v>1.0</v>
      </c>
      <c r="S422" s="2">
        <v>0.0</v>
      </c>
      <c r="T422" s="2" t="s">
        <v>2128</v>
      </c>
    </row>
    <row r="423" ht="15.75" customHeight="1">
      <c r="A423" s="2" t="s">
        <v>906</v>
      </c>
      <c r="B423" s="2" t="s">
        <v>907</v>
      </c>
      <c r="C423" s="2" t="s">
        <v>894</v>
      </c>
      <c r="D423" s="2" t="s">
        <v>75</v>
      </c>
      <c r="E423" s="2"/>
      <c r="F423" s="2" t="s">
        <v>908</v>
      </c>
      <c r="G423" s="2" t="s">
        <v>93</v>
      </c>
      <c r="H423" s="2" t="s">
        <v>908</v>
      </c>
      <c r="I423" s="2"/>
      <c r="J423" s="2" t="s">
        <v>911</v>
      </c>
      <c r="K423" s="2"/>
      <c r="L423" s="2"/>
      <c r="M423" s="2" t="s">
        <v>908</v>
      </c>
      <c r="N423" s="2" t="s">
        <v>95</v>
      </c>
      <c r="O423" s="2">
        <v>0.0</v>
      </c>
      <c r="P423" s="2">
        <v>0.0</v>
      </c>
      <c r="Q423" s="2">
        <v>1.0</v>
      </c>
      <c r="R423" s="2">
        <v>0.0</v>
      </c>
      <c r="S423" s="2">
        <v>0.0</v>
      </c>
      <c r="T423" s="2" t="s">
        <v>917</v>
      </c>
    </row>
    <row r="424" ht="15.75" customHeight="1">
      <c r="A424" s="2" t="s">
        <v>2130</v>
      </c>
      <c r="B424" s="2" t="s">
        <v>907</v>
      </c>
      <c r="C424" s="2" t="s">
        <v>894</v>
      </c>
      <c r="D424" s="2" t="s">
        <v>118</v>
      </c>
      <c r="E424" s="2" t="s">
        <v>1801</v>
      </c>
      <c r="F424" s="2" t="s">
        <v>1801</v>
      </c>
      <c r="G424" s="2" t="s">
        <v>1801</v>
      </c>
      <c r="H424" s="2" t="s">
        <v>1801</v>
      </c>
      <c r="I424" s="2" t="s">
        <v>2131</v>
      </c>
      <c r="J424" s="2" t="s">
        <v>2132</v>
      </c>
      <c r="K424" s="2" t="s">
        <v>1801</v>
      </c>
      <c r="L424" s="2"/>
      <c r="M424" s="2"/>
      <c r="N424" s="2" t="s">
        <v>171</v>
      </c>
      <c r="O424" s="2">
        <v>1.0</v>
      </c>
      <c r="P424" s="2">
        <v>0.0</v>
      </c>
      <c r="Q424" s="2">
        <v>0.0</v>
      </c>
      <c r="R424" s="2">
        <v>1.0</v>
      </c>
      <c r="S424" s="2">
        <v>1.0</v>
      </c>
      <c r="T424" s="2" t="s">
        <v>2133</v>
      </c>
    </row>
    <row r="425" ht="15.75" customHeight="1">
      <c r="A425" s="2" t="s">
        <v>2134</v>
      </c>
      <c r="B425" s="2" t="s">
        <v>907</v>
      </c>
      <c r="C425" s="2" t="s">
        <v>894</v>
      </c>
      <c r="D425" s="2" t="s">
        <v>149</v>
      </c>
      <c r="E425" s="2" t="s">
        <v>962</v>
      </c>
      <c r="F425" s="2" t="s">
        <v>962</v>
      </c>
      <c r="G425" s="2" t="s">
        <v>962</v>
      </c>
      <c r="H425" s="2" t="s">
        <v>962</v>
      </c>
      <c r="I425" s="2" t="s">
        <v>1970</v>
      </c>
      <c r="J425" s="2" t="s">
        <v>1971</v>
      </c>
      <c r="K425" s="2" t="s">
        <v>962</v>
      </c>
      <c r="L425" s="2"/>
      <c r="M425" s="2"/>
      <c r="N425" s="2" t="s">
        <v>171</v>
      </c>
      <c r="O425" s="2">
        <v>1.0</v>
      </c>
      <c r="P425" s="2">
        <v>0.0</v>
      </c>
      <c r="Q425" s="2">
        <v>0.0</v>
      </c>
      <c r="R425" s="2">
        <v>1.0</v>
      </c>
      <c r="S425" s="2">
        <v>1.0</v>
      </c>
      <c r="T425" s="2" t="s">
        <v>2135</v>
      </c>
    </row>
    <row r="426" ht="15.75" customHeight="1">
      <c r="A426" s="2" t="s">
        <v>851</v>
      </c>
      <c r="B426" s="2" t="s">
        <v>852</v>
      </c>
      <c r="C426" s="2" t="s">
        <v>694</v>
      </c>
      <c r="D426" s="2" t="s">
        <v>71</v>
      </c>
      <c r="E426" s="2"/>
      <c r="F426" s="2" t="s">
        <v>500</v>
      </c>
      <c r="G426" s="2" t="s">
        <v>93</v>
      </c>
      <c r="H426" s="2" t="s">
        <v>500</v>
      </c>
      <c r="I426" s="2"/>
      <c r="J426" s="2" t="s">
        <v>854</v>
      </c>
      <c r="K426" s="2"/>
      <c r="L426" s="2"/>
      <c r="M426" s="2" t="s">
        <v>500</v>
      </c>
      <c r="N426" s="2" t="s">
        <v>95</v>
      </c>
      <c r="O426" s="2">
        <v>0.0</v>
      </c>
      <c r="P426" s="2">
        <v>0.0</v>
      </c>
      <c r="Q426" s="2">
        <v>1.0</v>
      </c>
      <c r="R426" s="2">
        <v>0.0</v>
      </c>
      <c r="S426" s="2">
        <v>0.0</v>
      </c>
      <c r="T426" s="2" t="s">
        <v>862</v>
      </c>
    </row>
    <row r="427" ht="15.75" customHeight="1">
      <c r="A427" s="2" t="s">
        <v>2137</v>
      </c>
      <c r="B427" s="2" t="s">
        <v>852</v>
      </c>
      <c r="C427" s="2" t="s">
        <v>694</v>
      </c>
      <c r="D427" s="2" t="s">
        <v>75</v>
      </c>
      <c r="E427" s="2" t="s">
        <v>2138</v>
      </c>
      <c r="F427" s="2" t="s">
        <v>2138</v>
      </c>
      <c r="G427" s="2" t="s">
        <v>2139</v>
      </c>
      <c r="H427" s="2" t="s">
        <v>2139</v>
      </c>
      <c r="I427" s="2" t="s">
        <v>2140</v>
      </c>
      <c r="J427" s="2" t="s">
        <v>2140</v>
      </c>
      <c r="K427" s="2" t="s">
        <v>2139</v>
      </c>
      <c r="L427" s="2"/>
      <c r="M427" s="2"/>
      <c r="N427" s="2" t="s">
        <v>145</v>
      </c>
      <c r="O427" s="2">
        <v>1.0</v>
      </c>
      <c r="P427" s="2">
        <v>0.0</v>
      </c>
      <c r="Q427" s="2">
        <v>0.0</v>
      </c>
      <c r="R427" s="2">
        <v>1.0</v>
      </c>
      <c r="S427" s="2">
        <v>0.0</v>
      </c>
      <c r="T427" s="2" t="s">
        <v>2141</v>
      </c>
    </row>
    <row r="428" ht="15.75" customHeight="1">
      <c r="A428" s="2" t="s">
        <v>2142</v>
      </c>
      <c r="B428" s="2" t="s">
        <v>852</v>
      </c>
      <c r="C428" s="2" t="s">
        <v>694</v>
      </c>
      <c r="D428" s="2" t="s">
        <v>118</v>
      </c>
      <c r="E428" s="2" t="s">
        <v>165</v>
      </c>
      <c r="F428" s="2" t="s">
        <v>165</v>
      </c>
      <c r="G428" s="2" t="s">
        <v>165</v>
      </c>
      <c r="H428" s="2" t="s">
        <v>165</v>
      </c>
      <c r="I428" s="2" t="s">
        <v>2143</v>
      </c>
      <c r="J428" s="2" t="s">
        <v>2144</v>
      </c>
      <c r="K428" s="2" t="s">
        <v>165</v>
      </c>
      <c r="L428" s="2"/>
      <c r="M428" s="2"/>
      <c r="N428" s="2" t="s">
        <v>171</v>
      </c>
      <c r="O428" s="2">
        <v>1.0</v>
      </c>
      <c r="P428" s="2">
        <v>0.0</v>
      </c>
      <c r="Q428" s="2">
        <v>0.0</v>
      </c>
      <c r="R428" s="2">
        <v>1.0</v>
      </c>
      <c r="S428" s="2">
        <v>1.0</v>
      </c>
      <c r="T428" s="2" t="s">
        <v>2145</v>
      </c>
    </row>
    <row r="429" ht="15.75" customHeight="1">
      <c r="A429" s="2" t="s">
        <v>2146</v>
      </c>
      <c r="B429" s="2" t="s">
        <v>852</v>
      </c>
      <c r="C429" s="2" t="s">
        <v>694</v>
      </c>
      <c r="D429" s="2" t="s">
        <v>149</v>
      </c>
      <c r="E429" s="2" t="s">
        <v>226</v>
      </c>
      <c r="F429" s="2" t="s">
        <v>226</v>
      </c>
      <c r="G429" s="2" t="s">
        <v>226</v>
      </c>
      <c r="H429" s="2" t="s">
        <v>226</v>
      </c>
      <c r="I429" s="2" t="s">
        <v>2148</v>
      </c>
      <c r="J429" s="2" t="s">
        <v>2149</v>
      </c>
      <c r="K429" s="2" t="s">
        <v>226</v>
      </c>
      <c r="L429" s="2"/>
      <c r="M429" s="2"/>
      <c r="N429" s="2" t="s">
        <v>171</v>
      </c>
      <c r="O429" s="2">
        <v>1.0</v>
      </c>
      <c r="P429" s="2">
        <v>0.0</v>
      </c>
      <c r="Q429" s="2">
        <v>0.0</v>
      </c>
      <c r="R429" s="2">
        <v>1.0</v>
      </c>
      <c r="S429" s="2">
        <v>1.0</v>
      </c>
      <c r="T429" s="2" t="s">
        <v>2150</v>
      </c>
    </row>
    <row r="430" ht="15.75" customHeight="1">
      <c r="A430" s="2" t="s">
        <v>706</v>
      </c>
      <c r="B430" s="2" t="s">
        <v>707</v>
      </c>
      <c r="C430" s="2" t="s">
        <v>694</v>
      </c>
      <c r="D430" s="2" t="s">
        <v>71</v>
      </c>
      <c r="E430" s="2"/>
      <c r="F430" s="2" t="s">
        <v>500</v>
      </c>
      <c r="G430" s="2" t="s">
        <v>93</v>
      </c>
      <c r="H430" s="2" t="s">
        <v>500</v>
      </c>
      <c r="I430" s="2"/>
      <c r="J430" s="2" t="s">
        <v>695</v>
      </c>
      <c r="K430" s="2"/>
      <c r="L430" s="2"/>
      <c r="M430" s="2" t="s">
        <v>500</v>
      </c>
      <c r="N430" s="2" t="s">
        <v>95</v>
      </c>
      <c r="O430" s="2">
        <v>0.0</v>
      </c>
      <c r="P430" s="2">
        <v>0.0</v>
      </c>
      <c r="Q430" s="2">
        <v>1.0</v>
      </c>
      <c r="R430" s="2">
        <v>0.0</v>
      </c>
      <c r="S430" s="2">
        <v>0.0</v>
      </c>
      <c r="T430" s="2" t="s">
        <v>714</v>
      </c>
    </row>
    <row r="431" ht="15.75" customHeight="1">
      <c r="A431" s="2" t="s">
        <v>2151</v>
      </c>
      <c r="B431" s="2" t="s">
        <v>707</v>
      </c>
      <c r="C431" s="2" t="s">
        <v>694</v>
      </c>
      <c r="D431" s="2" t="s">
        <v>75</v>
      </c>
      <c r="E431" s="2" t="s">
        <v>2138</v>
      </c>
      <c r="F431" s="2" t="s">
        <v>2138</v>
      </c>
      <c r="G431" s="2" t="s">
        <v>2139</v>
      </c>
      <c r="H431" s="2" t="s">
        <v>2139</v>
      </c>
      <c r="I431" s="2" t="s">
        <v>2152</v>
      </c>
      <c r="J431" s="2" t="s">
        <v>2152</v>
      </c>
      <c r="K431" s="2" t="s">
        <v>2139</v>
      </c>
      <c r="L431" s="2"/>
      <c r="M431" s="2"/>
      <c r="N431" s="2" t="s">
        <v>145</v>
      </c>
      <c r="O431" s="2">
        <v>1.0</v>
      </c>
      <c r="P431" s="2">
        <v>0.0</v>
      </c>
      <c r="Q431" s="2">
        <v>0.0</v>
      </c>
      <c r="R431" s="2">
        <v>1.0</v>
      </c>
      <c r="S431" s="2">
        <v>0.0</v>
      </c>
      <c r="T431" s="2" t="s">
        <v>2154</v>
      </c>
    </row>
    <row r="432" ht="15.75" customHeight="1">
      <c r="A432" s="2" t="s">
        <v>864</v>
      </c>
      <c r="B432" s="2" t="s">
        <v>707</v>
      </c>
      <c r="C432" s="2" t="s">
        <v>694</v>
      </c>
      <c r="D432" s="2" t="s">
        <v>118</v>
      </c>
      <c r="E432" s="2" t="s">
        <v>165</v>
      </c>
      <c r="F432" s="2" t="s">
        <v>226</v>
      </c>
      <c r="G432" s="2" t="s">
        <v>165</v>
      </c>
      <c r="H432" s="2" t="s">
        <v>226</v>
      </c>
      <c r="I432" s="2" t="s">
        <v>867</v>
      </c>
      <c r="J432" s="2" t="s">
        <v>869</v>
      </c>
      <c r="K432" s="2"/>
      <c r="L432" s="2" t="s">
        <v>165</v>
      </c>
      <c r="M432" s="2" t="s">
        <v>226</v>
      </c>
      <c r="N432" s="2" t="s">
        <v>105</v>
      </c>
      <c r="O432" s="2">
        <v>0.0</v>
      </c>
      <c r="P432" s="2">
        <v>1.0</v>
      </c>
      <c r="Q432" s="2">
        <v>1.0</v>
      </c>
      <c r="R432" s="2">
        <v>0.0</v>
      </c>
      <c r="S432" s="2">
        <v>0.0</v>
      </c>
      <c r="T432" s="2" t="s">
        <v>878</v>
      </c>
    </row>
    <row r="433" ht="15.75" customHeight="1">
      <c r="A433" s="2" t="s">
        <v>879</v>
      </c>
      <c r="B433" s="2" t="s">
        <v>707</v>
      </c>
      <c r="C433" s="2" t="s">
        <v>694</v>
      </c>
      <c r="D433" s="2" t="s">
        <v>149</v>
      </c>
      <c r="E433" s="2" t="s">
        <v>226</v>
      </c>
      <c r="F433" s="2" t="s">
        <v>165</v>
      </c>
      <c r="G433" s="2" t="s">
        <v>226</v>
      </c>
      <c r="H433" s="2" t="s">
        <v>165</v>
      </c>
      <c r="I433" s="2" t="s">
        <v>881</v>
      </c>
      <c r="J433" s="2" t="s">
        <v>882</v>
      </c>
      <c r="K433" s="2"/>
      <c r="L433" s="2" t="s">
        <v>226</v>
      </c>
      <c r="M433" s="2" t="s">
        <v>165</v>
      </c>
      <c r="N433" s="2" t="s">
        <v>105</v>
      </c>
      <c r="O433" s="2">
        <v>0.0</v>
      </c>
      <c r="P433" s="2">
        <v>1.0</v>
      </c>
      <c r="Q433" s="2">
        <v>1.0</v>
      </c>
      <c r="R433" s="2">
        <v>0.0</v>
      </c>
      <c r="S433" s="2">
        <v>0.0</v>
      </c>
      <c r="T433" s="2" t="s">
        <v>878</v>
      </c>
    </row>
    <row r="434" ht="15.75" customHeight="1">
      <c r="A434" s="2" t="s">
        <v>797</v>
      </c>
      <c r="B434" s="2" t="s">
        <v>798</v>
      </c>
      <c r="C434" s="2" t="s">
        <v>694</v>
      </c>
      <c r="D434" s="2" t="s">
        <v>71</v>
      </c>
      <c r="E434" s="2"/>
      <c r="F434" s="2" t="s">
        <v>500</v>
      </c>
      <c r="G434" s="2" t="s">
        <v>93</v>
      </c>
      <c r="H434" s="2" t="s">
        <v>500</v>
      </c>
      <c r="I434" s="2"/>
      <c r="J434" s="2" t="s">
        <v>800</v>
      </c>
      <c r="K434" s="2"/>
      <c r="L434" s="2"/>
      <c r="M434" s="2" t="s">
        <v>500</v>
      </c>
      <c r="N434" s="2" t="s">
        <v>95</v>
      </c>
      <c r="O434" s="2">
        <v>0.0</v>
      </c>
      <c r="P434" s="2">
        <v>0.0</v>
      </c>
      <c r="Q434" s="2">
        <v>1.0</v>
      </c>
      <c r="R434" s="2">
        <v>0.0</v>
      </c>
      <c r="S434" s="2">
        <v>0.0</v>
      </c>
      <c r="T434" s="2" t="s">
        <v>806</v>
      </c>
    </row>
    <row r="435" ht="15.75" customHeight="1">
      <c r="A435" s="2" t="s">
        <v>2156</v>
      </c>
      <c r="B435" s="2" t="s">
        <v>798</v>
      </c>
      <c r="C435" s="2" t="s">
        <v>694</v>
      </c>
      <c r="D435" s="2" t="s">
        <v>75</v>
      </c>
      <c r="E435" s="2" t="s">
        <v>2138</v>
      </c>
      <c r="F435" s="2" t="s">
        <v>2138</v>
      </c>
      <c r="G435" s="2" t="s">
        <v>2139</v>
      </c>
      <c r="H435" s="2" t="s">
        <v>2139</v>
      </c>
      <c r="I435" s="2" t="s">
        <v>2157</v>
      </c>
      <c r="J435" s="2" t="s">
        <v>2157</v>
      </c>
      <c r="K435" s="2" t="s">
        <v>2139</v>
      </c>
      <c r="L435" s="2"/>
      <c r="M435" s="2"/>
      <c r="N435" s="2" t="s">
        <v>145</v>
      </c>
      <c r="O435" s="2">
        <v>1.0</v>
      </c>
      <c r="P435" s="2">
        <v>0.0</v>
      </c>
      <c r="Q435" s="2">
        <v>0.0</v>
      </c>
      <c r="R435" s="2">
        <v>1.0</v>
      </c>
      <c r="S435" s="2">
        <v>0.0</v>
      </c>
      <c r="T435" s="2" t="s">
        <v>2158</v>
      </c>
    </row>
    <row r="436" ht="15.75" customHeight="1">
      <c r="A436" s="2" t="s">
        <v>2159</v>
      </c>
      <c r="B436" s="2" t="s">
        <v>798</v>
      </c>
      <c r="C436" s="2" t="s">
        <v>694</v>
      </c>
      <c r="D436" s="2" t="s">
        <v>118</v>
      </c>
      <c r="E436" s="2" t="s">
        <v>226</v>
      </c>
      <c r="F436" s="2" t="s">
        <v>226</v>
      </c>
      <c r="G436" s="2" t="s">
        <v>226</v>
      </c>
      <c r="H436" s="2" t="s">
        <v>226</v>
      </c>
      <c r="I436" s="2" t="s">
        <v>2161</v>
      </c>
      <c r="J436" s="2" t="s">
        <v>2162</v>
      </c>
      <c r="K436" s="2" t="s">
        <v>226</v>
      </c>
      <c r="L436" s="2"/>
      <c r="M436" s="2"/>
      <c r="N436" s="2" t="s">
        <v>171</v>
      </c>
      <c r="O436" s="2">
        <v>1.0</v>
      </c>
      <c r="P436" s="2">
        <v>0.0</v>
      </c>
      <c r="Q436" s="2">
        <v>0.0</v>
      </c>
      <c r="R436" s="2">
        <v>1.0</v>
      </c>
      <c r="S436" s="2">
        <v>1.0</v>
      </c>
      <c r="T436" s="2" t="s">
        <v>2163</v>
      </c>
    </row>
    <row r="437" ht="15.75" customHeight="1">
      <c r="A437" s="2" t="s">
        <v>2164</v>
      </c>
      <c r="B437" s="2" t="s">
        <v>798</v>
      </c>
      <c r="C437" s="2" t="s">
        <v>694</v>
      </c>
      <c r="D437" s="2" t="s">
        <v>149</v>
      </c>
      <c r="E437" s="2" t="s">
        <v>165</v>
      </c>
      <c r="F437" s="2" t="s">
        <v>165</v>
      </c>
      <c r="G437" s="2" t="s">
        <v>165</v>
      </c>
      <c r="H437" s="2" t="s">
        <v>165</v>
      </c>
      <c r="I437" s="2" t="s">
        <v>2165</v>
      </c>
      <c r="J437" s="2" t="s">
        <v>2166</v>
      </c>
      <c r="K437" s="2" t="s">
        <v>165</v>
      </c>
      <c r="L437" s="2"/>
      <c r="M437" s="2"/>
      <c r="N437" s="2" t="s">
        <v>171</v>
      </c>
      <c r="O437" s="2">
        <v>1.0</v>
      </c>
      <c r="P437" s="2">
        <v>0.0</v>
      </c>
      <c r="Q437" s="2">
        <v>0.0</v>
      </c>
      <c r="R437" s="2">
        <v>1.0</v>
      </c>
      <c r="S437" s="2">
        <v>1.0</v>
      </c>
      <c r="T437" s="2" t="s">
        <v>2167</v>
      </c>
    </row>
    <row r="438" ht="15.75" customHeight="1">
      <c r="A438" s="2" t="s">
        <v>691</v>
      </c>
      <c r="B438" s="2" t="s">
        <v>693</v>
      </c>
      <c r="C438" s="2" t="s">
        <v>694</v>
      </c>
      <c r="D438" s="2" t="s">
        <v>71</v>
      </c>
      <c r="E438" s="2"/>
      <c r="F438" s="2" t="s">
        <v>500</v>
      </c>
      <c r="G438" s="2" t="s">
        <v>93</v>
      </c>
      <c r="H438" s="2" t="s">
        <v>500</v>
      </c>
      <c r="I438" s="2"/>
      <c r="J438" s="2" t="s">
        <v>695</v>
      </c>
      <c r="K438" s="2"/>
      <c r="L438" s="2"/>
      <c r="M438" s="2" t="s">
        <v>500</v>
      </c>
      <c r="N438" s="2" t="s">
        <v>95</v>
      </c>
      <c r="O438" s="2">
        <v>0.0</v>
      </c>
      <c r="P438" s="2">
        <v>0.0</v>
      </c>
      <c r="Q438" s="2">
        <v>1.0</v>
      </c>
      <c r="R438" s="2">
        <v>0.0</v>
      </c>
      <c r="S438" s="2">
        <v>0.0</v>
      </c>
      <c r="T438" s="2" t="s">
        <v>705</v>
      </c>
    </row>
    <row r="439" ht="15.75" customHeight="1">
      <c r="A439" s="2" t="s">
        <v>2169</v>
      </c>
      <c r="B439" s="2" t="s">
        <v>693</v>
      </c>
      <c r="C439" s="2" t="s">
        <v>694</v>
      </c>
      <c r="D439" s="2" t="s">
        <v>75</v>
      </c>
      <c r="E439" s="2" t="s">
        <v>2138</v>
      </c>
      <c r="F439" s="2" t="s">
        <v>2138</v>
      </c>
      <c r="G439" s="2" t="s">
        <v>2139</v>
      </c>
      <c r="H439" s="2" t="s">
        <v>2139</v>
      </c>
      <c r="I439" s="2" t="s">
        <v>2170</v>
      </c>
      <c r="J439" s="2" t="s">
        <v>2170</v>
      </c>
      <c r="K439" s="2" t="s">
        <v>2139</v>
      </c>
      <c r="L439" s="2"/>
      <c r="M439" s="2"/>
      <c r="N439" s="2" t="s">
        <v>145</v>
      </c>
      <c r="O439" s="2">
        <v>1.0</v>
      </c>
      <c r="P439" s="2">
        <v>0.0</v>
      </c>
      <c r="Q439" s="2">
        <v>0.0</v>
      </c>
      <c r="R439" s="2">
        <v>1.0</v>
      </c>
      <c r="S439" s="2">
        <v>0.0</v>
      </c>
      <c r="T439" s="2" t="s">
        <v>2171</v>
      </c>
    </row>
    <row r="440" ht="15.75" customHeight="1">
      <c r="A440" s="2" t="s">
        <v>2172</v>
      </c>
      <c r="B440" s="2" t="s">
        <v>693</v>
      </c>
      <c r="C440" s="2" t="s">
        <v>694</v>
      </c>
      <c r="D440" s="2" t="s">
        <v>118</v>
      </c>
      <c r="E440" s="2" t="s">
        <v>226</v>
      </c>
      <c r="F440" s="2" t="s">
        <v>226</v>
      </c>
      <c r="G440" s="2" t="s">
        <v>226</v>
      </c>
      <c r="H440" s="2" t="s">
        <v>226</v>
      </c>
      <c r="I440" s="2" t="s">
        <v>2173</v>
      </c>
      <c r="J440" s="2" t="s">
        <v>2174</v>
      </c>
      <c r="K440" s="2" t="s">
        <v>226</v>
      </c>
      <c r="L440" s="2"/>
      <c r="M440" s="2"/>
      <c r="N440" s="2" t="s">
        <v>171</v>
      </c>
      <c r="O440" s="2">
        <v>1.0</v>
      </c>
      <c r="P440" s="2">
        <v>0.0</v>
      </c>
      <c r="Q440" s="2">
        <v>0.0</v>
      </c>
      <c r="R440" s="2">
        <v>1.0</v>
      </c>
      <c r="S440" s="2">
        <v>1.0</v>
      </c>
      <c r="T440" s="2" t="s">
        <v>2175</v>
      </c>
    </row>
    <row r="441" ht="15.75" customHeight="1">
      <c r="A441" s="2" t="s">
        <v>2176</v>
      </c>
      <c r="B441" s="2" t="s">
        <v>693</v>
      </c>
      <c r="C441" s="2" t="s">
        <v>694</v>
      </c>
      <c r="D441" s="2" t="s">
        <v>149</v>
      </c>
      <c r="E441" s="2" t="s">
        <v>165</v>
      </c>
      <c r="F441" s="2" t="s">
        <v>165</v>
      </c>
      <c r="G441" s="2" t="s">
        <v>165</v>
      </c>
      <c r="H441" s="2" t="s">
        <v>165</v>
      </c>
      <c r="I441" s="2" t="s">
        <v>2177</v>
      </c>
      <c r="J441" s="2" t="s">
        <v>2178</v>
      </c>
      <c r="K441" s="2" t="s">
        <v>165</v>
      </c>
      <c r="L441" s="2"/>
      <c r="M441" s="2"/>
      <c r="N441" s="2" t="s">
        <v>171</v>
      </c>
      <c r="O441" s="2">
        <v>1.0</v>
      </c>
      <c r="P441" s="2">
        <v>0.0</v>
      </c>
      <c r="Q441" s="2">
        <v>0.0</v>
      </c>
      <c r="R441" s="2">
        <v>1.0</v>
      </c>
      <c r="S441" s="2">
        <v>1.0</v>
      </c>
      <c r="T441" s="2" t="s">
        <v>2179</v>
      </c>
    </row>
    <row r="442" ht="15.75" customHeight="1">
      <c r="A442" s="2" t="s">
        <v>717</v>
      </c>
      <c r="B442" s="2" t="s">
        <v>718</v>
      </c>
      <c r="C442" s="2" t="s">
        <v>694</v>
      </c>
      <c r="D442" s="2" t="s">
        <v>71</v>
      </c>
      <c r="E442" s="2"/>
      <c r="F442" s="2" t="s">
        <v>500</v>
      </c>
      <c r="G442" s="2" t="s">
        <v>93</v>
      </c>
      <c r="H442" s="2" t="s">
        <v>500</v>
      </c>
      <c r="I442" s="2"/>
      <c r="J442" s="2" t="s">
        <v>719</v>
      </c>
      <c r="K442" s="2"/>
      <c r="L442" s="2"/>
      <c r="M442" s="2" t="s">
        <v>500</v>
      </c>
      <c r="N442" s="2" t="s">
        <v>95</v>
      </c>
      <c r="O442" s="2">
        <v>0.0</v>
      </c>
      <c r="P442" s="2">
        <v>0.0</v>
      </c>
      <c r="Q442" s="2">
        <v>1.0</v>
      </c>
      <c r="R442" s="2">
        <v>0.0</v>
      </c>
      <c r="S442" s="2">
        <v>0.0</v>
      </c>
      <c r="T442" s="2" t="s">
        <v>729</v>
      </c>
    </row>
    <row r="443" ht="15.75" customHeight="1">
      <c r="A443" s="2" t="s">
        <v>2181</v>
      </c>
      <c r="B443" s="2" t="s">
        <v>718</v>
      </c>
      <c r="C443" s="2" t="s">
        <v>694</v>
      </c>
      <c r="D443" s="2" t="s">
        <v>75</v>
      </c>
      <c r="E443" s="2" t="s">
        <v>2138</v>
      </c>
      <c r="F443" s="2" t="s">
        <v>2138</v>
      </c>
      <c r="G443" s="2" t="s">
        <v>2139</v>
      </c>
      <c r="H443" s="2" t="s">
        <v>2139</v>
      </c>
      <c r="I443" s="2" t="s">
        <v>2182</v>
      </c>
      <c r="J443" s="2" t="s">
        <v>2182</v>
      </c>
      <c r="K443" s="2" t="s">
        <v>2139</v>
      </c>
      <c r="L443" s="2"/>
      <c r="M443" s="2"/>
      <c r="N443" s="2" t="s">
        <v>145</v>
      </c>
      <c r="O443" s="2">
        <v>1.0</v>
      </c>
      <c r="P443" s="2">
        <v>0.0</v>
      </c>
      <c r="Q443" s="2">
        <v>0.0</v>
      </c>
      <c r="R443" s="2">
        <v>1.0</v>
      </c>
      <c r="S443" s="2">
        <v>0.0</v>
      </c>
      <c r="T443" s="2" t="s">
        <v>2183</v>
      </c>
    </row>
    <row r="444" ht="15.75" customHeight="1">
      <c r="A444" s="2" t="s">
        <v>2184</v>
      </c>
      <c r="B444" s="2" t="s">
        <v>718</v>
      </c>
      <c r="C444" s="2" t="s">
        <v>694</v>
      </c>
      <c r="D444" s="2" t="s">
        <v>118</v>
      </c>
      <c r="E444" s="2" t="s">
        <v>226</v>
      </c>
      <c r="F444" s="2" t="s">
        <v>226</v>
      </c>
      <c r="G444" s="2" t="s">
        <v>226</v>
      </c>
      <c r="H444" s="2" t="s">
        <v>226</v>
      </c>
      <c r="I444" s="2" t="s">
        <v>2173</v>
      </c>
      <c r="J444" s="2" t="s">
        <v>2174</v>
      </c>
      <c r="K444" s="2" t="s">
        <v>226</v>
      </c>
      <c r="L444" s="2"/>
      <c r="M444" s="2"/>
      <c r="N444" s="2" t="s">
        <v>171</v>
      </c>
      <c r="O444" s="2">
        <v>1.0</v>
      </c>
      <c r="P444" s="2">
        <v>0.0</v>
      </c>
      <c r="Q444" s="2">
        <v>0.0</v>
      </c>
      <c r="R444" s="2">
        <v>1.0</v>
      </c>
      <c r="S444" s="2">
        <v>1.0</v>
      </c>
      <c r="T444" s="2" t="s">
        <v>2185</v>
      </c>
    </row>
    <row r="445" ht="15.75" customHeight="1">
      <c r="A445" s="2" t="s">
        <v>2186</v>
      </c>
      <c r="B445" s="2" t="s">
        <v>718</v>
      </c>
      <c r="C445" s="2" t="s">
        <v>694</v>
      </c>
      <c r="D445" s="2" t="s">
        <v>149</v>
      </c>
      <c r="E445" s="2" t="s">
        <v>165</v>
      </c>
      <c r="F445" s="2" t="s">
        <v>165</v>
      </c>
      <c r="G445" s="2" t="s">
        <v>165</v>
      </c>
      <c r="H445" s="2" t="s">
        <v>165</v>
      </c>
      <c r="I445" s="2" t="s">
        <v>2177</v>
      </c>
      <c r="J445" s="2" t="s">
        <v>2178</v>
      </c>
      <c r="K445" s="2" t="s">
        <v>165</v>
      </c>
      <c r="L445" s="2"/>
      <c r="M445" s="2"/>
      <c r="N445" s="2" t="s">
        <v>171</v>
      </c>
      <c r="O445" s="2">
        <v>1.0</v>
      </c>
      <c r="P445" s="2">
        <v>0.0</v>
      </c>
      <c r="Q445" s="2">
        <v>0.0</v>
      </c>
      <c r="R445" s="2">
        <v>1.0</v>
      </c>
      <c r="S445" s="2">
        <v>1.0</v>
      </c>
      <c r="T445" s="2" t="s">
        <v>2188</v>
      </c>
    </row>
    <row r="446" ht="15.75" customHeight="1">
      <c r="A446" s="2" t="s">
        <v>730</v>
      </c>
      <c r="B446" s="2" t="s">
        <v>731</v>
      </c>
      <c r="C446" s="2" t="s">
        <v>694</v>
      </c>
      <c r="D446" s="2" t="s">
        <v>71</v>
      </c>
      <c r="E446" s="2"/>
      <c r="F446" s="2" t="s">
        <v>500</v>
      </c>
      <c r="G446" s="2" t="s">
        <v>93</v>
      </c>
      <c r="H446" s="2" t="s">
        <v>500</v>
      </c>
      <c r="I446" s="2"/>
      <c r="J446" s="2" t="s">
        <v>734</v>
      </c>
      <c r="K446" s="2"/>
      <c r="L446" s="2"/>
      <c r="M446" s="2" t="s">
        <v>500</v>
      </c>
      <c r="N446" s="2" t="s">
        <v>95</v>
      </c>
      <c r="O446" s="2">
        <v>0.0</v>
      </c>
      <c r="P446" s="2">
        <v>0.0</v>
      </c>
      <c r="Q446" s="2">
        <v>1.0</v>
      </c>
      <c r="R446" s="2">
        <v>0.0</v>
      </c>
      <c r="S446" s="2">
        <v>0.0</v>
      </c>
      <c r="T446" s="2" t="s">
        <v>741</v>
      </c>
    </row>
    <row r="447" ht="15.75" customHeight="1">
      <c r="A447" s="2" t="s">
        <v>2189</v>
      </c>
      <c r="B447" s="2" t="s">
        <v>731</v>
      </c>
      <c r="C447" s="2" t="s">
        <v>694</v>
      </c>
      <c r="D447" s="2" t="s">
        <v>75</v>
      </c>
      <c r="E447" s="2" t="s">
        <v>2138</v>
      </c>
      <c r="F447" s="2" t="s">
        <v>2138</v>
      </c>
      <c r="G447" s="2" t="s">
        <v>2139</v>
      </c>
      <c r="H447" s="2" t="s">
        <v>2139</v>
      </c>
      <c r="I447" s="2" t="s">
        <v>2190</v>
      </c>
      <c r="J447" s="2" t="s">
        <v>2190</v>
      </c>
      <c r="K447" s="2" t="s">
        <v>2139</v>
      </c>
      <c r="L447" s="2"/>
      <c r="M447" s="2"/>
      <c r="N447" s="2" t="s">
        <v>145</v>
      </c>
      <c r="O447" s="2">
        <v>1.0</v>
      </c>
      <c r="P447" s="2">
        <v>0.0</v>
      </c>
      <c r="Q447" s="2">
        <v>0.0</v>
      </c>
      <c r="R447" s="2">
        <v>1.0</v>
      </c>
      <c r="S447" s="2">
        <v>0.0</v>
      </c>
      <c r="T447" s="2" t="s">
        <v>2191</v>
      </c>
    </row>
    <row r="448" ht="15.75" customHeight="1">
      <c r="A448" s="2" t="s">
        <v>2192</v>
      </c>
      <c r="B448" s="2" t="s">
        <v>731</v>
      </c>
      <c r="C448" s="2" t="s">
        <v>694</v>
      </c>
      <c r="D448" s="2" t="s">
        <v>118</v>
      </c>
      <c r="E448" s="2" t="s">
        <v>226</v>
      </c>
      <c r="F448" s="2" t="s">
        <v>226</v>
      </c>
      <c r="G448" s="2" t="s">
        <v>226</v>
      </c>
      <c r="H448" s="2" t="s">
        <v>226</v>
      </c>
      <c r="I448" s="2" t="s">
        <v>2193</v>
      </c>
      <c r="J448" s="2" t="s">
        <v>2195</v>
      </c>
      <c r="K448" s="2" t="s">
        <v>226</v>
      </c>
      <c r="L448" s="2"/>
      <c r="M448" s="2"/>
      <c r="N448" s="2" t="s">
        <v>171</v>
      </c>
      <c r="O448" s="2">
        <v>1.0</v>
      </c>
      <c r="P448" s="2">
        <v>0.0</v>
      </c>
      <c r="Q448" s="2">
        <v>0.0</v>
      </c>
      <c r="R448" s="2">
        <v>1.0</v>
      </c>
      <c r="S448" s="2">
        <v>1.0</v>
      </c>
      <c r="T448" s="2" t="s">
        <v>2196</v>
      </c>
    </row>
    <row r="449" ht="15.75" customHeight="1">
      <c r="A449" s="2" t="s">
        <v>2197</v>
      </c>
      <c r="B449" s="2" t="s">
        <v>731</v>
      </c>
      <c r="C449" s="2" t="s">
        <v>694</v>
      </c>
      <c r="D449" s="2" t="s">
        <v>149</v>
      </c>
      <c r="E449" s="2" t="s">
        <v>165</v>
      </c>
      <c r="F449" s="2" t="s">
        <v>165</v>
      </c>
      <c r="G449" s="2" t="s">
        <v>165</v>
      </c>
      <c r="H449" s="2" t="s">
        <v>165</v>
      </c>
      <c r="I449" s="2" t="s">
        <v>2198</v>
      </c>
      <c r="J449" s="2" t="s">
        <v>2199</v>
      </c>
      <c r="K449" s="2" t="s">
        <v>165</v>
      </c>
      <c r="L449" s="2"/>
      <c r="M449" s="2"/>
      <c r="N449" s="2" t="s">
        <v>171</v>
      </c>
      <c r="O449" s="2">
        <v>1.0</v>
      </c>
      <c r="P449" s="2">
        <v>0.0</v>
      </c>
      <c r="Q449" s="2">
        <v>0.0</v>
      </c>
      <c r="R449" s="2">
        <v>1.0</v>
      </c>
      <c r="S449" s="2">
        <v>1.0</v>
      </c>
      <c r="T449" s="2" t="s">
        <v>2200</v>
      </c>
    </row>
    <row r="450" ht="15.75" customHeight="1">
      <c r="A450" s="2" t="s">
        <v>742</v>
      </c>
      <c r="B450" s="2" t="s">
        <v>744</v>
      </c>
      <c r="C450" s="2" t="s">
        <v>694</v>
      </c>
      <c r="D450" s="2" t="s">
        <v>71</v>
      </c>
      <c r="E450" s="2"/>
      <c r="F450" s="2" t="s">
        <v>500</v>
      </c>
      <c r="G450" s="2" t="s">
        <v>93</v>
      </c>
      <c r="H450" s="2" t="s">
        <v>500</v>
      </c>
      <c r="I450" s="2"/>
      <c r="J450" s="2" t="s">
        <v>719</v>
      </c>
      <c r="K450" s="2"/>
      <c r="L450" s="2"/>
      <c r="M450" s="2" t="s">
        <v>500</v>
      </c>
      <c r="N450" s="2" t="s">
        <v>95</v>
      </c>
      <c r="O450" s="2">
        <v>0.0</v>
      </c>
      <c r="P450" s="2">
        <v>0.0</v>
      </c>
      <c r="Q450" s="2">
        <v>1.0</v>
      </c>
      <c r="R450" s="2">
        <v>0.0</v>
      </c>
      <c r="S450" s="2">
        <v>0.0</v>
      </c>
      <c r="T450" s="2" t="s">
        <v>755</v>
      </c>
    </row>
    <row r="451" ht="15.75" customHeight="1">
      <c r="A451" s="2" t="s">
        <v>2202</v>
      </c>
      <c r="B451" s="2" t="s">
        <v>744</v>
      </c>
      <c r="C451" s="2" t="s">
        <v>694</v>
      </c>
      <c r="D451" s="2" t="s">
        <v>75</v>
      </c>
      <c r="E451" s="2" t="s">
        <v>2138</v>
      </c>
      <c r="F451" s="2" t="s">
        <v>2138</v>
      </c>
      <c r="G451" s="2" t="s">
        <v>2139</v>
      </c>
      <c r="H451" s="2" t="s">
        <v>2139</v>
      </c>
      <c r="I451" s="2" t="s">
        <v>2203</v>
      </c>
      <c r="J451" s="2" t="s">
        <v>2203</v>
      </c>
      <c r="K451" s="2" t="s">
        <v>2139</v>
      </c>
      <c r="L451" s="2"/>
      <c r="M451" s="2"/>
      <c r="N451" s="2" t="s">
        <v>145</v>
      </c>
      <c r="O451" s="2">
        <v>1.0</v>
      </c>
      <c r="P451" s="2">
        <v>0.0</v>
      </c>
      <c r="Q451" s="2">
        <v>0.0</v>
      </c>
      <c r="R451" s="2">
        <v>1.0</v>
      </c>
      <c r="S451" s="2">
        <v>0.0</v>
      </c>
      <c r="T451" s="2" t="s">
        <v>2204</v>
      </c>
    </row>
    <row r="452" ht="15.75" customHeight="1">
      <c r="A452" s="2" t="s">
        <v>2205</v>
      </c>
      <c r="B452" s="2" t="s">
        <v>744</v>
      </c>
      <c r="C452" s="2" t="s">
        <v>694</v>
      </c>
      <c r="D452" s="2" t="s">
        <v>118</v>
      </c>
      <c r="E452" s="2" t="s">
        <v>226</v>
      </c>
      <c r="F452" s="2" t="s">
        <v>226</v>
      </c>
      <c r="G452" s="2" t="s">
        <v>226</v>
      </c>
      <c r="H452" s="2" t="s">
        <v>226</v>
      </c>
      <c r="I452" s="2" t="s">
        <v>2173</v>
      </c>
      <c r="J452" s="2" t="s">
        <v>2174</v>
      </c>
      <c r="K452" s="2" t="s">
        <v>226</v>
      </c>
      <c r="L452" s="2"/>
      <c r="M452" s="2"/>
      <c r="N452" s="2" t="s">
        <v>171</v>
      </c>
      <c r="O452" s="2">
        <v>1.0</v>
      </c>
      <c r="P452" s="2">
        <v>0.0</v>
      </c>
      <c r="Q452" s="2">
        <v>0.0</v>
      </c>
      <c r="R452" s="2">
        <v>1.0</v>
      </c>
      <c r="S452" s="2">
        <v>1.0</v>
      </c>
      <c r="T452" s="2" t="s">
        <v>2206</v>
      </c>
    </row>
    <row r="453" ht="15.75" customHeight="1">
      <c r="A453" s="2" t="s">
        <v>2207</v>
      </c>
      <c r="B453" s="2" t="s">
        <v>744</v>
      </c>
      <c r="C453" s="2" t="s">
        <v>694</v>
      </c>
      <c r="D453" s="2" t="s">
        <v>149</v>
      </c>
      <c r="E453" s="2" t="s">
        <v>165</v>
      </c>
      <c r="F453" s="2" t="s">
        <v>165</v>
      </c>
      <c r="G453" s="2" t="s">
        <v>165</v>
      </c>
      <c r="H453" s="2" t="s">
        <v>165</v>
      </c>
      <c r="I453" s="2" t="s">
        <v>2177</v>
      </c>
      <c r="J453" s="2" t="s">
        <v>2178</v>
      </c>
      <c r="K453" s="2" t="s">
        <v>165</v>
      </c>
      <c r="L453" s="2"/>
      <c r="M453" s="2"/>
      <c r="N453" s="2" t="s">
        <v>171</v>
      </c>
      <c r="O453" s="2">
        <v>1.0</v>
      </c>
      <c r="P453" s="2">
        <v>0.0</v>
      </c>
      <c r="Q453" s="2">
        <v>0.0</v>
      </c>
      <c r="R453" s="2">
        <v>1.0</v>
      </c>
      <c r="S453" s="2">
        <v>1.0</v>
      </c>
      <c r="T453" s="2" t="s">
        <v>2209</v>
      </c>
    </row>
    <row r="454" ht="15.75" customHeight="1">
      <c r="A454" s="2" t="s">
        <v>756</v>
      </c>
      <c r="B454" s="2" t="s">
        <v>757</v>
      </c>
      <c r="C454" s="2" t="s">
        <v>694</v>
      </c>
      <c r="D454" s="2" t="s">
        <v>71</v>
      </c>
      <c r="E454" s="2"/>
      <c r="F454" s="2" t="s">
        <v>500</v>
      </c>
      <c r="G454" s="2" t="s">
        <v>93</v>
      </c>
      <c r="H454" s="2" t="s">
        <v>500</v>
      </c>
      <c r="I454" s="2"/>
      <c r="J454" s="2" t="s">
        <v>734</v>
      </c>
      <c r="K454" s="2"/>
      <c r="L454" s="2"/>
      <c r="M454" s="2" t="s">
        <v>500</v>
      </c>
      <c r="N454" s="2" t="s">
        <v>95</v>
      </c>
      <c r="O454" s="2">
        <v>0.0</v>
      </c>
      <c r="P454" s="2">
        <v>0.0</v>
      </c>
      <c r="Q454" s="2">
        <v>1.0</v>
      </c>
      <c r="R454" s="2">
        <v>0.0</v>
      </c>
      <c r="S454" s="2">
        <v>0.0</v>
      </c>
      <c r="T454" s="2" t="s">
        <v>768</v>
      </c>
    </row>
    <row r="455" ht="15.75" customHeight="1">
      <c r="A455" s="2" t="s">
        <v>2211</v>
      </c>
      <c r="B455" s="2" t="s">
        <v>757</v>
      </c>
      <c r="C455" s="2" t="s">
        <v>694</v>
      </c>
      <c r="D455" s="2" t="s">
        <v>75</v>
      </c>
      <c r="E455" s="2" t="s">
        <v>2138</v>
      </c>
      <c r="F455" s="2" t="s">
        <v>2138</v>
      </c>
      <c r="G455" s="2" t="s">
        <v>2139</v>
      </c>
      <c r="H455" s="2" t="s">
        <v>2139</v>
      </c>
      <c r="I455" s="2" t="s">
        <v>2212</v>
      </c>
      <c r="J455" s="2" t="s">
        <v>2212</v>
      </c>
      <c r="K455" s="2" t="s">
        <v>2139</v>
      </c>
      <c r="L455" s="2"/>
      <c r="M455" s="2"/>
      <c r="N455" s="2" t="s">
        <v>145</v>
      </c>
      <c r="O455" s="2">
        <v>1.0</v>
      </c>
      <c r="P455" s="2">
        <v>0.0</v>
      </c>
      <c r="Q455" s="2">
        <v>0.0</v>
      </c>
      <c r="R455" s="2">
        <v>1.0</v>
      </c>
      <c r="S455" s="2">
        <v>0.0</v>
      </c>
      <c r="T455" s="2" t="s">
        <v>2213</v>
      </c>
    </row>
    <row r="456" ht="15.75" customHeight="1">
      <c r="A456" s="2" t="s">
        <v>2214</v>
      </c>
      <c r="B456" s="2" t="s">
        <v>757</v>
      </c>
      <c r="C456" s="2" t="s">
        <v>694</v>
      </c>
      <c r="D456" s="2" t="s">
        <v>118</v>
      </c>
      <c r="E456" s="2" t="s">
        <v>226</v>
      </c>
      <c r="F456" s="2" t="s">
        <v>226</v>
      </c>
      <c r="G456" s="2" t="s">
        <v>226</v>
      </c>
      <c r="H456" s="2" t="s">
        <v>226</v>
      </c>
      <c r="I456" s="2" t="s">
        <v>2215</v>
      </c>
      <c r="J456" s="2" t="s">
        <v>2216</v>
      </c>
      <c r="K456" s="2" t="s">
        <v>226</v>
      </c>
      <c r="L456" s="2"/>
      <c r="M456" s="2"/>
      <c r="N456" s="2" t="s">
        <v>171</v>
      </c>
      <c r="O456" s="2">
        <v>1.0</v>
      </c>
      <c r="P456" s="2">
        <v>0.0</v>
      </c>
      <c r="Q456" s="2">
        <v>0.0</v>
      </c>
      <c r="R456" s="2">
        <v>1.0</v>
      </c>
      <c r="S456" s="2">
        <v>1.0</v>
      </c>
      <c r="T456" s="2" t="s">
        <v>2217</v>
      </c>
    </row>
    <row r="457" ht="15.75" customHeight="1">
      <c r="A457" s="2" t="s">
        <v>2218</v>
      </c>
      <c r="B457" s="2" t="s">
        <v>757</v>
      </c>
      <c r="C457" s="2" t="s">
        <v>694</v>
      </c>
      <c r="D457" s="2" t="s">
        <v>149</v>
      </c>
      <c r="E457" s="2" t="s">
        <v>165</v>
      </c>
      <c r="F457" s="2" t="s">
        <v>165</v>
      </c>
      <c r="G457" s="2" t="s">
        <v>165</v>
      </c>
      <c r="H457" s="2" t="s">
        <v>165</v>
      </c>
      <c r="I457" s="2" t="s">
        <v>2220</v>
      </c>
      <c r="J457" s="2" t="s">
        <v>2221</v>
      </c>
      <c r="K457" s="2" t="s">
        <v>165</v>
      </c>
      <c r="L457" s="2"/>
      <c r="M457" s="2"/>
      <c r="N457" s="2" t="s">
        <v>171</v>
      </c>
      <c r="O457" s="2">
        <v>1.0</v>
      </c>
      <c r="P457" s="2">
        <v>0.0</v>
      </c>
      <c r="Q457" s="2">
        <v>0.0</v>
      </c>
      <c r="R457" s="2">
        <v>1.0</v>
      </c>
      <c r="S457" s="2">
        <v>1.0</v>
      </c>
      <c r="T457" s="2" t="s">
        <v>2222</v>
      </c>
    </row>
    <row r="458" ht="15.75" customHeight="1">
      <c r="A458" s="2" t="s">
        <v>769</v>
      </c>
      <c r="B458" s="2" t="s">
        <v>770</v>
      </c>
      <c r="C458" s="2" t="s">
        <v>694</v>
      </c>
      <c r="D458" s="2" t="s">
        <v>71</v>
      </c>
      <c r="E458" s="2"/>
      <c r="F458" s="2" t="s">
        <v>500</v>
      </c>
      <c r="G458" s="2" t="s">
        <v>93</v>
      </c>
      <c r="H458" s="2" t="s">
        <v>500</v>
      </c>
      <c r="I458" s="2"/>
      <c r="J458" s="2" t="s">
        <v>773</v>
      </c>
      <c r="K458" s="2"/>
      <c r="L458" s="2"/>
      <c r="M458" s="2" t="s">
        <v>500</v>
      </c>
      <c r="N458" s="2" t="s">
        <v>95</v>
      </c>
      <c r="O458" s="2">
        <v>0.0</v>
      </c>
      <c r="P458" s="2">
        <v>0.0</v>
      </c>
      <c r="Q458" s="2">
        <v>1.0</v>
      </c>
      <c r="R458" s="2">
        <v>0.0</v>
      </c>
      <c r="S458" s="2">
        <v>0.0</v>
      </c>
      <c r="T458" s="2" t="s">
        <v>780</v>
      </c>
    </row>
    <row r="459" ht="15.75" customHeight="1">
      <c r="A459" s="2" t="s">
        <v>2223</v>
      </c>
      <c r="B459" s="2" t="s">
        <v>770</v>
      </c>
      <c r="C459" s="2" t="s">
        <v>694</v>
      </c>
      <c r="D459" s="2" t="s">
        <v>75</v>
      </c>
      <c r="E459" s="2" t="s">
        <v>2138</v>
      </c>
      <c r="F459" s="2" t="s">
        <v>2138</v>
      </c>
      <c r="G459" s="2" t="s">
        <v>2139</v>
      </c>
      <c r="H459" s="2" t="s">
        <v>2139</v>
      </c>
      <c r="I459" s="2" t="s">
        <v>2224</v>
      </c>
      <c r="J459" s="2" t="s">
        <v>2224</v>
      </c>
      <c r="K459" s="2" t="s">
        <v>2139</v>
      </c>
      <c r="L459" s="2"/>
      <c r="M459" s="2"/>
      <c r="N459" s="2" t="s">
        <v>145</v>
      </c>
      <c r="O459" s="2">
        <v>1.0</v>
      </c>
      <c r="P459" s="2">
        <v>0.0</v>
      </c>
      <c r="Q459" s="2">
        <v>0.0</v>
      </c>
      <c r="R459" s="2">
        <v>1.0</v>
      </c>
      <c r="S459" s="2">
        <v>0.0</v>
      </c>
      <c r="T459" s="2" t="s">
        <v>2227</v>
      </c>
    </row>
    <row r="460" ht="15.75" customHeight="1">
      <c r="A460" s="2" t="s">
        <v>2228</v>
      </c>
      <c r="B460" s="2" t="s">
        <v>770</v>
      </c>
      <c r="C460" s="2" t="s">
        <v>694</v>
      </c>
      <c r="D460" s="2" t="s">
        <v>118</v>
      </c>
      <c r="E460" s="2" t="s">
        <v>226</v>
      </c>
      <c r="F460" s="2" t="s">
        <v>226</v>
      </c>
      <c r="G460" s="2" t="s">
        <v>226</v>
      </c>
      <c r="H460" s="2" t="s">
        <v>226</v>
      </c>
      <c r="I460" s="2" t="s">
        <v>2229</v>
      </c>
      <c r="J460" s="2" t="s">
        <v>2230</v>
      </c>
      <c r="K460" s="2" t="s">
        <v>226</v>
      </c>
      <c r="L460" s="2"/>
      <c r="M460" s="2"/>
      <c r="N460" s="2" t="s">
        <v>171</v>
      </c>
      <c r="O460" s="2">
        <v>1.0</v>
      </c>
      <c r="P460" s="2">
        <v>0.0</v>
      </c>
      <c r="Q460" s="2">
        <v>0.0</v>
      </c>
      <c r="R460" s="2">
        <v>1.0</v>
      </c>
      <c r="S460" s="2">
        <v>1.0</v>
      </c>
      <c r="T460" s="2" t="s">
        <v>2231</v>
      </c>
    </row>
    <row r="461" ht="15.75" customHeight="1">
      <c r="A461" s="2" t="s">
        <v>2232</v>
      </c>
      <c r="B461" s="2" t="s">
        <v>770</v>
      </c>
      <c r="C461" s="2" t="s">
        <v>694</v>
      </c>
      <c r="D461" s="2" t="s">
        <v>149</v>
      </c>
      <c r="E461" s="2" t="s">
        <v>165</v>
      </c>
      <c r="F461" s="2" t="s">
        <v>165</v>
      </c>
      <c r="G461" s="2" t="s">
        <v>165</v>
      </c>
      <c r="H461" s="2" t="s">
        <v>165</v>
      </c>
      <c r="I461" s="2" t="s">
        <v>2233</v>
      </c>
      <c r="J461" s="2" t="s">
        <v>2234</v>
      </c>
      <c r="K461" s="2" t="s">
        <v>165</v>
      </c>
      <c r="L461" s="2"/>
      <c r="M461" s="2"/>
      <c r="N461" s="2" t="s">
        <v>171</v>
      </c>
      <c r="O461" s="2">
        <v>1.0</v>
      </c>
      <c r="P461" s="2">
        <v>0.0</v>
      </c>
      <c r="Q461" s="2">
        <v>0.0</v>
      </c>
      <c r="R461" s="2">
        <v>1.0</v>
      </c>
      <c r="S461" s="2">
        <v>1.0</v>
      </c>
      <c r="T461" s="2" t="s">
        <v>2235</v>
      </c>
    </row>
    <row r="462" ht="15.75" customHeight="1">
      <c r="A462" s="2" t="s">
        <v>782</v>
      </c>
      <c r="B462" s="2" t="s">
        <v>783</v>
      </c>
      <c r="C462" s="2" t="s">
        <v>694</v>
      </c>
      <c r="D462" s="2" t="s">
        <v>71</v>
      </c>
      <c r="E462" s="2"/>
      <c r="F462" s="2" t="s">
        <v>500</v>
      </c>
      <c r="G462" s="2" t="s">
        <v>93</v>
      </c>
      <c r="H462" s="2" t="s">
        <v>500</v>
      </c>
      <c r="I462" s="2"/>
      <c r="J462" s="2" t="s">
        <v>786</v>
      </c>
      <c r="K462" s="2"/>
      <c r="L462" s="2"/>
      <c r="M462" s="2" t="s">
        <v>500</v>
      </c>
      <c r="N462" s="2" t="s">
        <v>95</v>
      </c>
      <c r="O462" s="2">
        <v>0.0</v>
      </c>
      <c r="P462" s="2">
        <v>0.0</v>
      </c>
      <c r="Q462" s="2">
        <v>1.0</v>
      </c>
      <c r="R462" s="2">
        <v>0.0</v>
      </c>
      <c r="S462" s="2">
        <v>0.0</v>
      </c>
      <c r="T462" s="2" t="s">
        <v>795</v>
      </c>
    </row>
    <row r="463" ht="15.75" customHeight="1">
      <c r="A463" s="2" t="s">
        <v>2236</v>
      </c>
      <c r="B463" s="2" t="s">
        <v>783</v>
      </c>
      <c r="C463" s="2" t="s">
        <v>694</v>
      </c>
      <c r="D463" s="2" t="s">
        <v>75</v>
      </c>
      <c r="E463" s="2" t="s">
        <v>2138</v>
      </c>
      <c r="F463" s="2" t="s">
        <v>2138</v>
      </c>
      <c r="G463" s="2" t="s">
        <v>2139</v>
      </c>
      <c r="H463" s="2" t="s">
        <v>2139</v>
      </c>
      <c r="I463" s="2" t="s">
        <v>2237</v>
      </c>
      <c r="J463" s="2" t="s">
        <v>2237</v>
      </c>
      <c r="K463" s="2" t="s">
        <v>2139</v>
      </c>
      <c r="L463" s="2"/>
      <c r="M463" s="2"/>
      <c r="N463" s="2" t="s">
        <v>145</v>
      </c>
      <c r="O463" s="2">
        <v>1.0</v>
      </c>
      <c r="P463" s="2">
        <v>0.0</v>
      </c>
      <c r="Q463" s="2">
        <v>0.0</v>
      </c>
      <c r="R463" s="2">
        <v>1.0</v>
      </c>
      <c r="S463" s="2">
        <v>0.0</v>
      </c>
      <c r="T463" s="2" t="s">
        <v>2238</v>
      </c>
    </row>
    <row r="464" ht="15.75" customHeight="1">
      <c r="A464" s="2" t="s">
        <v>2239</v>
      </c>
      <c r="B464" s="2" t="s">
        <v>783</v>
      </c>
      <c r="C464" s="2" t="s">
        <v>694</v>
      </c>
      <c r="D464" s="2" t="s">
        <v>118</v>
      </c>
      <c r="E464" s="2" t="s">
        <v>226</v>
      </c>
      <c r="F464" s="2" t="s">
        <v>226</v>
      </c>
      <c r="G464" s="2" t="s">
        <v>226</v>
      </c>
      <c r="H464" s="2" t="s">
        <v>226</v>
      </c>
      <c r="I464" s="2" t="s">
        <v>2241</v>
      </c>
      <c r="J464" s="2" t="s">
        <v>2242</v>
      </c>
      <c r="K464" s="2" t="s">
        <v>226</v>
      </c>
      <c r="L464" s="2"/>
      <c r="M464" s="2"/>
      <c r="N464" s="2" t="s">
        <v>171</v>
      </c>
      <c r="O464" s="2">
        <v>1.0</v>
      </c>
      <c r="P464" s="2">
        <v>0.0</v>
      </c>
      <c r="Q464" s="2">
        <v>0.0</v>
      </c>
      <c r="R464" s="2">
        <v>1.0</v>
      </c>
      <c r="S464" s="2">
        <v>1.0</v>
      </c>
      <c r="T464" s="2" t="s">
        <v>2243</v>
      </c>
    </row>
    <row r="465" ht="15.75" customHeight="1">
      <c r="A465" s="2" t="s">
        <v>2244</v>
      </c>
      <c r="B465" s="2" t="s">
        <v>783</v>
      </c>
      <c r="C465" s="2" t="s">
        <v>694</v>
      </c>
      <c r="D465" s="2" t="s">
        <v>149</v>
      </c>
      <c r="E465" s="2" t="s">
        <v>165</v>
      </c>
      <c r="F465" s="2" t="s">
        <v>165</v>
      </c>
      <c r="G465" s="2" t="s">
        <v>165</v>
      </c>
      <c r="H465" s="2" t="s">
        <v>165</v>
      </c>
      <c r="I465" s="2" t="s">
        <v>2245</v>
      </c>
      <c r="J465" s="2" t="s">
        <v>2246</v>
      </c>
      <c r="K465" s="2" t="s">
        <v>165</v>
      </c>
      <c r="L465" s="2"/>
      <c r="M465" s="2"/>
      <c r="N465" s="2" t="s">
        <v>171</v>
      </c>
      <c r="O465" s="2">
        <v>1.0</v>
      </c>
      <c r="P465" s="2">
        <v>0.0</v>
      </c>
      <c r="Q465" s="2">
        <v>0.0</v>
      </c>
      <c r="R465" s="2">
        <v>1.0</v>
      </c>
      <c r="S465" s="2">
        <v>1.0</v>
      </c>
      <c r="T465" s="2" t="s">
        <v>2247</v>
      </c>
    </row>
    <row r="466" ht="15.75" customHeight="1">
      <c r="A466" s="2" t="s">
        <v>807</v>
      </c>
      <c r="B466" s="2" t="s">
        <v>809</v>
      </c>
      <c r="C466" s="2" t="s">
        <v>694</v>
      </c>
      <c r="D466" s="2" t="s">
        <v>71</v>
      </c>
      <c r="E466" s="2"/>
      <c r="F466" s="2" t="s">
        <v>500</v>
      </c>
      <c r="G466" s="2" t="s">
        <v>93</v>
      </c>
      <c r="H466" s="2" t="s">
        <v>500</v>
      </c>
      <c r="I466" s="2"/>
      <c r="J466" s="2" t="s">
        <v>800</v>
      </c>
      <c r="K466" s="2"/>
      <c r="L466" s="2"/>
      <c r="M466" s="2" t="s">
        <v>500</v>
      </c>
      <c r="N466" s="2" t="s">
        <v>95</v>
      </c>
      <c r="O466" s="2">
        <v>0.0</v>
      </c>
      <c r="P466" s="2">
        <v>0.0</v>
      </c>
      <c r="Q466" s="2">
        <v>1.0</v>
      </c>
      <c r="R466" s="2">
        <v>0.0</v>
      </c>
      <c r="S466" s="2">
        <v>0.0</v>
      </c>
      <c r="T466" s="2" t="s">
        <v>820</v>
      </c>
    </row>
    <row r="467" ht="15.75" customHeight="1">
      <c r="A467" s="2" t="s">
        <v>2248</v>
      </c>
      <c r="B467" s="2" t="s">
        <v>809</v>
      </c>
      <c r="C467" s="2" t="s">
        <v>694</v>
      </c>
      <c r="D467" s="2" t="s">
        <v>75</v>
      </c>
      <c r="E467" s="2" t="s">
        <v>2138</v>
      </c>
      <c r="F467" s="2" t="s">
        <v>2138</v>
      </c>
      <c r="G467" s="2" t="s">
        <v>2139</v>
      </c>
      <c r="H467" s="2" t="s">
        <v>2139</v>
      </c>
      <c r="I467" s="2" t="s">
        <v>2251</v>
      </c>
      <c r="J467" s="2" t="s">
        <v>2251</v>
      </c>
      <c r="K467" s="2" t="s">
        <v>2139</v>
      </c>
      <c r="L467" s="2"/>
      <c r="M467" s="2"/>
      <c r="N467" s="2" t="s">
        <v>145</v>
      </c>
      <c r="O467" s="2">
        <v>1.0</v>
      </c>
      <c r="P467" s="2">
        <v>0.0</v>
      </c>
      <c r="Q467" s="2">
        <v>0.0</v>
      </c>
      <c r="R467" s="2">
        <v>1.0</v>
      </c>
      <c r="S467" s="2">
        <v>0.0</v>
      </c>
      <c r="T467" s="2" t="s">
        <v>2252</v>
      </c>
    </row>
    <row r="468" ht="15.75" customHeight="1">
      <c r="A468" s="2" t="s">
        <v>2253</v>
      </c>
      <c r="B468" s="2" t="s">
        <v>809</v>
      </c>
      <c r="C468" s="2" t="s">
        <v>694</v>
      </c>
      <c r="D468" s="2" t="s">
        <v>118</v>
      </c>
      <c r="E468" s="2" t="s">
        <v>226</v>
      </c>
      <c r="F468" s="2" t="s">
        <v>226</v>
      </c>
      <c r="G468" s="2" t="s">
        <v>226</v>
      </c>
      <c r="H468" s="2" t="s">
        <v>226</v>
      </c>
      <c r="I468" s="2" t="s">
        <v>2161</v>
      </c>
      <c r="J468" s="2" t="s">
        <v>2162</v>
      </c>
      <c r="K468" s="2" t="s">
        <v>226</v>
      </c>
      <c r="L468" s="2"/>
      <c r="M468" s="2"/>
      <c r="N468" s="2" t="s">
        <v>171</v>
      </c>
      <c r="O468" s="2">
        <v>1.0</v>
      </c>
      <c r="P468" s="2">
        <v>0.0</v>
      </c>
      <c r="Q468" s="2">
        <v>0.0</v>
      </c>
      <c r="R468" s="2">
        <v>1.0</v>
      </c>
      <c r="S468" s="2">
        <v>1.0</v>
      </c>
      <c r="T468" s="2" t="s">
        <v>2254</v>
      </c>
    </row>
    <row r="469" ht="15.75" customHeight="1">
      <c r="A469" s="2" t="s">
        <v>2255</v>
      </c>
      <c r="B469" s="2" t="s">
        <v>809</v>
      </c>
      <c r="C469" s="2" t="s">
        <v>694</v>
      </c>
      <c r="D469" s="2" t="s">
        <v>149</v>
      </c>
      <c r="E469" s="2" t="s">
        <v>165</v>
      </c>
      <c r="F469" s="2" t="s">
        <v>165</v>
      </c>
      <c r="G469" s="2" t="s">
        <v>165</v>
      </c>
      <c r="H469" s="2" t="s">
        <v>165</v>
      </c>
      <c r="I469" s="2" t="s">
        <v>2165</v>
      </c>
      <c r="J469" s="2" t="s">
        <v>2166</v>
      </c>
      <c r="K469" s="2" t="s">
        <v>165</v>
      </c>
      <c r="L469" s="2"/>
      <c r="M469" s="2"/>
      <c r="N469" s="2" t="s">
        <v>171</v>
      </c>
      <c r="O469" s="2">
        <v>1.0</v>
      </c>
      <c r="P469" s="2">
        <v>0.0</v>
      </c>
      <c r="Q469" s="2">
        <v>0.0</v>
      </c>
      <c r="R469" s="2">
        <v>1.0</v>
      </c>
      <c r="S469" s="2">
        <v>1.0</v>
      </c>
      <c r="T469" s="2" t="s">
        <v>2256</v>
      </c>
    </row>
    <row r="470" ht="15.75" customHeight="1">
      <c r="A470" s="2" t="s">
        <v>822</v>
      </c>
      <c r="B470" s="2" t="s">
        <v>823</v>
      </c>
      <c r="C470" s="2" t="s">
        <v>694</v>
      </c>
      <c r="D470" s="2" t="s">
        <v>71</v>
      </c>
      <c r="E470" s="2"/>
      <c r="F470" s="2" t="s">
        <v>500</v>
      </c>
      <c r="G470" s="2" t="s">
        <v>93</v>
      </c>
      <c r="H470" s="2" t="s">
        <v>500</v>
      </c>
      <c r="I470" s="2"/>
      <c r="J470" s="2" t="s">
        <v>824</v>
      </c>
      <c r="K470" s="2"/>
      <c r="L470" s="2"/>
      <c r="M470" s="2" t="s">
        <v>500</v>
      </c>
      <c r="N470" s="2" t="s">
        <v>95</v>
      </c>
      <c r="O470" s="2">
        <v>0.0</v>
      </c>
      <c r="P470" s="2">
        <v>0.0</v>
      </c>
      <c r="Q470" s="2">
        <v>1.0</v>
      </c>
      <c r="R470" s="2">
        <v>0.0</v>
      </c>
      <c r="S470" s="2">
        <v>0.0</v>
      </c>
      <c r="T470" s="2" t="s">
        <v>832</v>
      </c>
    </row>
    <row r="471" ht="15.75" customHeight="1">
      <c r="A471" s="2" t="s">
        <v>2257</v>
      </c>
      <c r="B471" s="2" t="s">
        <v>823</v>
      </c>
      <c r="C471" s="2" t="s">
        <v>694</v>
      </c>
      <c r="D471" s="2" t="s">
        <v>75</v>
      </c>
      <c r="E471" s="2" t="s">
        <v>2138</v>
      </c>
      <c r="F471" s="2" t="s">
        <v>2138</v>
      </c>
      <c r="G471" s="2" t="s">
        <v>2139</v>
      </c>
      <c r="H471" s="2" t="s">
        <v>2139</v>
      </c>
      <c r="I471" s="2" t="s">
        <v>2258</v>
      </c>
      <c r="J471" s="2" t="s">
        <v>2258</v>
      </c>
      <c r="K471" s="2" t="s">
        <v>2139</v>
      </c>
      <c r="L471" s="2"/>
      <c r="M471" s="2"/>
      <c r="N471" s="2" t="s">
        <v>145</v>
      </c>
      <c r="O471" s="2">
        <v>1.0</v>
      </c>
      <c r="P471" s="2">
        <v>0.0</v>
      </c>
      <c r="Q471" s="2">
        <v>0.0</v>
      </c>
      <c r="R471" s="2">
        <v>1.0</v>
      </c>
      <c r="S471" s="2">
        <v>0.0</v>
      </c>
      <c r="T471" s="2" t="s">
        <v>2259</v>
      </c>
    </row>
    <row r="472" ht="15.75" customHeight="1">
      <c r="A472" s="2" t="s">
        <v>2260</v>
      </c>
      <c r="B472" s="2" t="s">
        <v>823</v>
      </c>
      <c r="C472" s="2" t="s">
        <v>694</v>
      </c>
      <c r="D472" s="2" t="s">
        <v>118</v>
      </c>
      <c r="E472" s="2" t="s">
        <v>226</v>
      </c>
      <c r="F472" s="2" t="s">
        <v>226</v>
      </c>
      <c r="G472" s="2" t="s">
        <v>226</v>
      </c>
      <c r="H472" s="2" t="s">
        <v>226</v>
      </c>
      <c r="I472" s="2" t="s">
        <v>2261</v>
      </c>
      <c r="J472" s="2" t="s">
        <v>2262</v>
      </c>
      <c r="K472" s="2" t="s">
        <v>226</v>
      </c>
      <c r="L472" s="2"/>
      <c r="M472" s="2"/>
      <c r="N472" s="2" t="s">
        <v>171</v>
      </c>
      <c r="O472" s="2">
        <v>1.0</v>
      </c>
      <c r="P472" s="2">
        <v>0.0</v>
      </c>
      <c r="Q472" s="2">
        <v>0.0</v>
      </c>
      <c r="R472" s="2">
        <v>1.0</v>
      </c>
      <c r="S472" s="2">
        <v>1.0</v>
      </c>
      <c r="T472" s="2" t="s">
        <v>2263</v>
      </c>
    </row>
    <row r="473" ht="15.75" customHeight="1">
      <c r="A473" s="2" t="s">
        <v>2264</v>
      </c>
      <c r="B473" s="2" t="s">
        <v>823</v>
      </c>
      <c r="C473" s="2" t="s">
        <v>694</v>
      </c>
      <c r="D473" s="2" t="s">
        <v>149</v>
      </c>
      <c r="E473" s="2" t="s">
        <v>165</v>
      </c>
      <c r="F473" s="2" t="s">
        <v>165</v>
      </c>
      <c r="G473" s="2" t="s">
        <v>165</v>
      </c>
      <c r="H473" s="2" t="s">
        <v>165</v>
      </c>
      <c r="I473" s="2" t="s">
        <v>2265</v>
      </c>
      <c r="J473" s="2" t="s">
        <v>2266</v>
      </c>
      <c r="K473" s="2" t="s">
        <v>165</v>
      </c>
      <c r="L473" s="2"/>
      <c r="M473" s="2"/>
      <c r="N473" s="2" t="s">
        <v>171</v>
      </c>
      <c r="O473" s="2">
        <v>1.0</v>
      </c>
      <c r="P473" s="2">
        <v>0.0</v>
      </c>
      <c r="Q473" s="2">
        <v>0.0</v>
      </c>
      <c r="R473" s="2">
        <v>1.0</v>
      </c>
      <c r="S473" s="2">
        <v>1.0</v>
      </c>
      <c r="T473" s="2" t="s">
        <v>2267</v>
      </c>
    </row>
    <row r="474" ht="15.75" customHeight="1">
      <c r="A474" s="2" t="s">
        <v>833</v>
      </c>
      <c r="B474" s="2" t="s">
        <v>834</v>
      </c>
      <c r="C474" s="2" t="s">
        <v>694</v>
      </c>
      <c r="D474" s="2" t="s">
        <v>71</v>
      </c>
      <c r="E474" s="2"/>
      <c r="F474" s="2" t="s">
        <v>500</v>
      </c>
      <c r="G474" s="2" t="s">
        <v>93</v>
      </c>
      <c r="H474" s="2" t="s">
        <v>500</v>
      </c>
      <c r="I474" s="2"/>
      <c r="J474" s="2" t="s">
        <v>837</v>
      </c>
      <c r="K474" s="2"/>
      <c r="L474" s="2"/>
      <c r="M474" s="2" t="s">
        <v>500</v>
      </c>
      <c r="N474" s="2" t="s">
        <v>95</v>
      </c>
      <c r="O474" s="2">
        <v>0.0</v>
      </c>
      <c r="P474" s="2">
        <v>0.0</v>
      </c>
      <c r="Q474" s="2">
        <v>1.0</v>
      </c>
      <c r="R474" s="2">
        <v>0.0</v>
      </c>
      <c r="S474" s="2">
        <v>0.0</v>
      </c>
      <c r="T474" s="2" t="s">
        <v>839</v>
      </c>
    </row>
    <row r="475" ht="15.75" customHeight="1">
      <c r="A475" s="2" t="s">
        <v>2270</v>
      </c>
      <c r="B475" s="2" t="s">
        <v>834</v>
      </c>
      <c r="C475" s="2" t="s">
        <v>694</v>
      </c>
      <c r="D475" s="2" t="s">
        <v>75</v>
      </c>
      <c r="E475" s="2" t="s">
        <v>2271</v>
      </c>
      <c r="F475" s="2" t="s">
        <v>2271</v>
      </c>
      <c r="G475" s="2" t="s">
        <v>2139</v>
      </c>
      <c r="H475" s="2" t="s">
        <v>2139</v>
      </c>
      <c r="I475" s="2" t="s">
        <v>2272</v>
      </c>
      <c r="J475" s="2" t="s">
        <v>2272</v>
      </c>
      <c r="K475" s="2" t="s">
        <v>2139</v>
      </c>
      <c r="L475" s="2"/>
      <c r="M475" s="2"/>
      <c r="N475" s="2" t="s">
        <v>145</v>
      </c>
      <c r="O475" s="2">
        <v>1.0</v>
      </c>
      <c r="P475" s="2">
        <v>0.0</v>
      </c>
      <c r="Q475" s="2">
        <v>0.0</v>
      </c>
      <c r="R475" s="2">
        <v>1.0</v>
      </c>
      <c r="S475" s="2">
        <v>0.0</v>
      </c>
      <c r="T475" s="2" t="s">
        <v>2273</v>
      </c>
    </row>
    <row r="476" ht="15.75" customHeight="1">
      <c r="A476" s="2" t="s">
        <v>2274</v>
      </c>
      <c r="B476" s="2" t="s">
        <v>834</v>
      </c>
      <c r="C476" s="2" t="s">
        <v>694</v>
      </c>
      <c r="D476" s="2" t="s">
        <v>118</v>
      </c>
      <c r="E476" s="2" t="s">
        <v>226</v>
      </c>
      <c r="F476" s="2" t="s">
        <v>226</v>
      </c>
      <c r="G476" s="2" t="s">
        <v>226</v>
      </c>
      <c r="H476" s="2" t="s">
        <v>226</v>
      </c>
      <c r="I476" s="2" t="s">
        <v>2275</v>
      </c>
      <c r="J476" s="2" t="s">
        <v>2276</v>
      </c>
      <c r="K476" s="2" t="s">
        <v>226</v>
      </c>
      <c r="L476" s="2"/>
      <c r="M476" s="2"/>
      <c r="N476" s="2" t="s">
        <v>171</v>
      </c>
      <c r="O476" s="2">
        <v>1.0</v>
      </c>
      <c r="P476" s="2">
        <v>0.0</v>
      </c>
      <c r="Q476" s="2">
        <v>0.0</v>
      </c>
      <c r="R476" s="2">
        <v>1.0</v>
      </c>
      <c r="S476" s="2">
        <v>1.0</v>
      </c>
      <c r="T476" s="2" t="s">
        <v>2277</v>
      </c>
    </row>
    <row r="477" ht="15.75" customHeight="1">
      <c r="A477" s="2" t="s">
        <v>2278</v>
      </c>
      <c r="B477" s="2" t="s">
        <v>834</v>
      </c>
      <c r="C477" s="2" t="s">
        <v>694</v>
      </c>
      <c r="D477" s="2" t="s">
        <v>149</v>
      </c>
      <c r="E477" s="2" t="s">
        <v>165</v>
      </c>
      <c r="F477" s="2" t="s">
        <v>165</v>
      </c>
      <c r="G477" s="2" t="s">
        <v>165</v>
      </c>
      <c r="H477" s="2" t="s">
        <v>165</v>
      </c>
      <c r="I477" s="2" t="s">
        <v>2279</v>
      </c>
      <c r="J477" s="2" t="s">
        <v>2280</v>
      </c>
      <c r="K477" s="2" t="s">
        <v>165</v>
      </c>
      <c r="L477" s="2"/>
      <c r="M477" s="2"/>
      <c r="N477" s="2" t="s">
        <v>171</v>
      </c>
      <c r="O477" s="2">
        <v>1.0</v>
      </c>
      <c r="P477" s="2">
        <v>0.0</v>
      </c>
      <c r="Q477" s="2">
        <v>0.0</v>
      </c>
      <c r="R477" s="2">
        <v>1.0</v>
      </c>
      <c r="S477" s="2">
        <v>1.0</v>
      </c>
      <c r="T477" s="2" t="s">
        <v>2281</v>
      </c>
    </row>
    <row r="478" ht="15.75" customHeight="1">
      <c r="A478" s="2" t="s">
        <v>840</v>
      </c>
      <c r="B478" s="2" t="s">
        <v>841</v>
      </c>
      <c r="C478" s="2" t="s">
        <v>694</v>
      </c>
      <c r="D478" s="2" t="s">
        <v>71</v>
      </c>
      <c r="E478" s="2"/>
      <c r="F478" s="2" t="s">
        <v>500</v>
      </c>
      <c r="G478" s="2" t="s">
        <v>93</v>
      </c>
      <c r="H478" s="2" t="s">
        <v>500</v>
      </c>
      <c r="I478" s="2"/>
      <c r="J478" s="2" t="s">
        <v>843</v>
      </c>
      <c r="K478" s="2"/>
      <c r="L478" s="2"/>
      <c r="M478" s="2" t="s">
        <v>500</v>
      </c>
      <c r="N478" s="2" t="s">
        <v>95</v>
      </c>
      <c r="O478" s="2">
        <v>0.0</v>
      </c>
      <c r="P478" s="2">
        <v>0.0</v>
      </c>
      <c r="Q478" s="2">
        <v>1.0</v>
      </c>
      <c r="R478" s="2">
        <v>0.0</v>
      </c>
      <c r="S478" s="2">
        <v>0.0</v>
      </c>
      <c r="T478" s="2" t="s">
        <v>850</v>
      </c>
    </row>
    <row r="479" ht="15.75" customHeight="1">
      <c r="A479" s="2" t="s">
        <v>2284</v>
      </c>
      <c r="B479" s="2" t="s">
        <v>841</v>
      </c>
      <c r="C479" s="2" t="s">
        <v>694</v>
      </c>
      <c r="D479" s="2" t="s">
        <v>75</v>
      </c>
      <c r="E479" s="2" t="s">
        <v>2138</v>
      </c>
      <c r="F479" s="2" t="s">
        <v>2138</v>
      </c>
      <c r="G479" s="2" t="s">
        <v>2139</v>
      </c>
      <c r="H479" s="2" t="s">
        <v>2139</v>
      </c>
      <c r="I479" s="2" t="s">
        <v>2285</v>
      </c>
      <c r="J479" s="2" t="s">
        <v>2285</v>
      </c>
      <c r="K479" s="2" t="s">
        <v>2139</v>
      </c>
      <c r="L479" s="2"/>
      <c r="M479" s="2"/>
      <c r="N479" s="2" t="s">
        <v>145</v>
      </c>
      <c r="O479" s="2">
        <v>1.0</v>
      </c>
      <c r="P479" s="2">
        <v>0.0</v>
      </c>
      <c r="Q479" s="2">
        <v>0.0</v>
      </c>
      <c r="R479" s="2">
        <v>1.0</v>
      </c>
      <c r="S479" s="2">
        <v>0.0</v>
      </c>
      <c r="T479" s="2" t="s">
        <v>2286</v>
      </c>
    </row>
    <row r="480" ht="15.75" customHeight="1">
      <c r="A480" s="2" t="s">
        <v>2287</v>
      </c>
      <c r="B480" s="2" t="s">
        <v>841</v>
      </c>
      <c r="C480" s="2" t="s">
        <v>694</v>
      </c>
      <c r="D480" s="2" t="s">
        <v>118</v>
      </c>
      <c r="E480" s="2" t="s">
        <v>226</v>
      </c>
      <c r="F480" s="2" t="s">
        <v>226</v>
      </c>
      <c r="G480" s="2" t="s">
        <v>226</v>
      </c>
      <c r="H480" s="2" t="s">
        <v>226</v>
      </c>
      <c r="I480" s="2" t="s">
        <v>2288</v>
      </c>
      <c r="J480" s="2" t="s">
        <v>2289</v>
      </c>
      <c r="K480" s="2" t="s">
        <v>226</v>
      </c>
      <c r="L480" s="2"/>
      <c r="M480" s="2"/>
      <c r="N480" s="2" t="s">
        <v>171</v>
      </c>
      <c r="O480" s="2">
        <v>1.0</v>
      </c>
      <c r="P480" s="2">
        <v>0.0</v>
      </c>
      <c r="Q480" s="2">
        <v>0.0</v>
      </c>
      <c r="R480" s="2">
        <v>1.0</v>
      </c>
      <c r="S480" s="2">
        <v>1.0</v>
      </c>
      <c r="T480" s="2" t="s">
        <v>850</v>
      </c>
    </row>
    <row r="481" ht="15.75" customHeight="1">
      <c r="A481" s="2" t="s">
        <v>2290</v>
      </c>
      <c r="B481" s="2" t="s">
        <v>841</v>
      </c>
      <c r="C481" s="2" t="s">
        <v>694</v>
      </c>
      <c r="D481" s="2" t="s">
        <v>149</v>
      </c>
      <c r="E481" s="2" t="s">
        <v>165</v>
      </c>
      <c r="F481" s="2" t="s">
        <v>165</v>
      </c>
      <c r="G481" s="2" t="s">
        <v>165</v>
      </c>
      <c r="H481" s="2" t="s">
        <v>165</v>
      </c>
      <c r="I481" s="2" t="s">
        <v>2291</v>
      </c>
      <c r="J481" s="2" t="s">
        <v>2292</v>
      </c>
      <c r="K481" s="2" t="s">
        <v>165</v>
      </c>
      <c r="L481" s="2"/>
      <c r="M481" s="2"/>
      <c r="N481" s="2" t="s">
        <v>171</v>
      </c>
      <c r="O481" s="2">
        <v>1.0</v>
      </c>
      <c r="P481" s="2">
        <v>0.0</v>
      </c>
      <c r="Q481" s="2">
        <v>0.0</v>
      </c>
      <c r="R481" s="2">
        <v>1.0</v>
      </c>
      <c r="S481" s="2">
        <v>1.0</v>
      </c>
      <c r="T481" s="2" t="s">
        <v>850</v>
      </c>
    </row>
    <row r="482" ht="15.75" customHeight="1">
      <c r="A482" s="2" t="s">
        <v>2293</v>
      </c>
      <c r="B482" s="2" t="s">
        <v>2226</v>
      </c>
      <c r="C482" s="2" t="s">
        <v>74</v>
      </c>
      <c r="D482" s="2" t="s">
        <v>71</v>
      </c>
      <c r="E482" s="2" t="s">
        <v>2294</v>
      </c>
      <c r="F482" s="2" t="s">
        <v>2294</v>
      </c>
      <c r="G482" s="2" t="s">
        <v>2295</v>
      </c>
      <c r="H482" s="2" t="s">
        <v>2295</v>
      </c>
      <c r="I482" s="2" t="s">
        <v>2296</v>
      </c>
      <c r="J482" s="2" t="s">
        <v>2296</v>
      </c>
      <c r="K482" s="2" t="s">
        <v>2295</v>
      </c>
      <c r="L482" s="2"/>
      <c r="M482" s="2"/>
      <c r="N482" s="2" t="s">
        <v>145</v>
      </c>
      <c r="O482" s="2">
        <v>3.0</v>
      </c>
      <c r="P482" s="2">
        <v>0.0</v>
      </c>
      <c r="Q482" s="2">
        <v>0.0</v>
      </c>
      <c r="R482" s="2">
        <v>1.0</v>
      </c>
      <c r="S482" s="2">
        <v>0.0</v>
      </c>
      <c r="T482" s="2" t="s">
        <v>2299</v>
      </c>
    </row>
    <row r="483" ht="15.75" customHeight="1">
      <c r="A483" s="2" t="s">
        <v>2300</v>
      </c>
      <c r="B483" s="2" t="s">
        <v>2226</v>
      </c>
      <c r="C483" s="2" t="s">
        <v>74</v>
      </c>
      <c r="D483" s="2" t="s">
        <v>75</v>
      </c>
      <c r="E483" s="2" t="s">
        <v>76</v>
      </c>
      <c r="F483" s="2" t="s">
        <v>76</v>
      </c>
      <c r="G483" s="2" t="s">
        <v>79</v>
      </c>
      <c r="H483" s="2" t="s">
        <v>79</v>
      </c>
      <c r="I483" s="2" t="s">
        <v>2301</v>
      </c>
      <c r="J483" s="2" t="s">
        <v>2301</v>
      </c>
      <c r="K483" s="2" t="s">
        <v>79</v>
      </c>
      <c r="L483" s="2"/>
      <c r="M483" s="2"/>
      <c r="N483" s="2" t="s">
        <v>145</v>
      </c>
      <c r="O483" s="2">
        <v>1.0</v>
      </c>
      <c r="P483" s="2">
        <v>0.0</v>
      </c>
      <c r="Q483" s="2">
        <v>0.0</v>
      </c>
      <c r="R483" s="2">
        <v>1.0</v>
      </c>
      <c r="S483" s="2">
        <v>0.0</v>
      </c>
      <c r="T483" s="2" t="s">
        <v>2302</v>
      </c>
    </row>
    <row r="484" ht="15.75" customHeight="1">
      <c r="A484" s="2" t="s">
        <v>2303</v>
      </c>
      <c r="B484" s="2" t="s">
        <v>2226</v>
      </c>
      <c r="C484" s="2" t="s">
        <v>74</v>
      </c>
      <c r="D484" s="2" t="s">
        <v>118</v>
      </c>
      <c r="E484" s="2" t="s">
        <v>415</v>
      </c>
      <c r="F484" s="2" t="s">
        <v>415</v>
      </c>
      <c r="G484" s="2" t="s">
        <v>415</v>
      </c>
      <c r="H484" s="2" t="s">
        <v>415</v>
      </c>
      <c r="I484" s="2" t="s">
        <v>2304</v>
      </c>
      <c r="J484" s="2" t="s">
        <v>2305</v>
      </c>
      <c r="K484" s="2" t="s">
        <v>415</v>
      </c>
      <c r="L484" s="2"/>
      <c r="M484" s="2"/>
      <c r="N484" s="2" t="s">
        <v>171</v>
      </c>
      <c r="O484" s="2">
        <v>1.0</v>
      </c>
      <c r="P484" s="2">
        <v>0.0</v>
      </c>
      <c r="Q484" s="2">
        <v>0.0</v>
      </c>
      <c r="R484" s="2">
        <v>1.0</v>
      </c>
      <c r="S484" s="2">
        <v>1.0</v>
      </c>
      <c r="T484" s="2" t="s">
        <v>2306</v>
      </c>
    </row>
    <row r="485" ht="15.75" customHeight="1">
      <c r="A485" s="2" t="s">
        <v>2307</v>
      </c>
      <c r="B485" s="2" t="s">
        <v>2226</v>
      </c>
      <c r="C485" s="2" t="s">
        <v>74</v>
      </c>
      <c r="D485" s="2" t="s">
        <v>149</v>
      </c>
      <c r="E485" s="2" t="s">
        <v>2308</v>
      </c>
      <c r="F485" s="2" t="s">
        <v>2308</v>
      </c>
      <c r="G485" s="2" t="s">
        <v>2308</v>
      </c>
      <c r="H485" s="2" t="s">
        <v>2308</v>
      </c>
      <c r="I485" s="2" t="s">
        <v>2309</v>
      </c>
      <c r="J485" s="2" t="s">
        <v>2310</v>
      </c>
      <c r="K485" s="2" t="s">
        <v>2308</v>
      </c>
      <c r="L485" s="2"/>
      <c r="M485" s="2"/>
      <c r="N485" s="2" t="s">
        <v>171</v>
      </c>
      <c r="O485" s="2">
        <v>2.0</v>
      </c>
      <c r="P485" s="2">
        <v>0.0</v>
      </c>
      <c r="Q485" s="2">
        <v>0.0</v>
      </c>
      <c r="R485" s="2">
        <v>1.0</v>
      </c>
      <c r="S485" s="2">
        <v>1.0</v>
      </c>
      <c r="T485" s="2" t="s">
        <v>2311</v>
      </c>
    </row>
    <row r="486" ht="15.75" customHeight="1">
      <c r="A486" s="2" t="s">
        <v>2312</v>
      </c>
      <c r="B486" s="2" t="s">
        <v>73</v>
      </c>
      <c r="C486" s="2" t="s">
        <v>74</v>
      </c>
      <c r="D486" s="2" t="s">
        <v>71</v>
      </c>
      <c r="E486" s="2" t="s">
        <v>2313</v>
      </c>
      <c r="F486" s="2" t="s">
        <v>2313</v>
      </c>
      <c r="G486" s="2" t="s">
        <v>2314</v>
      </c>
      <c r="H486" s="2" t="s">
        <v>2314</v>
      </c>
      <c r="I486" s="2" t="s">
        <v>2315</v>
      </c>
      <c r="J486" s="2" t="s">
        <v>2315</v>
      </c>
      <c r="K486" s="2" t="s">
        <v>2314</v>
      </c>
      <c r="L486" s="2"/>
      <c r="M486" s="2"/>
      <c r="N486" s="2" t="s">
        <v>145</v>
      </c>
      <c r="O486" s="2">
        <v>1.0</v>
      </c>
      <c r="P486" s="2">
        <v>0.0</v>
      </c>
      <c r="Q486" s="2">
        <v>0.0</v>
      </c>
      <c r="R486" s="2">
        <v>1.0</v>
      </c>
      <c r="S486" s="2">
        <v>0.0</v>
      </c>
      <c r="T486" s="2" t="s">
        <v>2317</v>
      </c>
    </row>
    <row r="487" ht="15.75" customHeight="1">
      <c r="A487" s="2" t="s">
        <v>72</v>
      </c>
      <c r="B487" s="2" t="s">
        <v>73</v>
      </c>
      <c r="C487" s="2" t="s">
        <v>74</v>
      </c>
      <c r="D487" s="2" t="s">
        <v>75</v>
      </c>
      <c r="E487" s="2" t="s">
        <v>76</v>
      </c>
      <c r="F487" s="2" t="s">
        <v>77</v>
      </c>
      <c r="G487" s="2" t="s">
        <v>79</v>
      </c>
      <c r="H487" s="2" t="s">
        <v>80</v>
      </c>
      <c r="I487" s="2" t="s">
        <v>82</v>
      </c>
      <c r="J487" s="2" t="s">
        <v>83</v>
      </c>
      <c r="K487" s="2"/>
      <c r="L487" s="2" t="s">
        <v>79</v>
      </c>
      <c r="M487" s="2" t="s">
        <v>80</v>
      </c>
      <c r="N487" s="2" t="s">
        <v>86</v>
      </c>
      <c r="O487" s="2">
        <v>0.0</v>
      </c>
      <c r="P487" s="2">
        <v>1.0</v>
      </c>
      <c r="Q487" s="2">
        <v>1.0</v>
      </c>
      <c r="R487" s="2">
        <v>0.0</v>
      </c>
      <c r="S487" s="2">
        <v>0.0</v>
      </c>
      <c r="T487" s="2" t="s">
        <v>88</v>
      </c>
    </row>
    <row r="488" ht="15.75" customHeight="1">
      <c r="A488" s="2" t="s">
        <v>2318</v>
      </c>
      <c r="B488" s="2" t="s">
        <v>73</v>
      </c>
      <c r="C488" s="2" t="s">
        <v>74</v>
      </c>
      <c r="D488" s="2" t="s">
        <v>118</v>
      </c>
      <c r="E488" s="2" t="s">
        <v>2319</v>
      </c>
      <c r="F488" s="2" t="s">
        <v>2319</v>
      </c>
      <c r="G488" s="2" t="s">
        <v>2319</v>
      </c>
      <c r="H488" s="2" t="s">
        <v>2319</v>
      </c>
      <c r="I488" s="2" t="s">
        <v>2320</v>
      </c>
      <c r="J488" s="2" t="s">
        <v>2320</v>
      </c>
      <c r="K488" s="2" t="s">
        <v>2319</v>
      </c>
      <c r="L488" s="2"/>
      <c r="M488" s="2"/>
      <c r="N488" s="2" t="s">
        <v>145</v>
      </c>
      <c r="O488" s="2">
        <v>1.0</v>
      </c>
      <c r="P488" s="2">
        <v>0.0</v>
      </c>
      <c r="Q488" s="2">
        <v>0.0</v>
      </c>
      <c r="R488" s="2">
        <v>1.0</v>
      </c>
      <c r="S488" s="2">
        <v>0.0</v>
      </c>
      <c r="T488" s="2" t="s">
        <v>2321</v>
      </c>
    </row>
    <row r="489" ht="15.75" customHeight="1">
      <c r="A489" s="2" t="s">
        <v>2322</v>
      </c>
      <c r="B489" s="2" t="s">
        <v>73</v>
      </c>
      <c r="C489" s="2" t="s">
        <v>74</v>
      </c>
      <c r="D489" s="2" t="s">
        <v>149</v>
      </c>
      <c r="E489" s="2" t="s">
        <v>2323</v>
      </c>
      <c r="F489" s="2" t="s">
        <v>2323</v>
      </c>
      <c r="G489" s="2" t="s">
        <v>2323</v>
      </c>
      <c r="H489" s="2" t="s">
        <v>2323</v>
      </c>
      <c r="I489" s="2" t="s">
        <v>2324</v>
      </c>
      <c r="J489" s="2" t="s">
        <v>2325</v>
      </c>
      <c r="K489" s="2" t="s">
        <v>2323</v>
      </c>
      <c r="L489" s="2"/>
      <c r="M489" s="2"/>
      <c r="N489" s="2" t="s">
        <v>171</v>
      </c>
      <c r="O489" s="2">
        <v>1.0</v>
      </c>
      <c r="P489" s="2">
        <v>0.0</v>
      </c>
      <c r="Q489" s="2">
        <v>0.0</v>
      </c>
      <c r="R489" s="2">
        <v>1.0</v>
      </c>
      <c r="S489" s="2">
        <v>1.0</v>
      </c>
      <c r="T489" s="2" t="s">
        <v>2326</v>
      </c>
    </row>
    <row r="490" ht="15.75" customHeight="1">
      <c r="A490" s="2" t="s">
        <v>2327</v>
      </c>
      <c r="B490" s="2" t="s">
        <v>2250</v>
      </c>
      <c r="C490" s="2" t="s">
        <v>74</v>
      </c>
      <c r="D490" s="2" t="s">
        <v>71</v>
      </c>
      <c r="E490" s="2" t="s">
        <v>2328</v>
      </c>
      <c r="F490" s="2" t="s">
        <v>2328</v>
      </c>
      <c r="G490" s="2" t="s">
        <v>2329</v>
      </c>
      <c r="H490" s="2" t="s">
        <v>2329</v>
      </c>
      <c r="I490" s="2" t="s">
        <v>2330</v>
      </c>
      <c r="J490" s="2" t="s">
        <v>2330</v>
      </c>
      <c r="K490" s="2" t="s">
        <v>2329</v>
      </c>
      <c r="L490" s="2"/>
      <c r="M490" s="2"/>
      <c r="N490" s="2" t="s">
        <v>145</v>
      </c>
      <c r="O490" s="2">
        <v>1.0</v>
      </c>
      <c r="P490" s="2">
        <v>0.0</v>
      </c>
      <c r="Q490" s="2">
        <v>0.0</v>
      </c>
      <c r="R490" s="2">
        <v>1.0</v>
      </c>
      <c r="S490" s="2">
        <v>0.0</v>
      </c>
      <c r="T490" s="2" t="s">
        <v>2331</v>
      </c>
    </row>
    <row r="491" ht="15.75" customHeight="1">
      <c r="A491" s="2" t="s">
        <v>2332</v>
      </c>
      <c r="B491" s="2" t="s">
        <v>2250</v>
      </c>
      <c r="C491" s="2" t="s">
        <v>74</v>
      </c>
      <c r="D491" s="2" t="s">
        <v>75</v>
      </c>
      <c r="E491" s="2" t="s">
        <v>76</v>
      </c>
      <c r="F491" s="2" t="s">
        <v>76</v>
      </c>
      <c r="G491" s="2" t="s">
        <v>79</v>
      </c>
      <c r="H491" s="2" t="s">
        <v>79</v>
      </c>
      <c r="I491" s="2" t="s">
        <v>2333</v>
      </c>
      <c r="J491" s="2" t="s">
        <v>2333</v>
      </c>
      <c r="K491" s="2" t="s">
        <v>79</v>
      </c>
      <c r="L491" s="2"/>
      <c r="M491" s="2"/>
      <c r="N491" s="2" t="s">
        <v>145</v>
      </c>
      <c r="O491" s="2">
        <v>1.0</v>
      </c>
      <c r="P491" s="2">
        <v>0.0</v>
      </c>
      <c r="Q491" s="2">
        <v>0.0</v>
      </c>
      <c r="R491" s="2">
        <v>1.0</v>
      </c>
      <c r="S491" s="2">
        <v>0.0</v>
      </c>
      <c r="T491" s="2" t="s">
        <v>2334</v>
      </c>
    </row>
    <row r="492" ht="15.75" customHeight="1">
      <c r="A492" s="2" t="s">
        <v>2335</v>
      </c>
      <c r="B492" s="2" t="s">
        <v>2250</v>
      </c>
      <c r="C492" s="2" t="s">
        <v>74</v>
      </c>
      <c r="D492" s="2" t="s">
        <v>118</v>
      </c>
      <c r="E492" s="2" t="s">
        <v>135</v>
      </c>
      <c r="F492" s="2" t="s">
        <v>135</v>
      </c>
      <c r="G492" s="2" t="s">
        <v>135</v>
      </c>
      <c r="H492" s="2" t="s">
        <v>135</v>
      </c>
      <c r="I492" s="2" t="s">
        <v>2336</v>
      </c>
      <c r="J492" s="2" t="s">
        <v>2337</v>
      </c>
      <c r="K492" s="2" t="s">
        <v>135</v>
      </c>
      <c r="L492" s="2"/>
      <c r="M492" s="2"/>
      <c r="N492" s="2" t="s">
        <v>171</v>
      </c>
      <c r="O492" s="2">
        <v>1.0</v>
      </c>
      <c r="P492" s="2">
        <v>0.0</v>
      </c>
      <c r="Q492" s="2">
        <v>0.0</v>
      </c>
      <c r="R492" s="2">
        <v>1.0</v>
      </c>
      <c r="S492" s="2">
        <v>1.0</v>
      </c>
      <c r="T492" s="2" t="s">
        <v>2338</v>
      </c>
    </row>
    <row r="493" ht="15.75" customHeight="1">
      <c r="A493" s="2" t="s">
        <v>2340</v>
      </c>
      <c r="B493" s="2" t="s">
        <v>2250</v>
      </c>
      <c r="C493" s="2" t="s">
        <v>74</v>
      </c>
      <c r="D493" s="2" t="s">
        <v>149</v>
      </c>
      <c r="E493" s="2" t="s">
        <v>2342</v>
      </c>
      <c r="F493" s="2" t="s">
        <v>2342</v>
      </c>
      <c r="G493" s="2" t="s">
        <v>2342</v>
      </c>
      <c r="H493" s="2" t="s">
        <v>2342</v>
      </c>
      <c r="I493" s="2" t="s">
        <v>2343</v>
      </c>
      <c r="J493" s="2" t="s">
        <v>2344</v>
      </c>
      <c r="K493" s="2" t="s">
        <v>2342</v>
      </c>
      <c r="L493" s="2"/>
      <c r="M493" s="2"/>
      <c r="N493" s="2" t="s">
        <v>171</v>
      </c>
      <c r="O493" s="2">
        <v>1.0</v>
      </c>
      <c r="P493" s="2">
        <v>0.0</v>
      </c>
      <c r="Q493" s="2">
        <v>0.0</v>
      </c>
      <c r="R493" s="2">
        <v>1.0</v>
      </c>
      <c r="S493" s="2">
        <v>1.0</v>
      </c>
      <c r="T493" s="2" t="s">
        <v>2345</v>
      </c>
    </row>
    <row r="494" ht="15.75" customHeight="1">
      <c r="A494" s="2" t="s">
        <v>2346</v>
      </c>
      <c r="B494" s="2" t="s">
        <v>2269</v>
      </c>
      <c r="C494" s="2" t="s">
        <v>74</v>
      </c>
      <c r="D494" s="2" t="s">
        <v>71</v>
      </c>
      <c r="E494" s="2" t="s">
        <v>2347</v>
      </c>
      <c r="F494" s="2" t="s">
        <v>2347</v>
      </c>
      <c r="G494" s="2" t="s">
        <v>2348</v>
      </c>
      <c r="H494" s="2" t="s">
        <v>2348</v>
      </c>
      <c r="I494" s="2" t="s">
        <v>2349</v>
      </c>
      <c r="J494" s="2" t="s">
        <v>2349</v>
      </c>
      <c r="K494" s="2" t="s">
        <v>2348</v>
      </c>
      <c r="L494" s="2"/>
      <c r="M494" s="2"/>
      <c r="N494" s="2" t="s">
        <v>145</v>
      </c>
      <c r="O494" s="2">
        <v>1.0</v>
      </c>
      <c r="P494" s="2">
        <v>0.0</v>
      </c>
      <c r="Q494" s="2">
        <v>0.0</v>
      </c>
      <c r="R494" s="2">
        <v>1.0</v>
      </c>
      <c r="S494" s="2">
        <v>0.0</v>
      </c>
      <c r="T494" s="2" t="s">
        <v>2350</v>
      </c>
    </row>
    <row r="495" ht="15.75" customHeight="1">
      <c r="A495" s="2" t="s">
        <v>2351</v>
      </c>
      <c r="B495" s="2" t="s">
        <v>2269</v>
      </c>
      <c r="C495" s="2" t="s">
        <v>74</v>
      </c>
      <c r="D495" s="2" t="s">
        <v>75</v>
      </c>
      <c r="E495" s="2" t="s">
        <v>76</v>
      </c>
      <c r="F495" s="2" t="s">
        <v>76</v>
      </c>
      <c r="G495" s="2" t="s">
        <v>79</v>
      </c>
      <c r="H495" s="2" t="s">
        <v>79</v>
      </c>
      <c r="I495" s="2" t="s">
        <v>2352</v>
      </c>
      <c r="J495" s="2" t="s">
        <v>2352</v>
      </c>
      <c r="K495" s="2" t="s">
        <v>79</v>
      </c>
      <c r="L495" s="2"/>
      <c r="M495" s="2"/>
      <c r="N495" s="2" t="s">
        <v>145</v>
      </c>
      <c r="O495" s="2">
        <v>1.0</v>
      </c>
      <c r="P495" s="2">
        <v>0.0</v>
      </c>
      <c r="Q495" s="2">
        <v>0.0</v>
      </c>
      <c r="R495" s="2">
        <v>1.0</v>
      </c>
      <c r="S495" s="2">
        <v>0.0</v>
      </c>
      <c r="T495" s="2" t="s">
        <v>2353</v>
      </c>
    </row>
    <row r="496" ht="15.75" customHeight="1">
      <c r="A496" s="2" t="s">
        <v>2354</v>
      </c>
      <c r="B496" s="2" t="s">
        <v>2269</v>
      </c>
      <c r="C496" s="2" t="s">
        <v>74</v>
      </c>
      <c r="D496" s="2" t="s">
        <v>118</v>
      </c>
      <c r="E496" s="2" t="s">
        <v>135</v>
      </c>
      <c r="F496" s="2" t="s">
        <v>135</v>
      </c>
      <c r="G496" s="2" t="s">
        <v>135</v>
      </c>
      <c r="H496" s="2" t="s">
        <v>135</v>
      </c>
      <c r="I496" s="2" t="s">
        <v>2355</v>
      </c>
      <c r="J496" s="2" t="s">
        <v>2356</v>
      </c>
      <c r="K496" s="2" t="s">
        <v>135</v>
      </c>
      <c r="L496" s="2"/>
      <c r="M496" s="2"/>
      <c r="N496" s="2" t="s">
        <v>171</v>
      </c>
      <c r="O496" s="2">
        <v>1.0</v>
      </c>
      <c r="P496" s="2">
        <v>0.0</v>
      </c>
      <c r="Q496" s="2">
        <v>0.0</v>
      </c>
      <c r="R496" s="2">
        <v>1.0</v>
      </c>
      <c r="S496" s="2">
        <v>1.0</v>
      </c>
      <c r="T496" s="2" t="s">
        <v>2357</v>
      </c>
    </row>
    <row r="497" ht="15.75" customHeight="1">
      <c r="A497" s="2" t="s">
        <v>2359</v>
      </c>
      <c r="B497" s="2" t="s">
        <v>2269</v>
      </c>
      <c r="C497" s="2" t="s">
        <v>74</v>
      </c>
      <c r="D497" s="2" t="s">
        <v>149</v>
      </c>
      <c r="E497" s="2" t="s">
        <v>2342</v>
      </c>
      <c r="F497" s="2" t="s">
        <v>2342</v>
      </c>
      <c r="G497" s="2" t="s">
        <v>2342</v>
      </c>
      <c r="H497" s="2" t="s">
        <v>2342</v>
      </c>
      <c r="I497" s="2" t="s">
        <v>2360</v>
      </c>
      <c r="J497" s="2" t="s">
        <v>2361</v>
      </c>
      <c r="K497" s="2" t="s">
        <v>2342</v>
      </c>
      <c r="L497" s="2"/>
      <c r="M497" s="2"/>
      <c r="N497" s="2" t="s">
        <v>171</v>
      </c>
      <c r="O497" s="2">
        <v>1.0</v>
      </c>
      <c r="P497" s="2">
        <v>0.0</v>
      </c>
      <c r="Q497" s="2">
        <v>0.0</v>
      </c>
      <c r="R497" s="2">
        <v>1.0</v>
      </c>
      <c r="S497" s="2">
        <v>1.0</v>
      </c>
      <c r="T497" s="2" t="s">
        <v>2362</v>
      </c>
    </row>
    <row r="498" ht="15.75" customHeight="1">
      <c r="A498" s="2" t="s">
        <v>2363</v>
      </c>
      <c r="B498" s="2" t="s">
        <v>2283</v>
      </c>
      <c r="C498" s="2" t="s">
        <v>74</v>
      </c>
      <c r="D498" s="2" t="s">
        <v>71</v>
      </c>
      <c r="E498" s="2" t="s">
        <v>2364</v>
      </c>
      <c r="F498" s="2" t="s">
        <v>2364</v>
      </c>
      <c r="G498" s="2" t="s">
        <v>2365</v>
      </c>
      <c r="H498" s="2" t="s">
        <v>2365</v>
      </c>
      <c r="I498" s="2" t="s">
        <v>2366</v>
      </c>
      <c r="J498" s="2" t="s">
        <v>2366</v>
      </c>
      <c r="K498" s="2" t="s">
        <v>2365</v>
      </c>
      <c r="L498" s="2"/>
      <c r="M498" s="2"/>
      <c r="N498" s="2" t="s">
        <v>145</v>
      </c>
      <c r="O498" s="2">
        <v>1.0</v>
      </c>
      <c r="P498" s="2">
        <v>0.0</v>
      </c>
      <c r="Q498" s="2">
        <v>0.0</v>
      </c>
      <c r="R498" s="2">
        <v>1.0</v>
      </c>
      <c r="S498" s="2">
        <v>0.0</v>
      </c>
      <c r="T498" s="2" t="s">
        <v>2367</v>
      </c>
    </row>
    <row r="499" ht="15.75" customHeight="1">
      <c r="A499" s="2" t="s">
        <v>2368</v>
      </c>
      <c r="B499" s="2" t="s">
        <v>2283</v>
      </c>
      <c r="C499" s="2" t="s">
        <v>74</v>
      </c>
      <c r="D499" s="2" t="s">
        <v>75</v>
      </c>
      <c r="E499" s="2" t="s">
        <v>76</v>
      </c>
      <c r="F499" s="2" t="s">
        <v>76</v>
      </c>
      <c r="G499" s="2" t="s">
        <v>79</v>
      </c>
      <c r="H499" s="2" t="s">
        <v>79</v>
      </c>
      <c r="I499" s="2" t="s">
        <v>2369</v>
      </c>
      <c r="J499" s="2" t="s">
        <v>2369</v>
      </c>
      <c r="K499" s="2" t="s">
        <v>79</v>
      </c>
      <c r="L499" s="2"/>
      <c r="M499" s="2"/>
      <c r="N499" s="2" t="s">
        <v>145</v>
      </c>
      <c r="O499" s="2">
        <v>1.0</v>
      </c>
      <c r="P499" s="2">
        <v>0.0</v>
      </c>
      <c r="Q499" s="2">
        <v>0.0</v>
      </c>
      <c r="R499" s="2">
        <v>1.0</v>
      </c>
      <c r="S499" s="2">
        <v>0.0</v>
      </c>
      <c r="T499" s="2" t="s">
        <v>2370</v>
      </c>
    </row>
    <row r="500" ht="15.75" customHeight="1">
      <c r="A500" s="2" t="s">
        <v>2371</v>
      </c>
      <c r="B500" s="2" t="s">
        <v>2283</v>
      </c>
      <c r="C500" s="2" t="s">
        <v>74</v>
      </c>
      <c r="D500" s="2" t="s">
        <v>118</v>
      </c>
      <c r="E500" s="2" t="s">
        <v>135</v>
      </c>
      <c r="F500" s="2" t="s">
        <v>135</v>
      </c>
      <c r="G500" s="2" t="s">
        <v>135</v>
      </c>
      <c r="H500" s="2" t="s">
        <v>135</v>
      </c>
      <c r="I500" s="2" t="s">
        <v>2373</v>
      </c>
      <c r="J500" s="2" t="s">
        <v>2374</v>
      </c>
      <c r="K500" s="2" t="s">
        <v>135</v>
      </c>
      <c r="L500" s="2"/>
      <c r="M500" s="2"/>
      <c r="N500" s="2" t="s">
        <v>171</v>
      </c>
      <c r="O500" s="2">
        <v>1.0</v>
      </c>
      <c r="P500" s="2">
        <v>0.0</v>
      </c>
      <c r="Q500" s="2">
        <v>0.0</v>
      </c>
      <c r="R500" s="2">
        <v>1.0</v>
      </c>
      <c r="S500" s="2">
        <v>1.0</v>
      </c>
      <c r="T500" s="2" t="s">
        <v>2376</v>
      </c>
    </row>
    <row r="501" ht="15.75" customHeight="1">
      <c r="A501" s="2" t="s">
        <v>2377</v>
      </c>
      <c r="B501" s="2" t="s">
        <v>2283</v>
      </c>
      <c r="C501" s="2" t="s">
        <v>74</v>
      </c>
      <c r="D501" s="2" t="s">
        <v>149</v>
      </c>
      <c r="E501" s="2" t="s">
        <v>2378</v>
      </c>
      <c r="F501" s="2" t="s">
        <v>2378</v>
      </c>
      <c r="G501" s="2" t="s">
        <v>2378</v>
      </c>
      <c r="H501" s="2" t="s">
        <v>2378</v>
      </c>
      <c r="I501" s="2" t="s">
        <v>2380</v>
      </c>
      <c r="J501" s="2" t="s">
        <v>2380</v>
      </c>
      <c r="K501" s="2" t="s">
        <v>2378</v>
      </c>
      <c r="L501" s="2"/>
      <c r="M501" s="2"/>
      <c r="N501" s="2" t="s">
        <v>145</v>
      </c>
      <c r="O501" s="2">
        <v>1.0</v>
      </c>
      <c r="P501" s="2">
        <v>0.0</v>
      </c>
      <c r="Q501" s="2">
        <v>0.0</v>
      </c>
      <c r="R501" s="2">
        <v>1.0</v>
      </c>
      <c r="S501" s="2">
        <v>0.0</v>
      </c>
      <c r="T501" s="2" t="s">
        <v>2382</v>
      </c>
    </row>
    <row r="502" ht="15.75" customHeight="1">
      <c r="A502" s="2" t="s">
        <v>2383</v>
      </c>
      <c r="B502" s="2" t="s">
        <v>2298</v>
      </c>
      <c r="C502" s="2" t="s">
        <v>74</v>
      </c>
      <c r="D502" s="2" t="s">
        <v>71</v>
      </c>
      <c r="E502" s="2" t="s">
        <v>2384</v>
      </c>
      <c r="F502" s="2" t="s">
        <v>2384</v>
      </c>
      <c r="G502" s="2" t="s">
        <v>2385</v>
      </c>
      <c r="H502" s="2" t="s">
        <v>2385</v>
      </c>
      <c r="I502" s="2" t="s">
        <v>2386</v>
      </c>
      <c r="J502" s="2" t="s">
        <v>2386</v>
      </c>
      <c r="K502" s="2" t="s">
        <v>2385</v>
      </c>
      <c r="L502" s="2"/>
      <c r="M502" s="2"/>
      <c r="N502" s="2" t="s">
        <v>145</v>
      </c>
      <c r="O502" s="2">
        <v>1.0</v>
      </c>
      <c r="P502" s="2">
        <v>0.0</v>
      </c>
      <c r="Q502" s="2">
        <v>0.0</v>
      </c>
      <c r="R502" s="2">
        <v>1.0</v>
      </c>
      <c r="S502" s="2">
        <v>0.0</v>
      </c>
      <c r="T502" s="2" t="s">
        <v>2387</v>
      </c>
    </row>
    <row r="503" ht="15.75" customHeight="1">
      <c r="A503" s="2" t="s">
        <v>2388</v>
      </c>
      <c r="B503" s="2" t="s">
        <v>2298</v>
      </c>
      <c r="C503" s="2" t="s">
        <v>74</v>
      </c>
      <c r="D503" s="2" t="s">
        <v>75</v>
      </c>
      <c r="E503" s="2" t="s">
        <v>76</v>
      </c>
      <c r="F503" s="2" t="s">
        <v>76</v>
      </c>
      <c r="G503" s="2" t="s">
        <v>79</v>
      </c>
      <c r="H503" s="2" t="s">
        <v>79</v>
      </c>
      <c r="I503" s="2" t="s">
        <v>2389</v>
      </c>
      <c r="J503" s="2" t="s">
        <v>2389</v>
      </c>
      <c r="K503" s="2" t="s">
        <v>79</v>
      </c>
      <c r="L503" s="2"/>
      <c r="M503" s="2"/>
      <c r="N503" s="2" t="s">
        <v>145</v>
      </c>
      <c r="O503" s="2">
        <v>1.0</v>
      </c>
      <c r="P503" s="2">
        <v>0.0</v>
      </c>
      <c r="Q503" s="2">
        <v>0.0</v>
      </c>
      <c r="R503" s="2">
        <v>1.0</v>
      </c>
      <c r="S503" s="2">
        <v>0.0</v>
      </c>
      <c r="T503" s="2" t="s">
        <v>2390</v>
      </c>
    </row>
    <row r="504" ht="15.75" customHeight="1">
      <c r="A504" s="2" t="s">
        <v>2391</v>
      </c>
      <c r="B504" s="2" t="s">
        <v>2298</v>
      </c>
      <c r="C504" s="2" t="s">
        <v>74</v>
      </c>
      <c r="D504" s="2" t="s">
        <v>118</v>
      </c>
      <c r="E504" s="2" t="s">
        <v>135</v>
      </c>
      <c r="F504" s="2" t="s">
        <v>135</v>
      </c>
      <c r="G504" s="2" t="s">
        <v>135</v>
      </c>
      <c r="H504" s="2" t="s">
        <v>135</v>
      </c>
      <c r="I504" s="2" t="s">
        <v>2392</v>
      </c>
      <c r="J504" s="2" t="s">
        <v>2393</v>
      </c>
      <c r="K504" s="2" t="s">
        <v>135</v>
      </c>
      <c r="L504" s="2"/>
      <c r="M504" s="2"/>
      <c r="N504" s="2" t="s">
        <v>171</v>
      </c>
      <c r="O504" s="2">
        <v>1.0</v>
      </c>
      <c r="P504" s="2">
        <v>0.0</v>
      </c>
      <c r="Q504" s="2">
        <v>0.0</v>
      </c>
      <c r="R504" s="2">
        <v>1.0</v>
      </c>
      <c r="S504" s="2">
        <v>1.0</v>
      </c>
      <c r="T504" s="2" t="s">
        <v>2394</v>
      </c>
    </row>
    <row r="505" ht="15.75" customHeight="1">
      <c r="A505" s="2" t="s">
        <v>2395</v>
      </c>
      <c r="B505" s="2" t="s">
        <v>2298</v>
      </c>
      <c r="C505" s="2" t="s">
        <v>74</v>
      </c>
      <c r="D505" s="2" t="s">
        <v>149</v>
      </c>
      <c r="E505" s="2" t="s">
        <v>2342</v>
      </c>
      <c r="F505" s="2" t="s">
        <v>2342</v>
      </c>
      <c r="G505" s="2" t="s">
        <v>2342</v>
      </c>
      <c r="H505" s="2" t="s">
        <v>2342</v>
      </c>
      <c r="I505" s="2" t="s">
        <v>2396</v>
      </c>
      <c r="J505" s="2" t="s">
        <v>2397</v>
      </c>
      <c r="K505" s="2" t="s">
        <v>2342</v>
      </c>
      <c r="L505" s="2"/>
      <c r="M505" s="2"/>
      <c r="N505" s="2" t="s">
        <v>171</v>
      </c>
      <c r="O505" s="2">
        <v>1.0</v>
      </c>
      <c r="P505" s="2">
        <v>0.0</v>
      </c>
      <c r="Q505" s="2">
        <v>0.0</v>
      </c>
      <c r="R505" s="2">
        <v>1.0</v>
      </c>
      <c r="S505" s="2">
        <v>1.0</v>
      </c>
      <c r="T505" s="2" t="s">
        <v>2398</v>
      </c>
    </row>
    <row r="506" ht="15.75" customHeight="1">
      <c r="A506" s="2" t="s">
        <v>2399</v>
      </c>
      <c r="B506" s="2" t="s">
        <v>125</v>
      </c>
      <c r="C506" s="2" t="s">
        <v>74</v>
      </c>
      <c r="D506" s="2" t="s">
        <v>71</v>
      </c>
      <c r="E506" s="2" t="s">
        <v>2400</v>
      </c>
      <c r="F506" s="2" t="s">
        <v>2400</v>
      </c>
      <c r="G506" s="2" t="s">
        <v>2401</v>
      </c>
      <c r="H506" s="2" t="s">
        <v>2401</v>
      </c>
      <c r="I506" s="2" t="s">
        <v>2402</v>
      </c>
      <c r="J506" s="2" t="s">
        <v>2402</v>
      </c>
      <c r="K506" s="2" t="s">
        <v>2401</v>
      </c>
      <c r="L506" s="2"/>
      <c r="M506" s="2"/>
      <c r="N506" s="2" t="s">
        <v>145</v>
      </c>
      <c r="O506" s="2">
        <v>1.0</v>
      </c>
      <c r="P506" s="2">
        <v>0.0</v>
      </c>
      <c r="Q506" s="2">
        <v>0.0</v>
      </c>
      <c r="R506" s="2">
        <v>1.0</v>
      </c>
      <c r="S506" s="2">
        <v>0.0</v>
      </c>
      <c r="T506" s="2" t="s">
        <v>2403</v>
      </c>
    </row>
    <row r="507" ht="15.75" customHeight="1">
      <c r="A507" s="2" t="s">
        <v>2404</v>
      </c>
      <c r="B507" s="2" t="s">
        <v>125</v>
      </c>
      <c r="C507" s="2" t="s">
        <v>74</v>
      </c>
      <c r="D507" s="2" t="s">
        <v>75</v>
      </c>
      <c r="E507" s="2" t="s">
        <v>76</v>
      </c>
      <c r="F507" s="2" t="s">
        <v>76</v>
      </c>
      <c r="G507" s="2" t="s">
        <v>79</v>
      </c>
      <c r="H507" s="2" t="s">
        <v>79</v>
      </c>
      <c r="I507" s="2" t="s">
        <v>2405</v>
      </c>
      <c r="J507" s="2" t="s">
        <v>2406</v>
      </c>
      <c r="K507" s="2" t="s">
        <v>79</v>
      </c>
      <c r="L507" s="2"/>
      <c r="M507" s="2"/>
      <c r="N507" s="2" t="s">
        <v>171</v>
      </c>
      <c r="O507" s="2">
        <v>1.0</v>
      </c>
      <c r="P507" s="2">
        <v>0.0</v>
      </c>
      <c r="Q507" s="2">
        <v>0.0</v>
      </c>
      <c r="R507" s="2">
        <v>1.0</v>
      </c>
      <c r="S507" s="2">
        <v>1.0</v>
      </c>
      <c r="T507" s="2" t="s">
        <v>2408</v>
      </c>
    </row>
    <row r="508" ht="15.75" customHeight="1">
      <c r="A508" s="2" t="s">
        <v>124</v>
      </c>
      <c r="B508" s="2" t="s">
        <v>125</v>
      </c>
      <c r="C508" s="2" t="s">
        <v>74</v>
      </c>
      <c r="D508" s="2" t="s">
        <v>118</v>
      </c>
      <c r="E508" s="2" t="s">
        <v>126</v>
      </c>
      <c r="F508" s="2" t="s">
        <v>127</v>
      </c>
      <c r="G508" s="2" t="s">
        <v>128</v>
      </c>
      <c r="H508" s="2" t="s">
        <v>127</v>
      </c>
      <c r="I508" s="2" t="s">
        <v>129</v>
      </c>
      <c r="J508" s="2" t="s">
        <v>130</v>
      </c>
      <c r="K508" s="2" t="s">
        <v>127</v>
      </c>
      <c r="L508" s="2" t="s">
        <v>131</v>
      </c>
      <c r="M508" s="2"/>
      <c r="N508" s="2" t="s">
        <v>132</v>
      </c>
      <c r="O508" s="2">
        <v>1.0</v>
      </c>
      <c r="P508" s="2">
        <v>1.0</v>
      </c>
      <c r="Q508" s="2">
        <v>0.0</v>
      </c>
      <c r="R508" s="2">
        <v>0.0</v>
      </c>
      <c r="S508" s="2">
        <v>0.0</v>
      </c>
      <c r="T508" s="2" t="s">
        <v>133</v>
      </c>
    </row>
    <row r="509" ht="15.75" customHeight="1">
      <c r="A509" s="2" t="s">
        <v>2410</v>
      </c>
      <c r="B509" s="2" t="s">
        <v>125</v>
      </c>
      <c r="C509" s="2" t="s">
        <v>74</v>
      </c>
      <c r="D509" s="2" t="s">
        <v>149</v>
      </c>
      <c r="E509" s="2" t="s">
        <v>2411</v>
      </c>
      <c r="F509" s="2" t="s">
        <v>2411</v>
      </c>
      <c r="G509" s="2" t="s">
        <v>2411</v>
      </c>
      <c r="H509" s="2" t="s">
        <v>2411</v>
      </c>
      <c r="I509" s="2" t="s">
        <v>2412</v>
      </c>
      <c r="J509" s="2" t="s">
        <v>2413</v>
      </c>
      <c r="K509" s="2" t="s">
        <v>2411</v>
      </c>
      <c r="L509" s="2"/>
      <c r="M509" s="2"/>
      <c r="N509" s="2" t="s">
        <v>171</v>
      </c>
      <c r="O509" s="2">
        <v>1.0</v>
      </c>
      <c r="P509" s="2">
        <v>0.0</v>
      </c>
      <c r="Q509" s="2">
        <v>0.0</v>
      </c>
      <c r="R509" s="2">
        <v>1.0</v>
      </c>
      <c r="S509" s="2">
        <v>1.0</v>
      </c>
      <c r="T509" s="2" t="s">
        <v>2414</v>
      </c>
    </row>
    <row r="510" ht="15.75" customHeight="1">
      <c r="A510" s="2" t="s">
        <v>2415</v>
      </c>
      <c r="B510" s="2" t="s">
        <v>2341</v>
      </c>
      <c r="C510" s="2" t="s">
        <v>74</v>
      </c>
      <c r="D510" s="2" t="s">
        <v>71</v>
      </c>
      <c r="E510" s="2" t="s">
        <v>2416</v>
      </c>
      <c r="F510" s="2" t="s">
        <v>2416</v>
      </c>
      <c r="G510" s="2" t="s">
        <v>2417</v>
      </c>
      <c r="H510" s="2" t="s">
        <v>2417</v>
      </c>
      <c r="I510" s="2" t="s">
        <v>2418</v>
      </c>
      <c r="J510" s="2" t="s">
        <v>2418</v>
      </c>
      <c r="K510" s="2" t="s">
        <v>2417</v>
      </c>
      <c r="L510" s="2"/>
      <c r="M510" s="2"/>
      <c r="N510" s="2" t="s">
        <v>145</v>
      </c>
      <c r="O510" s="2">
        <v>1.0</v>
      </c>
      <c r="P510" s="2">
        <v>0.0</v>
      </c>
      <c r="Q510" s="2">
        <v>0.0</v>
      </c>
      <c r="R510" s="2">
        <v>1.0</v>
      </c>
      <c r="S510" s="2">
        <v>0.0</v>
      </c>
      <c r="T510" s="2" t="s">
        <v>2420</v>
      </c>
    </row>
    <row r="511" ht="15.75" customHeight="1">
      <c r="A511" s="2" t="s">
        <v>2422</v>
      </c>
      <c r="B511" s="2" t="s">
        <v>2341</v>
      </c>
      <c r="C511" s="2" t="s">
        <v>74</v>
      </c>
      <c r="D511" s="2" t="s">
        <v>75</v>
      </c>
      <c r="E511" s="2" t="s">
        <v>76</v>
      </c>
      <c r="F511" s="2" t="s">
        <v>76</v>
      </c>
      <c r="G511" s="2" t="s">
        <v>79</v>
      </c>
      <c r="H511" s="2" t="s">
        <v>79</v>
      </c>
      <c r="I511" s="2" t="s">
        <v>2423</v>
      </c>
      <c r="J511" s="2" t="s">
        <v>2423</v>
      </c>
      <c r="K511" s="2" t="s">
        <v>79</v>
      </c>
      <c r="L511" s="2"/>
      <c r="M511" s="2"/>
      <c r="N511" s="2" t="s">
        <v>145</v>
      </c>
      <c r="O511" s="2">
        <v>1.0</v>
      </c>
      <c r="P511" s="2">
        <v>0.0</v>
      </c>
      <c r="Q511" s="2">
        <v>0.0</v>
      </c>
      <c r="R511" s="2">
        <v>1.0</v>
      </c>
      <c r="S511" s="2">
        <v>0.0</v>
      </c>
      <c r="T511" s="2" t="s">
        <v>2424</v>
      </c>
    </row>
    <row r="512" ht="15.75" customHeight="1">
      <c r="A512" s="2" t="s">
        <v>2425</v>
      </c>
      <c r="B512" s="2" t="s">
        <v>2341</v>
      </c>
      <c r="C512" s="2" t="s">
        <v>74</v>
      </c>
      <c r="D512" s="2" t="s">
        <v>118</v>
      </c>
      <c r="E512" s="2" t="s">
        <v>135</v>
      </c>
      <c r="F512" s="2" t="s">
        <v>135</v>
      </c>
      <c r="G512" s="2" t="s">
        <v>135</v>
      </c>
      <c r="H512" s="2" t="s">
        <v>135</v>
      </c>
      <c r="I512" s="2" t="s">
        <v>2426</v>
      </c>
      <c r="J512" s="2" t="s">
        <v>2427</v>
      </c>
      <c r="K512" s="2" t="s">
        <v>135</v>
      </c>
      <c r="L512" s="2"/>
      <c r="M512" s="2"/>
      <c r="N512" s="2" t="s">
        <v>171</v>
      </c>
      <c r="O512" s="2">
        <v>1.0</v>
      </c>
      <c r="P512" s="2">
        <v>0.0</v>
      </c>
      <c r="Q512" s="2">
        <v>0.0</v>
      </c>
      <c r="R512" s="2">
        <v>1.0</v>
      </c>
      <c r="S512" s="2">
        <v>1.0</v>
      </c>
      <c r="T512" s="2" t="s">
        <v>2428</v>
      </c>
    </row>
    <row r="513" ht="15.75" customHeight="1">
      <c r="A513" s="2" t="s">
        <v>2429</v>
      </c>
      <c r="B513" s="2" t="s">
        <v>2341</v>
      </c>
      <c r="C513" s="2" t="s">
        <v>74</v>
      </c>
      <c r="D513" s="2" t="s">
        <v>149</v>
      </c>
      <c r="E513" s="2" t="s">
        <v>2342</v>
      </c>
      <c r="F513" s="2" t="s">
        <v>2342</v>
      </c>
      <c r="G513" s="2" t="s">
        <v>2342</v>
      </c>
      <c r="H513" s="2" t="s">
        <v>2342</v>
      </c>
      <c r="I513" s="2" t="s">
        <v>2430</v>
      </c>
      <c r="J513" s="2" t="s">
        <v>2431</v>
      </c>
      <c r="K513" s="2" t="s">
        <v>2342</v>
      </c>
      <c r="L513" s="2"/>
      <c r="M513" s="2"/>
      <c r="N513" s="2" t="s">
        <v>171</v>
      </c>
      <c r="O513" s="2">
        <v>1.0</v>
      </c>
      <c r="P513" s="2">
        <v>0.0</v>
      </c>
      <c r="Q513" s="2">
        <v>0.0</v>
      </c>
      <c r="R513" s="2">
        <v>1.0</v>
      </c>
      <c r="S513" s="2">
        <v>1.0</v>
      </c>
      <c r="T513" s="2" t="s">
        <v>2432</v>
      </c>
    </row>
    <row r="514" ht="15.75" customHeight="1">
      <c r="A514" s="2" t="s">
        <v>107</v>
      </c>
      <c r="B514" s="2" t="s">
        <v>108</v>
      </c>
      <c r="C514" s="2" t="s">
        <v>74</v>
      </c>
      <c r="D514" s="2" t="s">
        <v>71</v>
      </c>
      <c r="E514" s="2" t="s">
        <v>109</v>
      </c>
      <c r="F514" s="2" t="s">
        <v>110</v>
      </c>
      <c r="G514" s="2" t="s">
        <v>111</v>
      </c>
      <c r="H514" s="2" t="s">
        <v>112</v>
      </c>
      <c r="I514" s="2" t="s">
        <v>113</v>
      </c>
      <c r="J514" s="2" t="s">
        <v>114</v>
      </c>
      <c r="K514" s="2"/>
      <c r="L514" s="2" t="s">
        <v>111</v>
      </c>
      <c r="M514" s="2" t="s">
        <v>112</v>
      </c>
      <c r="N514" s="2" t="s">
        <v>86</v>
      </c>
      <c r="O514" s="2">
        <v>0.0</v>
      </c>
      <c r="P514" s="2">
        <v>1.0</v>
      </c>
      <c r="Q514" s="2">
        <v>1.0</v>
      </c>
      <c r="R514" s="2">
        <v>0.0</v>
      </c>
      <c r="S514" s="2">
        <v>0.0</v>
      </c>
      <c r="T514" s="2" t="s">
        <v>115</v>
      </c>
    </row>
    <row r="515" ht="15.75" customHeight="1">
      <c r="A515" s="2" t="s">
        <v>2435</v>
      </c>
      <c r="B515" s="2" t="s">
        <v>108</v>
      </c>
      <c r="C515" s="2" t="s">
        <v>74</v>
      </c>
      <c r="D515" s="2" t="s">
        <v>75</v>
      </c>
      <c r="E515" s="2" t="s">
        <v>76</v>
      </c>
      <c r="F515" s="2" t="s">
        <v>76</v>
      </c>
      <c r="G515" s="2" t="s">
        <v>79</v>
      </c>
      <c r="H515" s="2" t="s">
        <v>79</v>
      </c>
      <c r="I515" s="2" t="s">
        <v>2436</v>
      </c>
      <c r="J515" s="2" t="s">
        <v>2437</v>
      </c>
      <c r="K515" s="2" t="s">
        <v>79</v>
      </c>
      <c r="L515" s="2"/>
      <c r="M515" s="2"/>
      <c r="N515" s="2" t="s">
        <v>171</v>
      </c>
      <c r="O515" s="2">
        <v>1.0</v>
      </c>
      <c r="P515" s="2">
        <v>0.0</v>
      </c>
      <c r="Q515" s="2">
        <v>0.0</v>
      </c>
      <c r="R515" s="2">
        <v>1.0</v>
      </c>
      <c r="S515" s="2">
        <v>1.0</v>
      </c>
      <c r="T515" s="2" t="s">
        <v>2438</v>
      </c>
    </row>
    <row r="516" ht="15.75" customHeight="1">
      <c r="A516" s="2" t="s">
        <v>2440</v>
      </c>
      <c r="B516" s="2" t="s">
        <v>108</v>
      </c>
      <c r="C516" s="2" t="s">
        <v>74</v>
      </c>
      <c r="D516" s="2" t="s">
        <v>118</v>
      </c>
      <c r="E516" s="2" t="s">
        <v>2442</v>
      </c>
      <c r="F516" s="2" t="s">
        <v>2442</v>
      </c>
      <c r="G516" s="2" t="s">
        <v>2442</v>
      </c>
      <c r="H516" s="2" t="s">
        <v>2442</v>
      </c>
      <c r="I516" s="2" t="s">
        <v>2443</v>
      </c>
      <c r="J516" s="2" t="s">
        <v>2443</v>
      </c>
      <c r="K516" s="2" t="s">
        <v>2442</v>
      </c>
      <c r="L516" s="2"/>
      <c r="M516" s="2"/>
      <c r="N516" s="2" t="s">
        <v>145</v>
      </c>
      <c r="O516" s="2">
        <v>1.0</v>
      </c>
      <c r="P516" s="2">
        <v>0.0</v>
      </c>
      <c r="Q516" s="2">
        <v>0.0</v>
      </c>
      <c r="R516" s="2">
        <v>1.0</v>
      </c>
      <c r="S516" s="2">
        <v>0.0</v>
      </c>
      <c r="T516" s="2" t="s">
        <v>2444</v>
      </c>
    </row>
    <row r="517" ht="15.75" customHeight="1">
      <c r="A517" s="2" t="s">
        <v>2445</v>
      </c>
      <c r="B517" s="2" t="s">
        <v>108</v>
      </c>
      <c r="C517" s="2" t="s">
        <v>74</v>
      </c>
      <c r="D517" s="2" t="s">
        <v>149</v>
      </c>
      <c r="E517" s="2" t="s">
        <v>2342</v>
      </c>
      <c r="F517" s="2" t="s">
        <v>2342</v>
      </c>
      <c r="G517" s="2" t="s">
        <v>2342</v>
      </c>
      <c r="H517" s="2" t="s">
        <v>2342</v>
      </c>
      <c r="I517" s="2" t="s">
        <v>2446</v>
      </c>
      <c r="J517" s="2" t="s">
        <v>2447</v>
      </c>
      <c r="K517" s="2" t="s">
        <v>2342</v>
      </c>
      <c r="L517" s="2"/>
      <c r="M517" s="2"/>
      <c r="N517" s="2" t="s">
        <v>171</v>
      </c>
      <c r="O517" s="2">
        <v>1.0</v>
      </c>
      <c r="P517" s="2">
        <v>0.0</v>
      </c>
      <c r="Q517" s="2">
        <v>0.0</v>
      </c>
      <c r="R517" s="2">
        <v>1.0</v>
      </c>
      <c r="S517" s="2">
        <v>1.0</v>
      </c>
      <c r="T517" s="2" t="s">
        <v>2448</v>
      </c>
    </row>
    <row r="518" ht="15.75" customHeight="1">
      <c r="A518" s="2" t="s">
        <v>2449</v>
      </c>
      <c r="B518" s="2" t="s">
        <v>2375</v>
      </c>
      <c r="C518" s="2" t="s">
        <v>74</v>
      </c>
      <c r="D518" s="2" t="s">
        <v>71</v>
      </c>
      <c r="E518" s="2" t="s">
        <v>2452</v>
      </c>
      <c r="F518" s="2" t="s">
        <v>2452</v>
      </c>
      <c r="G518" s="2" t="s">
        <v>2453</v>
      </c>
      <c r="H518" s="2" t="s">
        <v>2453</v>
      </c>
      <c r="I518" s="2" t="s">
        <v>2454</v>
      </c>
      <c r="J518" s="2" t="s">
        <v>2454</v>
      </c>
      <c r="K518" s="2" t="s">
        <v>2453</v>
      </c>
      <c r="L518" s="2"/>
      <c r="M518" s="2"/>
      <c r="N518" s="2" t="s">
        <v>145</v>
      </c>
      <c r="O518" s="2">
        <v>1.0</v>
      </c>
      <c r="P518" s="2">
        <v>0.0</v>
      </c>
      <c r="Q518" s="2">
        <v>0.0</v>
      </c>
      <c r="R518" s="2">
        <v>1.0</v>
      </c>
      <c r="S518" s="2">
        <v>0.0</v>
      </c>
      <c r="T518" s="2" t="s">
        <v>2455</v>
      </c>
    </row>
    <row r="519" ht="15.75" customHeight="1">
      <c r="A519" s="2" t="s">
        <v>2456</v>
      </c>
      <c r="B519" s="2" t="s">
        <v>2375</v>
      </c>
      <c r="C519" s="2" t="s">
        <v>74</v>
      </c>
      <c r="D519" s="2" t="s">
        <v>75</v>
      </c>
      <c r="E519" s="2" t="s">
        <v>76</v>
      </c>
      <c r="F519" s="2" t="s">
        <v>76</v>
      </c>
      <c r="G519" s="2" t="s">
        <v>79</v>
      </c>
      <c r="H519" s="2" t="s">
        <v>79</v>
      </c>
      <c r="I519" s="2" t="s">
        <v>2457</v>
      </c>
      <c r="J519" s="2" t="s">
        <v>2457</v>
      </c>
      <c r="K519" s="2" t="s">
        <v>79</v>
      </c>
      <c r="L519" s="2"/>
      <c r="M519" s="2"/>
      <c r="N519" s="2" t="s">
        <v>145</v>
      </c>
      <c r="O519" s="2">
        <v>1.0</v>
      </c>
      <c r="P519" s="2">
        <v>0.0</v>
      </c>
      <c r="Q519" s="2">
        <v>0.0</v>
      </c>
      <c r="R519" s="2">
        <v>1.0</v>
      </c>
      <c r="S519" s="2">
        <v>0.0</v>
      </c>
      <c r="T519" s="2" t="s">
        <v>2460</v>
      </c>
    </row>
    <row r="520" ht="15.75" customHeight="1">
      <c r="A520" s="2" t="s">
        <v>2461</v>
      </c>
      <c r="B520" s="2" t="s">
        <v>2375</v>
      </c>
      <c r="C520" s="2" t="s">
        <v>74</v>
      </c>
      <c r="D520" s="2" t="s">
        <v>118</v>
      </c>
      <c r="E520" s="2" t="s">
        <v>2462</v>
      </c>
      <c r="F520" s="2" t="s">
        <v>2462</v>
      </c>
      <c r="G520" s="2" t="s">
        <v>2462</v>
      </c>
      <c r="H520" s="2" t="s">
        <v>2462</v>
      </c>
      <c r="I520" s="2" t="s">
        <v>2463</v>
      </c>
      <c r="J520" s="2" t="s">
        <v>2464</v>
      </c>
      <c r="K520" s="2" t="s">
        <v>2462</v>
      </c>
      <c r="L520" s="2"/>
      <c r="M520" s="2"/>
      <c r="N520" s="2" t="s">
        <v>171</v>
      </c>
      <c r="O520" s="2">
        <v>1.0</v>
      </c>
      <c r="P520" s="2">
        <v>0.0</v>
      </c>
      <c r="Q520" s="2">
        <v>0.0</v>
      </c>
      <c r="R520" s="2">
        <v>1.0</v>
      </c>
      <c r="S520" s="2">
        <v>1.0</v>
      </c>
      <c r="T520" s="2" t="s">
        <v>2465</v>
      </c>
    </row>
    <row r="521" ht="15.75" customHeight="1">
      <c r="A521" s="2" t="s">
        <v>2466</v>
      </c>
      <c r="B521" s="2" t="s">
        <v>2375</v>
      </c>
      <c r="C521" s="2" t="s">
        <v>74</v>
      </c>
      <c r="D521" s="2" t="s">
        <v>149</v>
      </c>
      <c r="E521" s="2" t="s">
        <v>1096</v>
      </c>
      <c r="F521" s="2" t="s">
        <v>1096</v>
      </c>
      <c r="G521" s="2" t="s">
        <v>1096</v>
      </c>
      <c r="H521" s="2" t="s">
        <v>1096</v>
      </c>
      <c r="I521" s="2" t="s">
        <v>2467</v>
      </c>
      <c r="J521" s="2" t="s">
        <v>2467</v>
      </c>
      <c r="K521" s="2" t="s">
        <v>1096</v>
      </c>
      <c r="L521" s="2"/>
      <c r="M521" s="2"/>
      <c r="N521" s="2" t="s">
        <v>145</v>
      </c>
      <c r="O521" s="2">
        <v>1.0</v>
      </c>
      <c r="P521" s="2">
        <v>0.0</v>
      </c>
      <c r="Q521" s="2">
        <v>0.0</v>
      </c>
      <c r="R521" s="2">
        <v>1.0</v>
      </c>
      <c r="S521" s="2">
        <v>0.0</v>
      </c>
      <c r="T521" s="2" t="s">
        <v>2470</v>
      </c>
    </row>
    <row r="522" ht="15.75" customHeight="1">
      <c r="A522" s="2" t="s">
        <v>2471</v>
      </c>
      <c r="B522" s="2" t="s">
        <v>2381</v>
      </c>
      <c r="C522" s="2" t="s">
        <v>74</v>
      </c>
      <c r="D522" s="2" t="s">
        <v>71</v>
      </c>
      <c r="E522" s="2" t="s">
        <v>2472</v>
      </c>
      <c r="F522" s="2" t="s">
        <v>2472</v>
      </c>
      <c r="G522" s="2" t="s">
        <v>2473</v>
      </c>
      <c r="H522" s="2" t="s">
        <v>2473</v>
      </c>
      <c r="I522" s="2" t="s">
        <v>2474</v>
      </c>
      <c r="J522" s="2" t="s">
        <v>2474</v>
      </c>
      <c r="K522" s="2" t="s">
        <v>2473</v>
      </c>
      <c r="L522" s="2"/>
      <c r="M522" s="2"/>
      <c r="N522" s="2" t="s">
        <v>145</v>
      </c>
      <c r="O522" s="2">
        <v>1.0</v>
      </c>
      <c r="P522" s="2">
        <v>0.0</v>
      </c>
      <c r="Q522" s="2">
        <v>0.0</v>
      </c>
      <c r="R522" s="2">
        <v>1.0</v>
      </c>
      <c r="S522" s="2">
        <v>0.0</v>
      </c>
      <c r="T522" s="2" t="s">
        <v>2475</v>
      </c>
    </row>
    <row r="523" ht="15.75" customHeight="1">
      <c r="A523" s="2" t="s">
        <v>2476</v>
      </c>
      <c r="B523" s="2" t="s">
        <v>2381</v>
      </c>
      <c r="C523" s="2" t="s">
        <v>74</v>
      </c>
      <c r="D523" s="2" t="s">
        <v>75</v>
      </c>
      <c r="E523" s="2" t="s">
        <v>2477</v>
      </c>
      <c r="F523" s="2" t="s">
        <v>2477</v>
      </c>
      <c r="G523" s="2" t="s">
        <v>79</v>
      </c>
      <c r="H523" s="2" t="s">
        <v>79</v>
      </c>
      <c r="I523" s="2" t="s">
        <v>2478</v>
      </c>
      <c r="J523" s="2" t="s">
        <v>2478</v>
      </c>
      <c r="K523" s="2" t="s">
        <v>79</v>
      </c>
      <c r="L523" s="2"/>
      <c r="M523" s="2"/>
      <c r="N523" s="2" t="s">
        <v>145</v>
      </c>
      <c r="O523" s="2">
        <v>1.0</v>
      </c>
      <c r="P523" s="2">
        <v>0.0</v>
      </c>
      <c r="Q523" s="2">
        <v>0.0</v>
      </c>
      <c r="R523" s="2">
        <v>1.0</v>
      </c>
      <c r="S523" s="2">
        <v>0.0</v>
      </c>
      <c r="T523" s="2" t="s">
        <v>2481</v>
      </c>
    </row>
    <row r="524" ht="15.75" customHeight="1">
      <c r="A524" s="2" t="s">
        <v>2482</v>
      </c>
      <c r="B524" s="2" t="s">
        <v>2381</v>
      </c>
      <c r="C524" s="2" t="s">
        <v>74</v>
      </c>
      <c r="D524" s="2" t="s">
        <v>118</v>
      </c>
      <c r="E524" s="2" t="s">
        <v>415</v>
      </c>
      <c r="F524" s="2" t="s">
        <v>415</v>
      </c>
      <c r="G524" s="2" t="s">
        <v>415</v>
      </c>
      <c r="H524" s="2" t="s">
        <v>415</v>
      </c>
      <c r="I524" s="2" t="s">
        <v>2483</v>
      </c>
      <c r="J524" s="2" t="s">
        <v>2484</v>
      </c>
      <c r="K524" s="2" t="s">
        <v>415</v>
      </c>
      <c r="L524" s="2"/>
      <c r="M524" s="2"/>
      <c r="N524" s="2" t="s">
        <v>171</v>
      </c>
      <c r="O524" s="2">
        <v>1.0</v>
      </c>
      <c r="P524" s="2">
        <v>0.0</v>
      </c>
      <c r="Q524" s="2">
        <v>0.0</v>
      </c>
      <c r="R524" s="2">
        <v>1.0</v>
      </c>
      <c r="S524" s="2">
        <v>1.0</v>
      </c>
      <c r="T524" s="2" t="s">
        <v>2485</v>
      </c>
    </row>
    <row r="525" ht="15.75" customHeight="1">
      <c r="A525" s="2" t="s">
        <v>2486</v>
      </c>
      <c r="B525" s="2" t="s">
        <v>2381</v>
      </c>
      <c r="C525" s="2" t="s">
        <v>74</v>
      </c>
      <c r="D525" s="2" t="s">
        <v>149</v>
      </c>
      <c r="E525" s="2" t="s">
        <v>1492</v>
      </c>
      <c r="F525" s="2" t="s">
        <v>1492</v>
      </c>
      <c r="G525" s="2" t="s">
        <v>1492</v>
      </c>
      <c r="H525" s="2" t="s">
        <v>1492</v>
      </c>
      <c r="I525" s="2" t="s">
        <v>2488</v>
      </c>
      <c r="J525" s="2" t="s">
        <v>2489</v>
      </c>
      <c r="K525" s="2" t="s">
        <v>1492</v>
      </c>
      <c r="L525" s="2"/>
      <c r="M525" s="2"/>
      <c r="N525" s="2" t="s">
        <v>171</v>
      </c>
      <c r="O525" s="2">
        <v>1.0</v>
      </c>
      <c r="P525" s="2">
        <v>0.0</v>
      </c>
      <c r="Q525" s="2">
        <v>0.0</v>
      </c>
      <c r="R525" s="2">
        <v>1.0</v>
      </c>
      <c r="S525" s="2">
        <v>1.0</v>
      </c>
      <c r="T525" s="2" t="s">
        <v>2490</v>
      </c>
    </row>
    <row r="526" ht="15.75" customHeight="1">
      <c r="A526" s="2" t="s">
        <v>2491</v>
      </c>
      <c r="B526" s="2" t="s">
        <v>2409</v>
      </c>
      <c r="C526" s="2" t="s">
        <v>74</v>
      </c>
      <c r="D526" s="2" t="s">
        <v>71</v>
      </c>
      <c r="E526" s="2" t="s">
        <v>2492</v>
      </c>
      <c r="F526" s="2" t="s">
        <v>2492</v>
      </c>
      <c r="G526" s="2" t="s">
        <v>2493</v>
      </c>
      <c r="H526" s="2" t="s">
        <v>2493</v>
      </c>
      <c r="I526" s="2" t="s">
        <v>2494</v>
      </c>
      <c r="J526" s="2" t="s">
        <v>2494</v>
      </c>
      <c r="K526" s="2" t="s">
        <v>2493</v>
      </c>
      <c r="L526" s="2"/>
      <c r="M526" s="2"/>
      <c r="N526" s="2" t="s">
        <v>145</v>
      </c>
      <c r="O526" s="2">
        <v>1.0</v>
      </c>
      <c r="P526" s="2">
        <v>0.0</v>
      </c>
      <c r="Q526" s="2">
        <v>0.0</v>
      </c>
      <c r="R526" s="2">
        <v>1.0</v>
      </c>
      <c r="S526" s="2">
        <v>0.0</v>
      </c>
      <c r="T526" s="2" t="s">
        <v>2495</v>
      </c>
    </row>
    <row r="527" ht="15.75" customHeight="1">
      <c r="A527" s="2" t="s">
        <v>2496</v>
      </c>
      <c r="B527" s="2" t="s">
        <v>2409</v>
      </c>
      <c r="C527" s="2" t="s">
        <v>74</v>
      </c>
      <c r="D527" s="2" t="s">
        <v>75</v>
      </c>
      <c r="E527" s="2" t="s">
        <v>76</v>
      </c>
      <c r="F527" s="2" t="s">
        <v>76</v>
      </c>
      <c r="G527" s="2" t="s">
        <v>79</v>
      </c>
      <c r="H527" s="2" t="s">
        <v>79</v>
      </c>
      <c r="I527" s="2" t="s">
        <v>2497</v>
      </c>
      <c r="J527" s="2" t="s">
        <v>2497</v>
      </c>
      <c r="K527" s="2" t="s">
        <v>79</v>
      </c>
      <c r="L527" s="2"/>
      <c r="M527" s="2"/>
      <c r="N527" s="2" t="s">
        <v>145</v>
      </c>
      <c r="O527" s="2">
        <v>1.0</v>
      </c>
      <c r="P527" s="2">
        <v>0.0</v>
      </c>
      <c r="Q527" s="2">
        <v>0.0</v>
      </c>
      <c r="R527" s="2">
        <v>1.0</v>
      </c>
      <c r="S527" s="2">
        <v>0.0</v>
      </c>
      <c r="T527" s="2" t="s">
        <v>2499</v>
      </c>
    </row>
    <row r="528" ht="15.75" customHeight="1">
      <c r="A528" s="2" t="s">
        <v>2500</v>
      </c>
      <c r="B528" s="2" t="s">
        <v>2409</v>
      </c>
      <c r="C528" s="2" t="s">
        <v>74</v>
      </c>
      <c r="D528" s="2" t="s">
        <v>118</v>
      </c>
      <c r="E528" s="2" t="s">
        <v>415</v>
      </c>
      <c r="F528" s="2" t="s">
        <v>415</v>
      </c>
      <c r="G528" s="2" t="s">
        <v>415</v>
      </c>
      <c r="H528" s="2" t="s">
        <v>415</v>
      </c>
      <c r="I528" s="2" t="s">
        <v>2501</v>
      </c>
      <c r="J528" s="2" t="s">
        <v>2502</v>
      </c>
      <c r="K528" s="2" t="s">
        <v>415</v>
      </c>
      <c r="L528" s="2"/>
      <c r="M528" s="2"/>
      <c r="N528" s="2" t="s">
        <v>171</v>
      </c>
      <c r="O528" s="2">
        <v>1.0</v>
      </c>
      <c r="P528" s="2">
        <v>0.0</v>
      </c>
      <c r="Q528" s="2">
        <v>0.0</v>
      </c>
      <c r="R528" s="2">
        <v>1.0</v>
      </c>
      <c r="S528" s="2">
        <v>1.0</v>
      </c>
      <c r="T528" s="2" t="s">
        <v>2503</v>
      </c>
    </row>
    <row r="529" ht="15.75" customHeight="1">
      <c r="A529" s="2" t="s">
        <v>2504</v>
      </c>
      <c r="B529" s="2" t="s">
        <v>2409</v>
      </c>
      <c r="C529" s="2" t="s">
        <v>74</v>
      </c>
      <c r="D529" s="2" t="s">
        <v>149</v>
      </c>
      <c r="E529" s="2" t="s">
        <v>1492</v>
      </c>
      <c r="F529" s="2" t="s">
        <v>1492</v>
      </c>
      <c r="G529" s="2" t="s">
        <v>1492</v>
      </c>
      <c r="H529" s="2" t="s">
        <v>1492</v>
      </c>
      <c r="I529" s="2" t="s">
        <v>2505</v>
      </c>
      <c r="J529" s="2" t="s">
        <v>2506</v>
      </c>
      <c r="K529" s="2" t="s">
        <v>1492</v>
      </c>
      <c r="L529" s="2"/>
      <c r="M529" s="2"/>
      <c r="N529" s="2" t="s">
        <v>171</v>
      </c>
      <c r="O529" s="2">
        <v>1.0</v>
      </c>
      <c r="P529" s="2">
        <v>0.0</v>
      </c>
      <c r="Q529" s="2">
        <v>0.0</v>
      </c>
      <c r="R529" s="2">
        <v>1.0</v>
      </c>
      <c r="S529" s="2">
        <v>1.0</v>
      </c>
      <c r="T529" s="2" t="s">
        <v>2507</v>
      </c>
    </row>
    <row r="530" ht="15.75" customHeight="1">
      <c r="A530" s="2" t="s">
        <v>2508</v>
      </c>
      <c r="B530" s="2" t="s">
        <v>2421</v>
      </c>
      <c r="C530" s="2" t="s">
        <v>270</v>
      </c>
      <c r="D530" s="2" t="s">
        <v>71</v>
      </c>
      <c r="E530" s="2" t="s">
        <v>873</v>
      </c>
      <c r="F530" s="2" t="s">
        <v>873</v>
      </c>
      <c r="G530" s="2" t="s">
        <v>874</v>
      </c>
      <c r="H530" s="2" t="s">
        <v>874</v>
      </c>
      <c r="I530" s="2" t="s">
        <v>2509</v>
      </c>
      <c r="J530" s="2" t="s">
        <v>2509</v>
      </c>
      <c r="K530" s="2" t="s">
        <v>874</v>
      </c>
      <c r="L530" s="2"/>
      <c r="M530" s="2"/>
      <c r="N530" s="2" t="s">
        <v>145</v>
      </c>
      <c r="O530" s="2">
        <v>1.0</v>
      </c>
      <c r="P530" s="2">
        <v>0.0</v>
      </c>
      <c r="Q530" s="2">
        <v>0.0</v>
      </c>
      <c r="R530" s="2">
        <v>1.0</v>
      </c>
      <c r="S530" s="2">
        <v>0.0</v>
      </c>
      <c r="T530" s="2" t="s">
        <v>2510</v>
      </c>
    </row>
    <row r="531" ht="15.75" customHeight="1">
      <c r="A531" s="2" t="s">
        <v>2511</v>
      </c>
      <c r="B531" s="2" t="s">
        <v>2421</v>
      </c>
      <c r="C531" s="2" t="s">
        <v>270</v>
      </c>
      <c r="D531" s="2" t="s">
        <v>75</v>
      </c>
      <c r="E531" s="2" t="s">
        <v>271</v>
      </c>
      <c r="F531" s="2" t="s">
        <v>271</v>
      </c>
      <c r="G531" s="2" t="s">
        <v>273</v>
      </c>
      <c r="H531" s="2" t="s">
        <v>273</v>
      </c>
      <c r="I531" s="2" t="s">
        <v>2512</v>
      </c>
      <c r="J531" s="2" t="s">
        <v>2512</v>
      </c>
      <c r="K531" s="2" t="s">
        <v>273</v>
      </c>
      <c r="L531" s="2"/>
      <c r="M531" s="2"/>
      <c r="N531" s="2" t="s">
        <v>145</v>
      </c>
      <c r="O531" s="2">
        <v>1.0</v>
      </c>
      <c r="P531" s="2">
        <v>0.0</v>
      </c>
      <c r="Q531" s="2">
        <v>0.0</v>
      </c>
      <c r="R531" s="2">
        <v>1.0</v>
      </c>
      <c r="S531" s="2">
        <v>0.0</v>
      </c>
      <c r="T531" s="2" t="s">
        <v>2513</v>
      </c>
    </row>
    <row r="532" ht="15.75" customHeight="1">
      <c r="A532" s="2" t="s">
        <v>2514</v>
      </c>
      <c r="B532" s="2" t="s">
        <v>2421</v>
      </c>
      <c r="C532" s="2" t="s">
        <v>270</v>
      </c>
      <c r="D532" s="2" t="s">
        <v>118</v>
      </c>
      <c r="E532" s="2" t="s">
        <v>508</v>
      </c>
      <c r="F532" s="2" t="s">
        <v>508</v>
      </c>
      <c r="G532" s="2" t="s">
        <v>508</v>
      </c>
      <c r="H532" s="2" t="s">
        <v>508</v>
      </c>
      <c r="I532" s="2" t="s">
        <v>2515</v>
      </c>
      <c r="J532" s="2" t="s">
        <v>2516</v>
      </c>
      <c r="K532" s="2" t="s">
        <v>508</v>
      </c>
      <c r="L532" s="2"/>
      <c r="M532" s="2"/>
      <c r="N532" s="2" t="s">
        <v>171</v>
      </c>
      <c r="O532" s="2">
        <v>1.0</v>
      </c>
      <c r="P532" s="2">
        <v>0.0</v>
      </c>
      <c r="Q532" s="2">
        <v>0.0</v>
      </c>
      <c r="R532" s="2">
        <v>1.0</v>
      </c>
      <c r="S532" s="2">
        <v>1.0</v>
      </c>
      <c r="T532" s="2" t="s">
        <v>972</v>
      </c>
    </row>
    <row r="533" ht="15.75" customHeight="1">
      <c r="A533" s="2" t="s">
        <v>2517</v>
      </c>
      <c r="B533" s="2" t="s">
        <v>2421</v>
      </c>
      <c r="C533" s="2" t="s">
        <v>270</v>
      </c>
      <c r="D533" s="2" t="s">
        <v>149</v>
      </c>
      <c r="E533" s="2" t="s">
        <v>165</v>
      </c>
      <c r="F533" s="2" t="s">
        <v>165</v>
      </c>
      <c r="G533" s="2" t="s">
        <v>165</v>
      </c>
      <c r="H533" s="2" t="s">
        <v>165</v>
      </c>
      <c r="I533" s="2" t="s">
        <v>2518</v>
      </c>
      <c r="J533" s="2" t="s">
        <v>2519</v>
      </c>
      <c r="K533" s="2" t="s">
        <v>165</v>
      </c>
      <c r="L533" s="2"/>
      <c r="M533" s="2"/>
      <c r="N533" s="2" t="s">
        <v>171</v>
      </c>
      <c r="O533" s="2">
        <v>1.0</v>
      </c>
      <c r="P533" s="2">
        <v>0.0</v>
      </c>
      <c r="Q533" s="2">
        <v>0.0</v>
      </c>
      <c r="R533" s="2">
        <v>1.0</v>
      </c>
      <c r="S533" s="2">
        <v>1.0</v>
      </c>
      <c r="T533" s="2" t="s">
        <v>980</v>
      </c>
    </row>
    <row r="534" ht="15.75" customHeight="1">
      <c r="A534" s="2" t="s">
        <v>2520</v>
      </c>
      <c r="B534" s="2" t="s">
        <v>2434</v>
      </c>
      <c r="C534" s="2" t="s">
        <v>519</v>
      </c>
      <c r="D534" s="2" t="s">
        <v>71</v>
      </c>
      <c r="E534" s="2" t="s">
        <v>2521</v>
      </c>
      <c r="F534" s="2" t="s">
        <v>2521</v>
      </c>
      <c r="G534" s="2" t="s">
        <v>647</v>
      </c>
      <c r="H534" s="2" t="s">
        <v>647</v>
      </c>
      <c r="I534" s="2" t="s">
        <v>2522</v>
      </c>
      <c r="J534" s="2" t="s">
        <v>2522</v>
      </c>
      <c r="K534" s="2" t="s">
        <v>647</v>
      </c>
      <c r="L534" s="2"/>
      <c r="M534" s="2"/>
      <c r="N534" s="2" t="s">
        <v>145</v>
      </c>
      <c r="O534" s="2">
        <v>1.0</v>
      </c>
      <c r="P534" s="2">
        <v>0.0</v>
      </c>
      <c r="Q534" s="2">
        <v>0.0</v>
      </c>
      <c r="R534" s="2">
        <v>1.0</v>
      </c>
      <c r="S534" s="2">
        <v>0.0</v>
      </c>
      <c r="T534" s="2" t="s">
        <v>2523</v>
      </c>
    </row>
    <row r="535" ht="15.75" customHeight="1">
      <c r="A535" s="2" t="s">
        <v>2524</v>
      </c>
      <c r="B535" s="2" t="s">
        <v>2434</v>
      </c>
      <c r="C535" s="2" t="s">
        <v>519</v>
      </c>
      <c r="D535" s="2" t="s">
        <v>75</v>
      </c>
      <c r="E535" s="2" t="s">
        <v>1470</v>
      </c>
      <c r="F535" s="2" t="s">
        <v>1471</v>
      </c>
      <c r="G535" s="2" t="s">
        <v>524</v>
      </c>
      <c r="H535" s="2" t="s">
        <v>524</v>
      </c>
      <c r="I535" s="2" t="s">
        <v>2525</v>
      </c>
      <c r="J535" s="2" t="s">
        <v>1473</v>
      </c>
      <c r="K535" s="2" t="s">
        <v>524</v>
      </c>
      <c r="L535" s="2"/>
      <c r="M535" s="2"/>
      <c r="N535" s="2" t="s">
        <v>171</v>
      </c>
      <c r="O535" s="2">
        <v>1.0</v>
      </c>
      <c r="P535" s="2">
        <v>0.0</v>
      </c>
      <c r="Q535" s="2">
        <v>0.0</v>
      </c>
      <c r="R535" s="2">
        <v>1.0</v>
      </c>
      <c r="S535" s="2">
        <v>1.0</v>
      </c>
      <c r="T535" s="2" t="s">
        <v>2526</v>
      </c>
    </row>
    <row r="536" ht="15.75" customHeight="1">
      <c r="A536" s="2" t="s">
        <v>2527</v>
      </c>
      <c r="B536" s="2" t="s">
        <v>2434</v>
      </c>
      <c r="C536" s="2" t="s">
        <v>519</v>
      </c>
      <c r="D536" s="2" t="s">
        <v>118</v>
      </c>
      <c r="E536" s="2" t="s">
        <v>415</v>
      </c>
      <c r="F536" s="2" t="s">
        <v>415</v>
      </c>
      <c r="G536" s="2" t="s">
        <v>415</v>
      </c>
      <c r="H536" s="2" t="s">
        <v>415</v>
      </c>
      <c r="I536" s="2" t="s">
        <v>2528</v>
      </c>
      <c r="J536" s="2" t="s">
        <v>2529</v>
      </c>
      <c r="K536" s="2" t="s">
        <v>415</v>
      </c>
      <c r="L536" s="2"/>
      <c r="M536" s="2"/>
      <c r="N536" s="2" t="s">
        <v>171</v>
      </c>
      <c r="O536" s="2">
        <v>1.0</v>
      </c>
      <c r="P536" s="2">
        <v>0.0</v>
      </c>
      <c r="Q536" s="2">
        <v>0.0</v>
      </c>
      <c r="R536" s="2">
        <v>1.0</v>
      </c>
      <c r="S536" s="2">
        <v>1.0</v>
      </c>
      <c r="T536" s="2" t="s">
        <v>2530</v>
      </c>
    </row>
    <row r="537" ht="15.75" customHeight="1">
      <c r="A537" s="2" t="s">
        <v>2531</v>
      </c>
      <c r="B537" s="2" t="s">
        <v>2434</v>
      </c>
      <c r="C537" s="2" t="s">
        <v>519</v>
      </c>
      <c r="D537" s="2" t="s">
        <v>149</v>
      </c>
      <c r="E537" s="2" t="s">
        <v>2532</v>
      </c>
      <c r="F537" s="2" t="s">
        <v>2532</v>
      </c>
      <c r="G537" s="2" t="s">
        <v>2532</v>
      </c>
      <c r="H537" s="2" t="s">
        <v>2532</v>
      </c>
      <c r="I537" s="2" t="s">
        <v>2533</v>
      </c>
      <c r="J537" s="2" t="s">
        <v>2533</v>
      </c>
      <c r="K537" s="2" t="s">
        <v>2532</v>
      </c>
      <c r="L537" s="2"/>
      <c r="M537" s="2"/>
      <c r="N537" s="2" t="s">
        <v>145</v>
      </c>
      <c r="O537" s="2">
        <v>1.0</v>
      </c>
      <c r="P537" s="2">
        <v>0.0</v>
      </c>
      <c r="Q537" s="2">
        <v>0.0</v>
      </c>
      <c r="R537" s="2">
        <v>1.0</v>
      </c>
      <c r="S537" s="2">
        <v>0.0</v>
      </c>
      <c r="T537" s="2" t="s">
        <v>2534</v>
      </c>
    </row>
    <row r="538" ht="15.75" customHeight="1">
      <c r="A538" s="2" t="s">
        <v>2535</v>
      </c>
      <c r="B538" s="2" t="s">
        <v>2441</v>
      </c>
      <c r="C538" s="2" t="s">
        <v>694</v>
      </c>
      <c r="D538" s="2" t="s">
        <v>71</v>
      </c>
      <c r="E538" s="2"/>
      <c r="F538" s="2"/>
      <c r="G538" s="2" t="s">
        <v>93</v>
      </c>
      <c r="H538" s="2" t="s">
        <v>93</v>
      </c>
      <c r="I538" s="2"/>
      <c r="J538" s="2"/>
      <c r="K538" s="2"/>
      <c r="L538" s="2"/>
      <c r="M538" s="2"/>
      <c r="N538" s="2" t="s">
        <v>145</v>
      </c>
      <c r="O538" s="2">
        <v>0.0</v>
      </c>
      <c r="P538" s="2">
        <v>0.0</v>
      </c>
      <c r="Q538" s="2">
        <v>0.0</v>
      </c>
      <c r="R538" s="2">
        <v>1.0</v>
      </c>
      <c r="S538" s="2">
        <v>0.0</v>
      </c>
      <c r="T538" s="2"/>
    </row>
    <row r="539" ht="15.75" customHeight="1">
      <c r="A539" s="2" t="s">
        <v>2536</v>
      </c>
      <c r="B539" s="2" t="s">
        <v>2441</v>
      </c>
      <c r="C539" s="2" t="s">
        <v>694</v>
      </c>
      <c r="D539" s="2" t="s">
        <v>75</v>
      </c>
      <c r="E539" s="2" t="s">
        <v>2138</v>
      </c>
      <c r="F539" s="2" t="s">
        <v>2138</v>
      </c>
      <c r="G539" s="2" t="s">
        <v>2139</v>
      </c>
      <c r="H539" s="2" t="s">
        <v>2139</v>
      </c>
      <c r="I539" s="2" t="s">
        <v>2537</v>
      </c>
      <c r="J539" s="2" t="s">
        <v>2537</v>
      </c>
      <c r="K539" s="2" t="s">
        <v>2139</v>
      </c>
      <c r="L539" s="2"/>
      <c r="M539" s="2"/>
      <c r="N539" s="2" t="s">
        <v>145</v>
      </c>
      <c r="O539" s="2">
        <v>1.0</v>
      </c>
      <c r="P539" s="2">
        <v>0.0</v>
      </c>
      <c r="Q539" s="2">
        <v>0.0</v>
      </c>
      <c r="R539" s="2">
        <v>1.0</v>
      </c>
      <c r="S539" s="2">
        <v>0.0</v>
      </c>
      <c r="T539" s="2" t="s">
        <v>2538</v>
      </c>
    </row>
    <row r="540" ht="15.75" customHeight="1">
      <c r="A540" s="2" t="s">
        <v>2539</v>
      </c>
      <c r="B540" s="2" t="s">
        <v>2441</v>
      </c>
      <c r="C540" s="2" t="s">
        <v>694</v>
      </c>
      <c r="D540" s="2" t="s">
        <v>118</v>
      </c>
      <c r="E540" s="2" t="s">
        <v>226</v>
      </c>
      <c r="F540" s="2" t="s">
        <v>226</v>
      </c>
      <c r="G540" s="2" t="s">
        <v>226</v>
      </c>
      <c r="H540" s="2" t="s">
        <v>226</v>
      </c>
      <c r="I540" s="2" t="s">
        <v>881</v>
      </c>
      <c r="J540" s="2" t="s">
        <v>869</v>
      </c>
      <c r="K540" s="2" t="s">
        <v>226</v>
      </c>
      <c r="L540" s="2"/>
      <c r="M540" s="2"/>
      <c r="N540" s="2" t="s">
        <v>171</v>
      </c>
      <c r="O540" s="2">
        <v>1.0</v>
      </c>
      <c r="P540" s="2">
        <v>0.0</v>
      </c>
      <c r="Q540" s="2">
        <v>0.0</v>
      </c>
      <c r="R540" s="2">
        <v>1.0</v>
      </c>
      <c r="S540" s="2">
        <v>1.0</v>
      </c>
      <c r="T540" s="2" t="s">
        <v>2540</v>
      </c>
    </row>
    <row r="541" ht="15.75" customHeight="1">
      <c r="A541" s="2" t="s">
        <v>2541</v>
      </c>
      <c r="B541" s="2" t="s">
        <v>2441</v>
      </c>
      <c r="C541" s="2" t="s">
        <v>694</v>
      </c>
      <c r="D541" s="2" t="s">
        <v>149</v>
      </c>
      <c r="E541" s="2" t="s">
        <v>165</v>
      </c>
      <c r="F541" s="2" t="s">
        <v>165</v>
      </c>
      <c r="G541" s="2" t="s">
        <v>165</v>
      </c>
      <c r="H541" s="2" t="s">
        <v>165</v>
      </c>
      <c r="I541" s="2" t="s">
        <v>867</v>
      </c>
      <c r="J541" s="2" t="s">
        <v>882</v>
      </c>
      <c r="K541" s="2" t="s">
        <v>165</v>
      </c>
      <c r="L541" s="2"/>
      <c r="M541" s="2"/>
      <c r="N541" s="2" t="s">
        <v>171</v>
      </c>
      <c r="O541" s="2">
        <v>1.0</v>
      </c>
      <c r="P541" s="2">
        <v>0.0</v>
      </c>
      <c r="Q541" s="2">
        <v>0.0</v>
      </c>
      <c r="R541" s="2">
        <v>1.0</v>
      </c>
      <c r="S541" s="2">
        <v>1.0</v>
      </c>
      <c r="T541" s="2" t="s">
        <v>2542</v>
      </c>
    </row>
    <row r="542" ht="15.75" customHeight="1">
      <c r="A542" s="2" t="s">
        <v>2543</v>
      </c>
      <c r="B542" s="2" t="s">
        <v>2451</v>
      </c>
      <c r="C542" s="2" t="s">
        <v>694</v>
      </c>
      <c r="D542" s="2" t="s">
        <v>71</v>
      </c>
      <c r="E542" s="2"/>
      <c r="F542" s="2"/>
      <c r="G542" s="2" t="s">
        <v>93</v>
      </c>
      <c r="H542" s="2" t="s">
        <v>93</v>
      </c>
      <c r="I542" s="2"/>
      <c r="J542" s="2"/>
      <c r="K542" s="2"/>
      <c r="L542" s="2"/>
      <c r="M542" s="2"/>
      <c r="N542" s="2" t="s">
        <v>145</v>
      </c>
      <c r="O542" s="2">
        <v>0.0</v>
      </c>
      <c r="P542" s="2">
        <v>0.0</v>
      </c>
      <c r="Q542" s="2">
        <v>0.0</v>
      </c>
      <c r="R542" s="2">
        <v>1.0</v>
      </c>
      <c r="S542" s="2">
        <v>0.0</v>
      </c>
      <c r="T542" s="2"/>
    </row>
    <row r="543" ht="15.75" customHeight="1">
      <c r="A543" s="2" t="s">
        <v>2544</v>
      </c>
      <c r="B543" s="2" t="s">
        <v>2451</v>
      </c>
      <c r="C543" s="2" t="s">
        <v>694</v>
      </c>
      <c r="D543" s="2" t="s">
        <v>75</v>
      </c>
      <c r="E543" s="2" t="s">
        <v>2138</v>
      </c>
      <c r="F543" s="2" t="s">
        <v>2138</v>
      </c>
      <c r="G543" s="2" t="s">
        <v>2139</v>
      </c>
      <c r="H543" s="2" t="s">
        <v>2139</v>
      </c>
      <c r="I543" s="2" t="s">
        <v>2545</v>
      </c>
      <c r="J543" s="2" t="s">
        <v>2545</v>
      </c>
      <c r="K543" s="2" t="s">
        <v>2139</v>
      </c>
      <c r="L543" s="2"/>
      <c r="M543" s="2"/>
      <c r="N543" s="2" t="s">
        <v>145</v>
      </c>
      <c r="O543" s="2">
        <v>1.0</v>
      </c>
      <c r="P543" s="2">
        <v>0.0</v>
      </c>
      <c r="Q543" s="2">
        <v>0.0</v>
      </c>
      <c r="R543" s="2">
        <v>1.0</v>
      </c>
      <c r="S543" s="2">
        <v>0.0</v>
      </c>
      <c r="T543" s="2" t="s">
        <v>2546</v>
      </c>
    </row>
    <row r="544" ht="15.75" customHeight="1">
      <c r="A544" s="2" t="s">
        <v>2547</v>
      </c>
      <c r="B544" s="2" t="s">
        <v>2451</v>
      </c>
      <c r="C544" s="2" t="s">
        <v>694</v>
      </c>
      <c r="D544" s="2" t="s">
        <v>118</v>
      </c>
      <c r="E544" s="2" t="s">
        <v>226</v>
      </c>
      <c r="F544" s="2" t="s">
        <v>226</v>
      </c>
      <c r="G544" s="2" t="s">
        <v>226</v>
      </c>
      <c r="H544" s="2" t="s">
        <v>226</v>
      </c>
      <c r="I544" s="2" t="s">
        <v>2288</v>
      </c>
      <c r="J544" s="2" t="s">
        <v>2289</v>
      </c>
      <c r="K544" s="2" t="s">
        <v>226</v>
      </c>
      <c r="L544" s="2"/>
      <c r="M544" s="2"/>
      <c r="N544" s="2" t="s">
        <v>171</v>
      </c>
      <c r="O544" s="2">
        <v>1.0</v>
      </c>
      <c r="P544" s="2">
        <v>0.0</v>
      </c>
      <c r="Q544" s="2">
        <v>0.0</v>
      </c>
      <c r="R544" s="2">
        <v>1.0</v>
      </c>
      <c r="S544" s="2">
        <v>1.0</v>
      </c>
      <c r="T544" s="2" t="s">
        <v>2548</v>
      </c>
    </row>
    <row r="545" ht="15.75" customHeight="1">
      <c r="A545" s="2" t="s">
        <v>2549</v>
      </c>
      <c r="B545" s="2" t="s">
        <v>2451</v>
      </c>
      <c r="C545" s="2" t="s">
        <v>694</v>
      </c>
      <c r="D545" s="2" t="s">
        <v>149</v>
      </c>
      <c r="E545" s="2" t="s">
        <v>165</v>
      </c>
      <c r="F545" s="2" t="s">
        <v>165</v>
      </c>
      <c r="G545" s="2" t="s">
        <v>165</v>
      </c>
      <c r="H545" s="2" t="s">
        <v>165</v>
      </c>
      <c r="I545" s="2" t="s">
        <v>2291</v>
      </c>
      <c r="J545" s="2" t="s">
        <v>2292</v>
      </c>
      <c r="K545" s="2" t="s">
        <v>165</v>
      </c>
      <c r="L545" s="2"/>
      <c r="M545" s="2"/>
      <c r="N545" s="2" t="s">
        <v>171</v>
      </c>
      <c r="O545" s="2">
        <v>1.0</v>
      </c>
      <c r="P545" s="2">
        <v>0.0</v>
      </c>
      <c r="Q545" s="2">
        <v>0.0</v>
      </c>
      <c r="R545" s="2">
        <v>1.0</v>
      </c>
      <c r="S545" s="2">
        <v>1.0</v>
      </c>
      <c r="T545" s="2" t="s">
        <v>2550</v>
      </c>
    </row>
    <row r="546" ht="15.75" customHeight="1">
      <c r="A546" s="2" t="s">
        <v>2551</v>
      </c>
      <c r="B546" s="2" t="s">
        <v>2459</v>
      </c>
      <c r="C546" s="2" t="s">
        <v>694</v>
      </c>
      <c r="D546" s="2" t="s">
        <v>71</v>
      </c>
      <c r="E546" s="2"/>
      <c r="F546" s="2"/>
      <c r="G546" s="2" t="s">
        <v>93</v>
      </c>
      <c r="H546" s="2" t="s">
        <v>93</v>
      </c>
      <c r="I546" s="2"/>
      <c r="J546" s="2"/>
      <c r="K546" s="2"/>
      <c r="L546" s="2"/>
      <c r="M546" s="2"/>
      <c r="N546" s="2" t="s">
        <v>145</v>
      </c>
      <c r="O546" s="2">
        <v>0.0</v>
      </c>
      <c r="P546" s="2">
        <v>0.0</v>
      </c>
      <c r="Q546" s="2">
        <v>0.0</v>
      </c>
      <c r="R546" s="2">
        <v>1.0</v>
      </c>
      <c r="S546" s="2">
        <v>0.0</v>
      </c>
      <c r="T546" s="2"/>
    </row>
    <row r="547" ht="15.75" customHeight="1">
      <c r="A547" s="2" t="s">
        <v>2552</v>
      </c>
      <c r="B547" s="2" t="s">
        <v>2459</v>
      </c>
      <c r="C547" s="2" t="s">
        <v>694</v>
      </c>
      <c r="D547" s="2" t="s">
        <v>75</v>
      </c>
      <c r="E547" s="2" t="s">
        <v>2138</v>
      </c>
      <c r="F547" s="2" t="s">
        <v>2138</v>
      </c>
      <c r="G547" s="2" t="s">
        <v>2139</v>
      </c>
      <c r="H547" s="2" t="s">
        <v>2139</v>
      </c>
      <c r="I547" s="2" t="s">
        <v>2553</v>
      </c>
      <c r="J547" s="2" t="s">
        <v>2553</v>
      </c>
      <c r="K547" s="2" t="s">
        <v>2139</v>
      </c>
      <c r="L547" s="2"/>
      <c r="M547" s="2"/>
      <c r="N547" s="2" t="s">
        <v>145</v>
      </c>
      <c r="O547" s="2">
        <v>1.0</v>
      </c>
      <c r="P547" s="2">
        <v>0.0</v>
      </c>
      <c r="Q547" s="2">
        <v>0.0</v>
      </c>
      <c r="R547" s="2">
        <v>1.0</v>
      </c>
      <c r="S547" s="2">
        <v>0.0</v>
      </c>
      <c r="T547" s="2" t="s">
        <v>2554</v>
      </c>
    </row>
    <row r="548" ht="15.75" customHeight="1">
      <c r="A548" s="2" t="s">
        <v>2555</v>
      </c>
      <c r="B548" s="2" t="s">
        <v>2459</v>
      </c>
      <c r="C548" s="2" t="s">
        <v>694</v>
      </c>
      <c r="D548" s="2" t="s">
        <v>118</v>
      </c>
      <c r="E548" s="2" t="s">
        <v>226</v>
      </c>
      <c r="F548" s="2" t="s">
        <v>226</v>
      </c>
      <c r="G548" s="2" t="s">
        <v>226</v>
      </c>
      <c r="H548" s="2" t="s">
        <v>226</v>
      </c>
      <c r="I548" s="2" t="s">
        <v>2148</v>
      </c>
      <c r="J548" s="2" t="s">
        <v>2149</v>
      </c>
      <c r="K548" s="2" t="s">
        <v>226</v>
      </c>
      <c r="L548" s="2"/>
      <c r="M548" s="2"/>
      <c r="N548" s="2" t="s">
        <v>171</v>
      </c>
      <c r="O548" s="2">
        <v>1.0</v>
      </c>
      <c r="P548" s="2">
        <v>0.0</v>
      </c>
      <c r="Q548" s="2">
        <v>0.0</v>
      </c>
      <c r="R548" s="2">
        <v>1.0</v>
      </c>
      <c r="S548" s="2">
        <v>1.0</v>
      </c>
      <c r="T548" s="2" t="s">
        <v>2556</v>
      </c>
    </row>
    <row r="549" ht="15.75" customHeight="1">
      <c r="A549" s="2" t="s">
        <v>2557</v>
      </c>
      <c r="B549" s="2" t="s">
        <v>2459</v>
      </c>
      <c r="C549" s="2" t="s">
        <v>694</v>
      </c>
      <c r="D549" s="2" t="s">
        <v>149</v>
      </c>
      <c r="E549" s="2" t="s">
        <v>165</v>
      </c>
      <c r="F549" s="2" t="s">
        <v>165</v>
      </c>
      <c r="G549" s="2" t="s">
        <v>165</v>
      </c>
      <c r="H549" s="2" t="s">
        <v>165</v>
      </c>
      <c r="I549" s="2" t="s">
        <v>2143</v>
      </c>
      <c r="J549" s="2" t="s">
        <v>2144</v>
      </c>
      <c r="K549" s="2" t="s">
        <v>165</v>
      </c>
      <c r="L549" s="2"/>
      <c r="M549" s="2"/>
      <c r="N549" s="2" t="s">
        <v>171</v>
      </c>
      <c r="O549" s="2">
        <v>1.0</v>
      </c>
      <c r="P549" s="2">
        <v>0.0</v>
      </c>
      <c r="Q549" s="2">
        <v>0.0</v>
      </c>
      <c r="R549" s="2">
        <v>1.0</v>
      </c>
      <c r="S549" s="2">
        <v>1.0</v>
      </c>
      <c r="T549" s="2" t="s">
        <v>2558</v>
      </c>
    </row>
    <row r="550" ht="15.75" customHeight="1">
      <c r="A550" s="2" t="s">
        <v>2559</v>
      </c>
      <c r="B550" s="2" t="s">
        <v>2469</v>
      </c>
      <c r="C550" s="2" t="s">
        <v>694</v>
      </c>
      <c r="D550" s="2" t="s">
        <v>71</v>
      </c>
      <c r="E550" s="2"/>
      <c r="F550" s="2"/>
      <c r="G550" s="2" t="s">
        <v>93</v>
      </c>
      <c r="H550" s="2" t="s">
        <v>93</v>
      </c>
      <c r="I550" s="2"/>
      <c r="J550" s="2"/>
      <c r="K550" s="2"/>
      <c r="L550" s="2"/>
      <c r="M550" s="2"/>
      <c r="N550" s="2" t="s">
        <v>145</v>
      </c>
      <c r="O550" s="2">
        <v>0.0</v>
      </c>
      <c r="P550" s="2">
        <v>0.0</v>
      </c>
      <c r="Q550" s="2">
        <v>0.0</v>
      </c>
      <c r="R550" s="2">
        <v>1.0</v>
      </c>
      <c r="S550" s="2">
        <v>0.0</v>
      </c>
      <c r="T550" s="2"/>
    </row>
    <row r="551" ht="15.75" customHeight="1">
      <c r="A551" s="2" t="s">
        <v>2560</v>
      </c>
      <c r="B551" s="2" t="s">
        <v>2469</v>
      </c>
      <c r="C551" s="2" t="s">
        <v>694</v>
      </c>
      <c r="D551" s="2" t="s">
        <v>75</v>
      </c>
      <c r="E551" s="2" t="s">
        <v>2271</v>
      </c>
      <c r="F551" s="2" t="s">
        <v>2271</v>
      </c>
      <c r="G551" s="2" t="s">
        <v>2139</v>
      </c>
      <c r="H551" s="2" t="s">
        <v>2139</v>
      </c>
      <c r="I551" s="2" t="s">
        <v>2561</v>
      </c>
      <c r="J551" s="2" t="s">
        <v>2561</v>
      </c>
      <c r="K551" s="2" t="s">
        <v>2139</v>
      </c>
      <c r="L551" s="2"/>
      <c r="M551" s="2"/>
      <c r="N551" s="2" t="s">
        <v>145</v>
      </c>
      <c r="O551" s="2">
        <v>1.0</v>
      </c>
      <c r="P551" s="2">
        <v>0.0</v>
      </c>
      <c r="Q551" s="2">
        <v>0.0</v>
      </c>
      <c r="R551" s="2">
        <v>1.0</v>
      </c>
      <c r="S551" s="2">
        <v>0.0</v>
      </c>
      <c r="T551" s="2" t="s">
        <v>2562</v>
      </c>
    </row>
    <row r="552" ht="15.75" customHeight="1">
      <c r="A552" s="2" t="s">
        <v>2563</v>
      </c>
      <c r="B552" s="2" t="s">
        <v>2469</v>
      </c>
      <c r="C552" s="2" t="s">
        <v>694</v>
      </c>
      <c r="D552" s="2" t="s">
        <v>118</v>
      </c>
      <c r="E552" s="2" t="s">
        <v>226</v>
      </c>
      <c r="F552" s="2" t="s">
        <v>226</v>
      </c>
      <c r="G552" s="2" t="s">
        <v>226</v>
      </c>
      <c r="H552" s="2" t="s">
        <v>226</v>
      </c>
      <c r="I552" s="2" t="s">
        <v>881</v>
      </c>
      <c r="J552" s="2" t="s">
        <v>869</v>
      </c>
      <c r="K552" s="2" t="s">
        <v>226</v>
      </c>
      <c r="L552" s="2"/>
      <c r="M552" s="2"/>
      <c r="N552" s="2" t="s">
        <v>171</v>
      </c>
      <c r="O552" s="2">
        <v>1.0</v>
      </c>
      <c r="P552" s="2">
        <v>0.0</v>
      </c>
      <c r="Q552" s="2">
        <v>0.0</v>
      </c>
      <c r="R552" s="2">
        <v>1.0</v>
      </c>
      <c r="S552" s="2">
        <v>1.0</v>
      </c>
      <c r="T552" s="2" t="s">
        <v>2564</v>
      </c>
    </row>
    <row r="553" ht="15.75" customHeight="1">
      <c r="A553" s="2" t="s">
        <v>2565</v>
      </c>
      <c r="B553" s="2" t="s">
        <v>2469</v>
      </c>
      <c r="C553" s="2" t="s">
        <v>694</v>
      </c>
      <c r="D553" s="2" t="s">
        <v>149</v>
      </c>
      <c r="E553" s="2" t="s">
        <v>165</v>
      </c>
      <c r="F553" s="2" t="s">
        <v>165</v>
      </c>
      <c r="G553" s="2" t="s">
        <v>165</v>
      </c>
      <c r="H553" s="2" t="s">
        <v>165</v>
      </c>
      <c r="I553" s="2" t="s">
        <v>867</v>
      </c>
      <c r="J553" s="2" t="s">
        <v>882</v>
      </c>
      <c r="K553" s="2" t="s">
        <v>165</v>
      </c>
      <c r="L553" s="2"/>
      <c r="M553" s="2"/>
      <c r="N553" s="2" t="s">
        <v>171</v>
      </c>
      <c r="O553" s="2">
        <v>1.0</v>
      </c>
      <c r="P553" s="2">
        <v>0.0</v>
      </c>
      <c r="Q553" s="2">
        <v>0.0</v>
      </c>
      <c r="R553" s="2">
        <v>1.0</v>
      </c>
      <c r="S553" s="2">
        <v>1.0</v>
      </c>
      <c r="T553" s="2" t="s">
        <v>2566</v>
      </c>
    </row>
    <row r="554" ht="15.75" customHeight="1">
      <c r="A554" s="2" t="s">
        <v>2567</v>
      </c>
      <c r="B554" s="2" t="s">
        <v>2480</v>
      </c>
      <c r="C554" s="2" t="s">
        <v>694</v>
      </c>
      <c r="D554" s="2" t="s">
        <v>71</v>
      </c>
      <c r="E554" s="2"/>
      <c r="F554" s="2"/>
      <c r="G554" s="2" t="s">
        <v>93</v>
      </c>
      <c r="H554" s="2" t="s">
        <v>93</v>
      </c>
      <c r="I554" s="2"/>
      <c r="J554" s="2"/>
      <c r="K554" s="2"/>
      <c r="L554" s="2"/>
      <c r="M554" s="2"/>
      <c r="N554" s="2" t="s">
        <v>145</v>
      </c>
      <c r="O554" s="2">
        <v>0.0</v>
      </c>
      <c r="P554" s="2">
        <v>0.0</v>
      </c>
      <c r="Q554" s="2">
        <v>0.0</v>
      </c>
      <c r="R554" s="2">
        <v>1.0</v>
      </c>
      <c r="S554" s="2">
        <v>0.0</v>
      </c>
      <c r="T554" s="2"/>
    </row>
    <row r="555" ht="15.75" customHeight="1">
      <c r="A555" s="2" t="s">
        <v>2568</v>
      </c>
      <c r="B555" s="2" t="s">
        <v>2480</v>
      </c>
      <c r="C555" s="2" t="s">
        <v>694</v>
      </c>
      <c r="D555" s="2" t="s">
        <v>75</v>
      </c>
      <c r="E555" s="2" t="s">
        <v>2138</v>
      </c>
      <c r="F555" s="2" t="s">
        <v>2138</v>
      </c>
      <c r="G555" s="2" t="s">
        <v>2139</v>
      </c>
      <c r="H555" s="2" t="s">
        <v>2139</v>
      </c>
      <c r="I555" s="2" t="s">
        <v>2545</v>
      </c>
      <c r="J555" s="2" t="s">
        <v>2545</v>
      </c>
      <c r="K555" s="2" t="s">
        <v>2139</v>
      </c>
      <c r="L555" s="2"/>
      <c r="M555" s="2"/>
      <c r="N555" s="2" t="s">
        <v>145</v>
      </c>
      <c r="O555" s="2">
        <v>1.0</v>
      </c>
      <c r="P555" s="2">
        <v>0.0</v>
      </c>
      <c r="Q555" s="2">
        <v>0.0</v>
      </c>
      <c r="R555" s="2">
        <v>1.0</v>
      </c>
      <c r="S555" s="2">
        <v>0.0</v>
      </c>
      <c r="T555" s="2" t="s">
        <v>2546</v>
      </c>
    </row>
    <row r="556" ht="15.75" customHeight="1">
      <c r="A556" s="2" t="s">
        <v>2569</v>
      </c>
      <c r="B556" s="2" t="s">
        <v>2480</v>
      </c>
      <c r="C556" s="2" t="s">
        <v>694</v>
      </c>
      <c r="D556" s="2" t="s">
        <v>118</v>
      </c>
      <c r="E556" s="2" t="s">
        <v>226</v>
      </c>
      <c r="F556" s="2" t="s">
        <v>226</v>
      </c>
      <c r="G556" s="2" t="s">
        <v>226</v>
      </c>
      <c r="H556" s="2" t="s">
        <v>226</v>
      </c>
      <c r="I556" s="2" t="s">
        <v>2288</v>
      </c>
      <c r="J556" s="2" t="s">
        <v>2289</v>
      </c>
      <c r="K556" s="2" t="s">
        <v>226</v>
      </c>
      <c r="L556" s="2"/>
      <c r="M556" s="2"/>
      <c r="N556" s="2" t="s">
        <v>171</v>
      </c>
      <c r="O556" s="2">
        <v>1.0</v>
      </c>
      <c r="P556" s="2">
        <v>0.0</v>
      </c>
      <c r="Q556" s="2">
        <v>0.0</v>
      </c>
      <c r="R556" s="2">
        <v>1.0</v>
      </c>
      <c r="S556" s="2">
        <v>1.0</v>
      </c>
      <c r="T556" s="2" t="s">
        <v>2548</v>
      </c>
    </row>
    <row r="557" ht="15.75" customHeight="1">
      <c r="A557" s="2" t="s">
        <v>2570</v>
      </c>
      <c r="B557" s="2" t="s">
        <v>2480</v>
      </c>
      <c r="C557" s="2" t="s">
        <v>694</v>
      </c>
      <c r="D557" s="2" t="s">
        <v>149</v>
      </c>
      <c r="E557" s="2" t="s">
        <v>165</v>
      </c>
      <c r="F557" s="2" t="s">
        <v>165</v>
      </c>
      <c r="G557" s="2" t="s">
        <v>165</v>
      </c>
      <c r="H557" s="2" t="s">
        <v>165</v>
      </c>
      <c r="I557" s="2" t="s">
        <v>2291</v>
      </c>
      <c r="J557" s="2" t="s">
        <v>2292</v>
      </c>
      <c r="K557" s="2" t="s">
        <v>165</v>
      </c>
      <c r="L557" s="2"/>
      <c r="M557" s="2"/>
      <c r="N557" s="2" t="s">
        <v>171</v>
      </c>
      <c r="O557" s="2">
        <v>1.0</v>
      </c>
      <c r="P557" s="2">
        <v>0.0</v>
      </c>
      <c r="Q557" s="2">
        <v>0.0</v>
      </c>
      <c r="R557" s="2">
        <v>1.0</v>
      </c>
      <c r="S557" s="2">
        <v>1.0</v>
      </c>
      <c r="T557" s="2" t="s">
        <v>2550</v>
      </c>
    </row>
    <row r="558" ht="15.75" customHeight="1">
      <c r="A558" s="2" t="s">
        <v>2571</v>
      </c>
      <c r="B558" s="2" t="s">
        <v>2487</v>
      </c>
      <c r="C558" s="2" t="s">
        <v>694</v>
      </c>
      <c r="D558" s="2" t="s">
        <v>71</v>
      </c>
      <c r="E558" s="2"/>
      <c r="F558" s="2"/>
      <c r="G558" s="2" t="s">
        <v>93</v>
      </c>
      <c r="H558" s="2" t="s">
        <v>93</v>
      </c>
      <c r="I558" s="2"/>
      <c r="J558" s="2"/>
      <c r="K558" s="2"/>
      <c r="L558" s="2"/>
      <c r="M558" s="2"/>
      <c r="N558" s="2" t="s">
        <v>145</v>
      </c>
      <c r="O558" s="2">
        <v>0.0</v>
      </c>
      <c r="P558" s="2">
        <v>0.0</v>
      </c>
      <c r="Q558" s="2">
        <v>0.0</v>
      </c>
      <c r="R558" s="2">
        <v>1.0</v>
      </c>
      <c r="S558" s="2">
        <v>0.0</v>
      </c>
      <c r="T558" s="2"/>
    </row>
    <row r="559" ht="15.75" customHeight="1">
      <c r="A559" s="2" t="s">
        <v>2572</v>
      </c>
      <c r="B559" s="2" t="s">
        <v>2487</v>
      </c>
      <c r="C559" s="2" t="s">
        <v>694</v>
      </c>
      <c r="D559" s="2" t="s">
        <v>75</v>
      </c>
      <c r="E559" s="2" t="s">
        <v>2138</v>
      </c>
      <c r="F559" s="2" t="s">
        <v>2138</v>
      </c>
      <c r="G559" s="2" t="s">
        <v>2139</v>
      </c>
      <c r="H559" s="2" t="s">
        <v>2139</v>
      </c>
      <c r="I559" s="2" t="s">
        <v>2573</v>
      </c>
      <c r="J559" s="2" t="s">
        <v>2573</v>
      </c>
      <c r="K559" s="2" t="s">
        <v>2139</v>
      </c>
      <c r="L559" s="2"/>
      <c r="M559" s="2"/>
      <c r="N559" s="2" t="s">
        <v>145</v>
      </c>
      <c r="O559" s="2">
        <v>1.0</v>
      </c>
      <c r="P559" s="2">
        <v>0.0</v>
      </c>
      <c r="Q559" s="2">
        <v>0.0</v>
      </c>
      <c r="R559" s="2">
        <v>1.0</v>
      </c>
      <c r="S559" s="2">
        <v>0.0</v>
      </c>
      <c r="T559" s="2" t="s">
        <v>2574</v>
      </c>
    </row>
    <row r="560" ht="15.75" customHeight="1">
      <c r="A560" s="2" t="s">
        <v>2575</v>
      </c>
      <c r="B560" s="2" t="s">
        <v>2487</v>
      </c>
      <c r="C560" s="2" t="s">
        <v>694</v>
      </c>
      <c r="D560" s="2" t="s">
        <v>118</v>
      </c>
      <c r="E560" s="2" t="s">
        <v>226</v>
      </c>
      <c r="F560" s="2" t="s">
        <v>226</v>
      </c>
      <c r="G560" s="2" t="s">
        <v>226</v>
      </c>
      <c r="H560" s="2" t="s">
        <v>226</v>
      </c>
      <c r="I560" s="2" t="s">
        <v>2148</v>
      </c>
      <c r="J560" s="2" t="s">
        <v>2149</v>
      </c>
      <c r="K560" s="2" t="s">
        <v>226</v>
      </c>
      <c r="L560" s="2"/>
      <c r="M560" s="2"/>
      <c r="N560" s="2" t="s">
        <v>171</v>
      </c>
      <c r="O560" s="2">
        <v>1.0</v>
      </c>
      <c r="P560" s="2">
        <v>0.0</v>
      </c>
      <c r="Q560" s="2">
        <v>0.0</v>
      </c>
      <c r="R560" s="2">
        <v>1.0</v>
      </c>
      <c r="S560" s="2">
        <v>1.0</v>
      </c>
      <c r="T560" s="2" t="s">
        <v>2576</v>
      </c>
    </row>
    <row r="561" ht="15.75" customHeight="1">
      <c r="A561" s="2" t="s">
        <v>2577</v>
      </c>
      <c r="B561" s="2" t="s">
        <v>2487</v>
      </c>
      <c r="C561" s="2" t="s">
        <v>694</v>
      </c>
      <c r="D561" s="2" t="s">
        <v>149</v>
      </c>
      <c r="E561" s="2" t="s">
        <v>165</v>
      </c>
      <c r="F561" s="2" t="s">
        <v>165</v>
      </c>
      <c r="G561" s="2" t="s">
        <v>165</v>
      </c>
      <c r="H561" s="2" t="s">
        <v>165</v>
      </c>
      <c r="I561" s="2" t="s">
        <v>2143</v>
      </c>
      <c r="J561" s="2" t="s">
        <v>2144</v>
      </c>
      <c r="K561" s="2" t="s">
        <v>165</v>
      </c>
      <c r="L561" s="2"/>
      <c r="M561" s="2"/>
      <c r="N561" s="2" t="s">
        <v>171</v>
      </c>
      <c r="O561" s="2">
        <v>1.0</v>
      </c>
      <c r="P561" s="2">
        <v>0.0</v>
      </c>
      <c r="Q561" s="2">
        <v>0.0</v>
      </c>
      <c r="R561" s="2">
        <v>1.0</v>
      </c>
      <c r="S561" s="2">
        <v>1.0</v>
      </c>
      <c r="T561" s="2" t="s">
        <v>2578</v>
      </c>
    </row>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T$561"/>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9.0"/>
    <col customWidth="1" min="2" max="2" width="10.0"/>
    <col customWidth="1" min="3" max="3" width="22.0"/>
    <col customWidth="1" min="4" max="26" width="8.71"/>
  </cols>
  <sheetData>
    <row r="1">
      <c r="A1" s="1" t="s">
        <v>857</v>
      </c>
      <c r="B1" s="1" t="s">
        <v>860</v>
      </c>
      <c r="C1" s="1" t="s">
        <v>861</v>
      </c>
    </row>
    <row r="2">
      <c r="A2" s="2" t="s">
        <v>145</v>
      </c>
      <c r="B2" s="2">
        <v>259.0</v>
      </c>
      <c r="C2" s="2">
        <v>0.4625</v>
      </c>
    </row>
    <row r="3">
      <c r="A3" s="2" t="s">
        <v>171</v>
      </c>
      <c r="B3" s="2">
        <v>238.0</v>
      </c>
      <c r="C3" s="2">
        <v>0.425</v>
      </c>
    </row>
    <row r="4">
      <c r="A4" s="2" t="s">
        <v>86</v>
      </c>
      <c r="B4" s="2">
        <v>22.0</v>
      </c>
      <c r="C4" s="2">
        <v>0.03928571428571428</v>
      </c>
    </row>
    <row r="5">
      <c r="A5" s="2" t="s">
        <v>95</v>
      </c>
      <c r="B5" s="2">
        <v>20.0</v>
      </c>
      <c r="C5" s="2">
        <v>0.03571428571428571</v>
      </c>
    </row>
    <row r="6">
      <c r="A6" s="2" t="s">
        <v>105</v>
      </c>
      <c r="B6" s="2">
        <v>18.0</v>
      </c>
      <c r="C6" s="2">
        <v>0.03214285714285714</v>
      </c>
    </row>
    <row r="7">
      <c r="A7" s="2" t="s">
        <v>132</v>
      </c>
      <c r="B7" s="2">
        <v>3.0</v>
      </c>
      <c r="C7" s="2">
        <v>0.005357142857142857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7"/>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15.0"/>
    <col customWidth="1" min="3" max="3" width="120.0"/>
    <col customWidth="1" min="4" max="26" width="8.71"/>
  </cols>
  <sheetData>
    <row r="1">
      <c r="A1" s="1" t="s">
        <v>8</v>
      </c>
      <c r="B1" s="1" t="s">
        <v>10</v>
      </c>
      <c r="C1" s="1" t="s">
        <v>1009</v>
      </c>
    </row>
    <row r="2">
      <c r="A2" s="2" t="s">
        <v>90</v>
      </c>
      <c r="B2" s="2" t="s">
        <v>74</v>
      </c>
      <c r="C2" s="2" t="s">
        <v>1013</v>
      </c>
    </row>
    <row r="3">
      <c r="A3" s="2" t="s">
        <v>180</v>
      </c>
      <c r="B3" s="2" t="s">
        <v>74</v>
      </c>
      <c r="C3" s="2" t="s">
        <v>1020</v>
      </c>
    </row>
    <row r="4">
      <c r="A4" s="2" t="s">
        <v>215</v>
      </c>
      <c r="B4" s="2" t="s">
        <v>74</v>
      </c>
      <c r="C4" s="2" t="s">
        <v>1023</v>
      </c>
    </row>
    <row r="5">
      <c r="A5" s="2" t="s">
        <v>117</v>
      </c>
      <c r="B5" s="2" t="s">
        <v>74</v>
      </c>
      <c r="C5" s="2" t="s">
        <v>1025</v>
      </c>
    </row>
    <row r="6">
      <c r="A6" s="2" t="s">
        <v>263</v>
      </c>
      <c r="B6" s="2" t="s">
        <v>74</v>
      </c>
      <c r="C6" s="2" t="s">
        <v>1028</v>
      </c>
    </row>
    <row r="7">
      <c r="A7" s="2" t="s">
        <v>295</v>
      </c>
      <c r="B7" s="2" t="s">
        <v>74</v>
      </c>
      <c r="C7" s="2" t="s">
        <v>1034</v>
      </c>
    </row>
    <row r="8">
      <c r="A8" s="2" t="s">
        <v>318</v>
      </c>
      <c r="B8" s="2" t="s">
        <v>74</v>
      </c>
      <c r="C8" s="2" t="s">
        <v>1041</v>
      </c>
    </row>
    <row r="9">
      <c r="A9" s="2" t="s">
        <v>98</v>
      </c>
      <c r="B9" s="2" t="s">
        <v>74</v>
      </c>
      <c r="C9" s="2" t="s">
        <v>1044</v>
      </c>
    </row>
    <row r="10">
      <c r="A10" s="2" t="s">
        <v>355</v>
      </c>
      <c r="B10" s="2" t="s">
        <v>157</v>
      </c>
      <c r="C10" s="2" t="s">
        <v>1067</v>
      </c>
    </row>
    <row r="11">
      <c r="A11" s="2" t="s">
        <v>380</v>
      </c>
      <c r="B11" s="2" t="s">
        <v>157</v>
      </c>
      <c r="C11" s="2" t="s">
        <v>1085</v>
      </c>
    </row>
    <row r="12">
      <c r="A12" s="2" t="s">
        <v>224</v>
      </c>
      <c r="B12" s="2" t="s">
        <v>157</v>
      </c>
      <c r="C12" s="2" t="s">
        <v>1099</v>
      </c>
    </row>
    <row r="13">
      <c r="A13" s="2" t="s">
        <v>170</v>
      </c>
      <c r="B13" s="2" t="s">
        <v>157</v>
      </c>
      <c r="C13" s="2" t="s">
        <v>1109</v>
      </c>
    </row>
    <row r="14">
      <c r="A14" s="2" t="s">
        <v>187</v>
      </c>
      <c r="B14" s="2" t="s">
        <v>157</v>
      </c>
      <c r="C14" s="2" t="s">
        <v>1114</v>
      </c>
    </row>
    <row r="15">
      <c r="A15" s="2" t="s">
        <v>475</v>
      </c>
      <c r="B15" s="2" t="s">
        <v>157</v>
      </c>
      <c r="C15" s="2" t="s">
        <v>1128</v>
      </c>
    </row>
    <row r="16">
      <c r="A16" s="2" t="s">
        <v>156</v>
      </c>
      <c r="B16" s="2" t="s">
        <v>157</v>
      </c>
      <c r="C16" s="2" t="s">
        <v>1139</v>
      </c>
    </row>
    <row r="17">
      <c r="A17" s="2" t="s">
        <v>531</v>
      </c>
      <c r="B17" s="2" t="s">
        <v>157</v>
      </c>
      <c r="C17" s="2" t="s">
        <v>1140</v>
      </c>
    </row>
    <row r="18">
      <c r="A18" s="2" t="s">
        <v>205</v>
      </c>
      <c r="B18" s="2" t="s">
        <v>157</v>
      </c>
      <c r="C18" s="2" t="s">
        <v>1145</v>
      </c>
    </row>
    <row r="19">
      <c r="A19" s="2" t="s">
        <v>567</v>
      </c>
      <c r="B19" s="2" t="s">
        <v>157</v>
      </c>
      <c r="C19" s="2" t="s">
        <v>1147</v>
      </c>
    </row>
    <row r="20">
      <c r="A20" s="2" t="s">
        <v>256</v>
      </c>
      <c r="B20" s="2" t="s">
        <v>157</v>
      </c>
      <c r="C20" s="2" t="s">
        <v>1148</v>
      </c>
    </row>
    <row r="21" ht="15.75" customHeight="1">
      <c r="A21" s="2" t="s">
        <v>238</v>
      </c>
      <c r="B21" s="2" t="s">
        <v>157</v>
      </c>
      <c r="C21" s="2" t="s">
        <v>1149</v>
      </c>
    </row>
    <row r="22" ht="15.75" customHeight="1">
      <c r="A22" s="2" t="s">
        <v>634</v>
      </c>
      <c r="B22" s="2" t="s">
        <v>157</v>
      </c>
      <c r="C22" s="2" t="s">
        <v>1150</v>
      </c>
    </row>
    <row r="23" ht="15.75" customHeight="1">
      <c r="A23" s="2" t="s">
        <v>669</v>
      </c>
      <c r="B23" s="2" t="s">
        <v>157</v>
      </c>
      <c r="C23" s="2" t="s">
        <v>1151</v>
      </c>
    </row>
    <row r="24" ht="15.75" customHeight="1">
      <c r="A24" s="2" t="s">
        <v>698</v>
      </c>
      <c r="B24" s="2" t="s">
        <v>157</v>
      </c>
      <c r="C24" s="2" t="s">
        <v>1155</v>
      </c>
    </row>
    <row r="25" ht="15.75" customHeight="1">
      <c r="A25" s="2" t="s">
        <v>722</v>
      </c>
      <c r="B25" s="2" t="s">
        <v>157</v>
      </c>
      <c r="C25" s="2" t="s">
        <v>1164</v>
      </c>
    </row>
    <row r="26" ht="15.75" customHeight="1">
      <c r="A26" s="2" t="s">
        <v>746</v>
      </c>
      <c r="B26" s="2" t="s">
        <v>157</v>
      </c>
      <c r="C26" s="2" t="s">
        <v>1178</v>
      </c>
    </row>
    <row r="27" ht="15.75" customHeight="1">
      <c r="A27" s="2" t="s">
        <v>766</v>
      </c>
      <c r="B27" s="2" t="s">
        <v>157</v>
      </c>
      <c r="C27" s="2" t="s">
        <v>1193</v>
      </c>
    </row>
    <row r="28" ht="15.75" customHeight="1">
      <c r="A28" s="2" t="s">
        <v>793</v>
      </c>
      <c r="B28" s="2" t="s">
        <v>157</v>
      </c>
      <c r="C28" s="2" t="s">
        <v>1209</v>
      </c>
    </row>
    <row r="29" ht="15.75" customHeight="1">
      <c r="A29" s="2" t="s">
        <v>817</v>
      </c>
      <c r="B29" s="2" t="s">
        <v>157</v>
      </c>
      <c r="C29" s="2" t="s">
        <v>1229</v>
      </c>
    </row>
    <row r="30" ht="15.75" customHeight="1">
      <c r="A30" s="2" t="s">
        <v>846</v>
      </c>
      <c r="B30" s="2" t="s">
        <v>270</v>
      </c>
      <c r="C30" s="2" t="s">
        <v>1245</v>
      </c>
    </row>
    <row r="31" ht="15.75" customHeight="1">
      <c r="A31" s="2" t="s">
        <v>872</v>
      </c>
      <c r="B31" s="2" t="s">
        <v>270</v>
      </c>
      <c r="C31" s="2" t="s">
        <v>1263</v>
      </c>
    </row>
    <row r="32" ht="15.75" customHeight="1">
      <c r="A32" s="2" t="s">
        <v>285</v>
      </c>
      <c r="B32" s="2" t="s">
        <v>270</v>
      </c>
      <c r="C32" s="2" t="s">
        <v>1279</v>
      </c>
    </row>
    <row r="33" ht="15.75" customHeight="1">
      <c r="A33" s="2" t="s">
        <v>304</v>
      </c>
      <c r="B33" s="2" t="s">
        <v>270</v>
      </c>
      <c r="C33" s="2" t="s">
        <v>1296</v>
      </c>
    </row>
    <row r="34" ht="15.75" customHeight="1">
      <c r="A34" s="2" t="s">
        <v>316</v>
      </c>
      <c r="B34" s="2" t="s">
        <v>270</v>
      </c>
      <c r="C34" s="2" t="s">
        <v>1313</v>
      </c>
    </row>
    <row r="35" ht="15.75" customHeight="1">
      <c r="A35" s="2" t="s">
        <v>956</v>
      </c>
      <c r="B35" s="2" t="s">
        <v>270</v>
      </c>
      <c r="C35" s="2" t="s">
        <v>1328</v>
      </c>
    </row>
    <row r="36" ht="15.75" customHeight="1">
      <c r="A36" s="2" t="s">
        <v>982</v>
      </c>
      <c r="B36" s="2" t="s">
        <v>270</v>
      </c>
      <c r="C36" s="2" t="s">
        <v>1346</v>
      </c>
    </row>
    <row r="37" ht="15.75" customHeight="1">
      <c r="A37" s="2" t="s">
        <v>331</v>
      </c>
      <c r="B37" s="2" t="s">
        <v>270</v>
      </c>
      <c r="C37" s="2" t="s">
        <v>1368</v>
      </c>
    </row>
    <row r="38" ht="15.75" customHeight="1">
      <c r="A38" s="2" t="s">
        <v>269</v>
      </c>
      <c r="B38" s="2" t="s">
        <v>270</v>
      </c>
      <c r="C38" s="2" t="s">
        <v>1378</v>
      </c>
    </row>
    <row r="39" ht="15.75" customHeight="1">
      <c r="A39" s="2" t="s">
        <v>360</v>
      </c>
      <c r="B39" s="2" t="s">
        <v>270</v>
      </c>
      <c r="C39" s="2" t="s">
        <v>1389</v>
      </c>
    </row>
    <row r="40" ht="15.75" customHeight="1">
      <c r="A40" s="2" t="s">
        <v>374</v>
      </c>
      <c r="B40" s="2" t="s">
        <v>270</v>
      </c>
      <c r="C40" s="2" t="s">
        <v>1404</v>
      </c>
    </row>
    <row r="41" ht="15.75" customHeight="1">
      <c r="A41" s="2" t="s">
        <v>1038</v>
      </c>
      <c r="B41" s="2" t="s">
        <v>270</v>
      </c>
      <c r="C41" s="2" t="s">
        <v>1423</v>
      </c>
    </row>
    <row r="42" ht="15.75" customHeight="1">
      <c r="A42" s="2" t="s">
        <v>1053</v>
      </c>
      <c r="B42" s="2" t="s">
        <v>270</v>
      </c>
      <c r="C42" s="2" t="s">
        <v>1439</v>
      </c>
    </row>
    <row r="43" ht="15.75" customHeight="1">
      <c r="A43" s="2" t="s">
        <v>1066</v>
      </c>
      <c r="B43" s="2" t="s">
        <v>270</v>
      </c>
      <c r="C43" s="2" t="s">
        <v>1466</v>
      </c>
    </row>
    <row r="44" ht="15.75" customHeight="1">
      <c r="A44" s="2" t="s">
        <v>1081</v>
      </c>
      <c r="B44" s="2" t="s">
        <v>270</v>
      </c>
      <c r="C44" s="2" t="s">
        <v>1474</v>
      </c>
    </row>
    <row r="45" ht="15.75" customHeight="1">
      <c r="A45" s="2" t="s">
        <v>386</v>
      </c>
      <c r="B45" s="2" t="s">
        <v>270</v>
      </c>
      <c r="C45" s="2" t="s">
        <v>1483</v>
      </c>
    </row>
    <row r="46" ht="15.75" customHeight="1">
      <c r="A46" s="2" t="s">
        <v>398</v>
      </c>
      <c r="B46" s="2" t="s">
        <v>270</v>
      </c>
      <c r="C46" s="2" t="s">
        <v>1485</v>
      </c>
    </row>
    <row r="47" ht="15.75" customHeight="1">
      <c r="A47" s="2" t="s">
        <v>1121</v>
      </c>
      <c r="B47" s="2" t="s">
        <v>270</v>
      </c>
      <c r="C47" s="2" t="s">
        <v>1487</v>
      </c>
    </row>
    <row r="48" ht="15.75" customHeight="1">
      <c r="A48" s="2" t="s">
        <v>412</v>
      </c>
      <c r="B48" s="2" t="s">
        <v>270</v>
      </c>
      <c r="C48" s="2" t="s">
        <v>1506</v>
      </c>
    </row>
    <row r="49" ht="15.75" customHeight="1">
      <c r="A49" s="2" t="s">
        <v>443</v>
      </c>
      <c r="B49" s="2" t="s">
        <v>444</v>
      </c>
      <c r="C49" s="2" t="s">
        <v>1507</v>
      </c>
    </row>
    <row r="50" ht="15.75" customHeight="1">
      <c r="A50" s="2" t="s">
        <v>496</v>
      </c>
      <c r="B50" s="2" t="s">
        <v>444</v>
      </c>
      <c r="C50" s="2" t="s">
        <v>1515</v>
      </c>
    </row>
    <row r="51" ht="15.75" customHeight="1">
      <c r="A51" s="2" t="s">
        <v>1171</v>
      </c>
      <c r="B51" s="2" t="s">
        <v>444</v>
      </c>
      <c r="C51" s="2" t="s">
        <v>1516</v>
      </c>
    </row>
    <row r="52" ht="15.75" customHeight="1">
      <c r="A52" s="2" t="s">
        <v>1188</v>
      </c>
      <c r="B52" s="2" t="s">
        <v>444</v>
      </c>
      <c r="C52" s="2" t="s">
        <v>1518</v>
      </c>
    </row>
    <row r="53" ht="15.75" customHeight="1">
      <c r="A53" s="2" t="s">
        <v>1202</v>
      </c>
      <c r="B53" s="2" t="s">
        <v>444</v>
      </c>
      <c r="C53" s="2" t="s">
        <v>1521</v>
      </c>
    </row>
    <row r="54" ht="15.75" customHeight="1">
      <c r="A54" s="2" t="s">
        <v>1220</v>
      </c>
      <c r="B54" s="2" t="s">
        <v>444</v>
      </c>
      <c r="C54" s="2" t="s">
        <v>1522</v>
      </c>
    </row>
    <row r="55" ht="15.75" customHeight="1">
      <c r="A55" s="2" t="s">
        <v>1238</v>
      </c>
      <c r="B55" s="2" t="s">
        <v>444</v>
      </c>
      <c r="C55" s="2" t="s">
        <v>1528</v>
      </c>
    </row>
    <row r="56" ht="15.75" customHeight="1">
      <c r="A56" s="2" t="s">
        <v>1255</v>
      </c>
      <c r="B56" s="2" t="s">
        <v>444</v>
      </c>
      <c r="C56" s="2" t="s">
        <v>1538</v>
      </c>
    </row>
    <row r="57" ht="15.75" customHeight="1">
      <c r="A57" s="2" t="s">
        <v>1270</v>
      </c>
      <c r="B57" s="2" t="s">
        <v>444</v>
      </c>
      <c r="C57" s="2" t="s">
        <v>1541</v>
      </c>
    </row>
    <row r="58" ht="15.75" customHeight="1">
      <c r="A58" s="2" t="s">
        <v>1287</v>
      </c>
      <c r="B58" s="2" t="s">
        <v>444</v>
      </c>
      <c r="C58" s="2" t="s">
        <v>1543</v>
      </c>
    </row>
    <row r="59" ht="15.75" customHeight="1">
      <c r="A59" s="2" t="s">
        <v>1304</v>
      </c>
      <c r="B59" s="2" t="s">
        <v>444</v>
      </c>
      <c r="C59" s="2" t="s">
        <v>1559</v>
      </c>
    </row>
    <row r="60" ht="15.75" customHeight="1">
      <c r="A60" s="2" t="s">
        <v>1322</v>
      </c>
      <c r="B60" s="2" t="s">
        <v>444</v>
      </c>
      <c r="C60" s="2" t="s">
        <v>1570</v>
      </c>
    </row>
    <row r="61" ht="15.75" customHeight="1">
      <c r="A61" s="2" t="s">
        <v>1336</v>
      </c>
      <c r="B61" s="2" t="s">
        <v>444</v>
      </c>
      <c r="C61" s="2" t="s">
        <v>1581</v>
      </c>
    </row>
    <row r="62" ht="15.75" customHeight="1">
      <c r="A62" s="2" t="s">
        <v>1353</v>
      </c>
      <c r="B62" s="2" t="s">
        <v>444</v>
      </c>
      <c r="C62" s="2" t="s">
        <v>1582</v>
      </c>
    </row>
    <row r="63" ht="15.75" customHeight="1">
      <c r="A63" s="2" t="s">
        <v>476</v>
      </c>
      <c r="B63" s="2" t="s">
        <v>444</v>
      </c>
      <c r="C63" s="2" t="s">
        <v>1590</v>
      </c>
    </row>
    <row r="64" ht="15.75" customHeight="1">
      <c r="A64" s="2" t="s">
        <v>1381</v>
      </c>
      <c r="B64" s="2" t="s">
        <v>444</v>
      </c>
      <c r="C64" s="2" t="s">
        <v>1602</v>
      </c>
    </row>
    <row r="65" ht="15.75" customHeight="1">
      <c r="A65" s="2" t="s">
        <v>1398</v>
      </c>
      <c r="B65" s="2" t="s">
        <v>444</v>
      </c>
      <c r="C65" s="2" t="s">
        <v>1608</v>
      </c>
    </row>
    <row r="66" ht="15.75" customHeight="1">
      <c r="A66" s="2" t="s">
        <v>1413</v>
      </c>
      <c r="B66" s="2" t="s">
        <v>444</v>
      </c>
      <c r="C66" s="2" t="s">
        <v>1614</v>
      </c>
    </row>
    <row r="67" ht="15.75" customHeight="1">
      <c r="A67" s="2" t="s">
        <v>1430</v>
      </c>
      <c r="B67" s="2" t="s">
        <v>444</v>
      </c>
      <c r="C67" s="2" t="s">
        <v>1619</v>
      </c>
    </row>
    <row r="68" ht="15.75" customHeight="1">
      <c r="A68" s="2" t="s">
        <v>1447</v>
      </c>
      <c r="B68" s="2" t="s">
        <v>444</v>
      </c>
      <c r="C68" s="2" t="s">
        <v>1627</v>
      </c>
    </row>
    <row r="69" ht="15.75" customHeight="1">
      <c r="A69" s="2" t="s">
        <v>1463</v>
      </c>
      <c r="B69" s="2" t="s">
        <v>519</v>
      </c>
      <c r="C69" s="2" t="s">
        <v>1638</v>
      </c>
    </row>
    <row r="70" ht="15.75" customHeight="1">
      <c r="A70" s="2" t="s">
        <v>518</v>
      </c>
      <c r="B70" s="2" t="s">
        <v>519</v>
      </c>
      <c r="C70" s="2" t="s">
        <v>1657</v>
      </c>
    </row>
    <row r="71" ht="15.75" customHeight="1">
      <c r="A71" s="2" t="s">
        <v>1497</v>
      </c>
      <c r="B71" s="2" t="s">
        <v>519</v>
      </c>
      <c r="C71" s="2" t="s">
        <v>1664</v>
      </c>
    </row>
    <row r="72" ht="15.75" customHeight="1">
      <c r="A72" s="2" t="s">
        <v>552</v>
      </c>
      <c r="B72" s="2" t="s">
        <v>519</v>
      </c>
      <c r="C72" s="2" t="s">
        <v>1681</v>
      </c>
    </row>
    <row r="73" ht="15.75" customHeight="1">
      <c r="A73" s="2" t="s">
        <v>1532</v>
      </c>
      <c r="B73" s="2" t="s">
        <v>519</v>
      </c>
      <c r="C73" s="2" t="s">
        <v>1690</v>
      </c>
    </row>
    <row r="74" ht="15.75" customHeight="1">
      <c r="A74" s="2" t="s">
        <v>1551</v>
      </c>
      <c r="B74" s="2" t="s">
        <v>519</v>
      </c>
      <c r="C74" s="2" t="s">
        <v>1694</v>
      </c>
    </row>
    <row r="75" ht="15.75" customHeight="1">
      <c r="A75" s="2" t="s">
        <v>1573</v>
      </c>
      <c r="B75" s="2" t="s">
        <v>519</v>
      </c>
      <c r="C75" s="2" t="s">
        <v>1712</v>
      </c>
    </row>
    <row r="76" ht="15.75" customHeight="1">
      <c r="A76" s="2" t="s">
        <v>1594</v>
      </c>
      <c r="B76" s="2" t="s">
        <v>519</v>
      </c>
      <c r="C76" s="2" t="s">
        <v>1729</v>
      </c>
    </row>
    <row r="77" ht="15.75" customHeight="1">
      <c r="A77" s="2" t="s">
        <v>643</v>
      </c>
      <c r="B77" s="2" t="s">
        <v>519</v>
      </c>
      <c r="C77" s="2" t="s">
        <v>1730</v>
      </c>
    </row>
    <row r="78" ht="15.75" customHeight="1">
      <c r="A78" s="2" t="s">
        <v>661</v>
      </c>
      <c r="B78" s="2" t="s">
        <v>519</v>
      </c>
      <c r="C78" s="2" t="s">
        <v>1743</v>
      </c>
    </row>
    <row r="79" ht="15.75" customHeight="1">
      <c r="A79" s="2" t="s">
        <v>1641</v>
      </c>
      <c r="B79" s="2" t="s">
        <v>519</v>
      </c>
      <c r="C79" s="2" t="s">
        <v>1748</v>
      </c>
    </row>
    <row r="80" ht="15.75" customHeight="1">
      <c r="A80" s="2" t="s">
        <v>1656</v>
      </c>
      <c r="B80" s="2" t="s">
        <v>519</v>
      </c>
      <c r="C80" s="2" t="s">
        <v>1758</v>
      </c>
    </row>
    <row r="81" ht="15.75" customHeight="1">
      <c r="A81" s="2" t="s">
        <v>1675</v>
      </c>
      <c r="B81" s="2" t="s">
        <v>519</v>
      </c>
      <c r="C81" s="2" t="s">
        <v>1762</v>
      </c>
    </row>
    <row r="82" ht="15.75" customHeight="1">
      <c r="A82" s="2" t="s">
        <v>576</v>
      </c>
      <c r="B82" s="2" t="s">
        <v>519</v>
      </c>
      <c r="C82" s="2" t="s">
        <v>1763</v>
      </c>
    </row>
    <row r="83" ht="15.75" customHeight="1">
      <c r="A83" s="2" t="s">
        <v>1705</v>
      </c>
      <c r="B83" s="2" t="s">
        <v>519</v>
      </c>
      <c r="C83" s="2" t="s">
        <v>1777</v>
      </c>
    </row>
    <row r="84" ht="15.75" customHeight="1">
      <c r="A84" s="2" t="s">
        <v>1722</v>
      </c>
      <c r="B84" s="2" t="s">
        <v>519</v>
      </c>
      <c r="C84" s="2" t="s">
        <v>1788</v>
      </c>
    </row>
    <row r="85" ht="15.75" customHeight="1">
      <c r="A85" s="2" t="s">
        <v>1740</v>
      </c>
      <c r="B85" s="2" t="s">
        <v>519</v>
      </c>
      <c r="C85" s="2" t="s">
        <v>1819</v>
      </c>
    </row>
    <row r="86" ht="15.75" customHeight="1">
      <c r="A86" s="2" t="s">
        <v>598</v>
      </c>
      <c r="B86" s="2" t="s">
        <v>519</v>
      </c>
      <c r="C86" s="2" t="s">
        <v>1836</v>
      </c>
    </row>
    <row r="87" ht="15.75" customHeight="1">
      <c r="A87" s="2" t="s">
        <v>678</v>
      </c>
      <c r="B87" s="2" t="s">
        <v>519</v>
      </c>
      <c r="C87" s="2" t="s">
        <v>1852</v>
      </c>
    </row>
    <row r="88" ht="15.75" customHeight="1">
      <c r="A88" s="2" t="s">
        <v>1790</v>
      </c>
      <c r="B88" s="2" t="s">
        <v>894</v>
      </c>
      <c r="C88" s="2" t="s">
        <v>1881</v>
      </c>
    </row>
    <row r="89" ht="15.75" customHeight="1">
      <c r="A89" s="2" t="s">
        <v>1810</v>
      </c>
      <c r="B89" s="2" t="s">
        <v>894</v>
      </c>
      <c r="C89" s="2" t="s">
        <v>1895</v>
      </c>
    </row>
    <row r="90" ht="15.75" customHeight="1">
      <c r="A90" s="2" t="s">
        <v>927</v>
      </c>
      <c r="B90" s="2" t="s">
        <v>894</v>
      </c>
      <c r="C90" s="2" t="s">
        <v>1898</v>
      </c>
    </row>
    <row r="91" ht="15.75" customHeight="1">
      <c r="A91" s="2" t="s">
        <v>960</v>
      </c>
      <c r="B91" s="2" t="s">
        <v>894</v>
      </c>
      <c r="C91" s="2" t="s">
        <v>1916</v>
      </c>
    </row>
    <row r="92" ht="15.75" customHeight="1">
      <c r="A92" s="2" t="s">
        <v>1860</v>
      </c>
      <c r="B92" s="2" t="s">
        <v>894</v>
      </c>
      <c r="C92" s="2" t="s">
        <v>1924</v>
      </c>
    </row>
    <row r="93" ht="15.75" customHeight="1">
      <c r="A93" s="2" t="s">
        <v>1879</v>
      </c>
      <c r="B93" s="2" t="s">
        <v>894</v>
      </c>
      <c r="C93" s="2" t="s">
        <v>1937</v>
      </c>
    </row>
    <row r="94" ht="15.75" customHeight="1">
      <c r="A94" s="2" t="s">
        <v>941</v>
      </c>
      <c r="B94" s="2" t="s">
        <v>894</v>
      </c>
      <c r="C94" s="2" t="s">
        <v>1954</v>
      </c>
    </row>
    <row r="95" ht="15.75" customHeight="1">
      <c r="A95" s="2" t="s">
        <v>1909</v>
      </c>
      <c r="B95" s="2" t="s">
        <v>894</v>
      </c>
      <c r="C95" s="2" t="s">
        <v>1972</v>
      </c>
    </row>
    <row r="96" ht="15.75" customHeight="1">
      <c r="A96" s="2" t="s">
        <v>1926</v>
      </c>
      <c r="B96" s="2" t="s">
        <v>894</v>
      </c>
      <c r="C96" s="2" t="s">
        <v>1988</v>
      </c>
    </row>
    <row r="97" ht="15.75" customHeight="1">
      <c r="A97" s="2" t="s">
        <v>919</v>
      </c>
      <c r="B97" s="2" t="s">
        <v>894</v>
      </c>
      <c r="C97" s="2" t="s">
        <v>1993</v>
      </c>
    </row>
    <row r="98" ht="15.75" customHeight="1">
      <c r="A98" s="2" t="s">
        <v>1956</v>
      </c>
      <c r="B98" s="2" t="s">
        <v>894</v>
      </c>
      <c r="C98" s="2" t="s">
        <v>2007</v>
      </c>
    </row>
    <row r="99" ht="15.75" customHeight="1">
      <c r="A99" s="2" t="s">
        <v>1975</v>
      </c>
      <c r="B99" s="2" t="s">
        <v>894</v>
      </c>
      <c r="C99" s="2" t="s">
        <v>2024</v>
      </c>
    </row>
    <row r="100" ht="15.75" customHeight="1">
      <c r="A100" s="2" t="s">
        <v>1996</v>
      </c>
      <c r="B100" s="2" t="s">
        <v>894</v>
      </c>
      <c r="C100" s="2" t="s">
        <v>2031</v>
      </c>
    </row>
    <row r="101" ht="15.75" customHeight="1">
      <c r="A101" s="2" t="s">
        <v>2016</v>
      </c>
      <c r="B101" s="2" t="s">
        <v>894</v>
      </c>
      <c r="C101" s="2" t="s">
        <v>2037</v>
      </c>
    </row>
    <row r="102" ht="15.75" customHeight="1">
      <c r="A102" s="2" t="s">
        <v>893</v>
      </c>
      <c r="B102" s="2" t="s">
        <v>894</v>
      </c>
      <c r="C102" s="2" t="s">
        <v>2056</v>
      </c>
    </row>
    <row r="103" ht="15.75" customHeight="1">
      <c r="A103" s="2" t="s">
        <v>2047</v>
      </c>
      <c r="B103" s="2" t="s">
        <v>894</v>
      </c>
      <c r="C103" s="2" t="s">
        <v>2076</v>
      </c>
    </row>
    <row r="104" ht="15.75" customHeight="1">
      <c r="A104" s="2" t="s">
        <v>2065</v>
      </c>
      <c r="B104" s="2" t="s">
        <v>894</v>
      </c>
      <c r="C104" s="2" t="s">
        <v>2088</v>
      </c>
    </row>
    <row r="105" ht="15.75" customHeight="1">
      <c r="A105" s="2" t="s">
        <v>2083</v>
      </c>
      <c r="B105" s="2" t="s">
        <v>894</v>
      </c>
      <c r="C105" s="2" t="s">
        <v>2098</v>
      </c>
    </row>
    <row r="106" ht="15.75" customHeight="1">
      <c r="A106" s="2" t="s">
        <v>2100</v>
      </c>
      <c r="B106" s="2" t="s">
        <v>894</v>
      </c>
      <c r="C106" s="2" t="s">
        <v>2119</v>
      </c>
    </row>
    <row r="107" ht="15.75" customHeight="1">
      <c r="A107" s="2" t="s">
        <v>907</v>
      </c>
      <c r="B107" s="2" t="s">
        <v>894</v>
      </c>
      <c r="C107" s="2" t="s">
        <v>2129</v>
      </c>
    </row>
    <row r="108" ht="15.75" customHeight="1">
      <c r="A108" s="2" t="s">
        <v>852</v>
      </c>
      <c r="B108" s="2" t="s">
        <v>694</v>
      </c>
      <c r="C108" s="2" t="s">
        <v>2136</v>
      </c>
    </row>
    <row r="109" ht="15.75" customHeight="1">
      <c r="A109" s="2" t="s">
        <v>707</v>
      </c>
      <c r="B109" s="2" t="s">
        <v>694</v>
      </c>
      <c r="C109" s="2" t="s">
        <v>2147</v>
      </c>
    </row>
    <row r="110" ht="15.75" customHeight="1">
      <c r="A110" s="2" t="s">
        <v>798</v>
      </c>
      <c r="B110" s="2" t="s">
        <v>694</v>
      </c>
      <c r="C110" s="2" t="s">
        <v>2153</v>
      </c>
    </row>
    <row r="111" ht="15.75" customHeight="1">
      <c r="A111" s="2" t="s">
        <v>693</v>
      </c>
      <c r="B111" s="2" t="s">
        <v>694</v>
      </c>
      <c r="C111" s="2" t="s">
        <v>2155</v>
      </c>
    </row>
    <row r="112" ht="15.75" customHeight="1">
      <c r="A112" s="2" t="s">
        <v>718</v>
      </c>
      <c r="B112" s="2" t="s">
        <v>694</v>
      </c>
      <c r="C112" s="2" t="s">
        <v>2160</v>
      </c>
    </row>
    <row r="113" ht="15.75" customHeight="1">
      <c r="A113" s="2" t="s">
        <v>731</v>
      </c>
      <c r="B113" s="2" t="s">
        <v>694</v>
      </c>
      <c r="C113" s="2" t="s">
        <v>2168</v>
      </c>
    </row>
    <row r="114" ht="15.75" customHeight="1">
      <c r="A114" s="2" t="s">
        <v>744</v>
      </c>
      <c r="B114" s="2" t="s">
        <v>694</v>
      </c>
      <c r="C114" s="2" t="s">
        <v>2180</v>
      </c>
    </row>
    <row r="115" ht="15.75" customHeight="1">
      <c r="A115" s="2" t="s">
        <v>757</v>
      </c>
      <c r="B115" s="2" t="s">
        <v>694</v>
      </c>
      <c r="C115" s="2" t="s">
        <v>2187</v>
      </c>
    </row>
    <row r="116" ht="15.75" customHeight="1">
      <c r="A116" s="2" t="s">
        <v>770</v>
      </c>
      <c r="B116" s="2" t="s">
        <v>694</v>
      </c>
      <c r="C116" s="2" t="s">
        <v>2194</v>
      </c>
    </row>
    <row r="117" ht="15.75" customHeight="1">
      <c r="A117" s="2" t="s">
        <v>783</v>
      </c>
      <c r="B117" s="2" t="s">
        <v>694</v>
      </c>
      <c r="C117" s="2" t="s">
        <v>2201</v>
      </c>
    </row>
    <row r="118" ht="15.75" customHeight="1">
      <c r="A118" s="2" t="s">
        <v>809</v>
      </c>
      <c r="B118" s="2" t="s">
        <v>694</v>
      </c>
      <c r="C118" s="2" t="s">
        <v>2208</v>
      </c>
    </row>
    <row r="119" ht="15.75" customHeight="1">
      <c r="A119" s="2" t="s">
        <v>823</v>
      </c>
      <c r="B119" s="2" t="s">
        <v>694</v>
      </c>
      <c r="C119" s="2" t="s">
        <v>2210</v>
      </c>
    </row>
    <row r="120" ht="15.75" customHeight="1">
      <c r="A120" s="2" t="s">
        <v>834</v>
      </c>
      <c r="B120" s="2" t="s">
        <v>694</v>
      </c>
      <c r="C120" s="2" t="s">
        <v>2219</v>
      </c>
    </row>
    <row r="121" ht="15.75" customHeight="1">
      <c r="A121" s="2" t="s">
        <v>841</v>
      </c>
      <c r="B121" s="2" t="s">
        <v>694</v>
      </c>
      <c r="C121" s="2" t="s">
        <v>2225</v>
      </c>
    </row>
    <row r="122" ht="15.75" customHeight="1">
      <c r="A122" s="2" t="s">
        <v>2226</v>
      </c>
      <c r="B122" s="2" t="s">
        <v>74</v>
      </c>
      <c r="C122" s="2" t="s">
        <v>2240</v>
      </c>
    </row>
    <row r="123" ht="15.75" customHeight="1">
      <c r="A123" s="2" t="s">
        <v>73</v>
      </c>
      <c r="B123" s="2" t="s">
        <v>74</v>
      </c>
      <c r="C123" s="2" t="s">
        <v>2249</v>
      </c>
    </row>
    <row r="124" ht="15.75" customHeight="1">
      <c r="A124" s="2" t="s">
        <v>2250</v>
      </c>
      <c r="B124" s="2" t="s">
        <v>74</v>
      </c>
      <c r="C124" s="2" t="s">
        <v>2268</v>
      </c>
    </row>
    <row r="125" ht="15.75" customHeight="1">
      <c r="A125" s="2" t="s">
        <v>2269</v>
      </c>
      <c r="B125" s="2" t="s">
        <v>74</v>
      </c>
      <c r="C125" s="2" t="s">
        <v>2282</v>
      </c>
    </row>
    <row r="126" ht="15.75" customHeight="1">
      <c r="A126" s="2" t="s">
        <v>2283</v>
      </c>
      <c r="B126" s="2" t="s">
        <v>74</v>
      </c>
      <c r="C126" s="2" t="s">
        <v>2297</v>
      </c>
    </row>
    <row r="127" ht="15.75" customHeight="1">
      <c r="A127" s="2" t="s">
        <v>2298</v>
      </c>
      <c r="B127" s="2" t="s">
        <v>74</v>
      </c>
      <c r="C127" s="2" t="s">
        <v>2316</v>
      </c>
    </row>
    <row r="128" ht="15.75" customHeight="1">
      <c r="A128" s="2" t="s">
        <v>125</v>
      </c>
      <c r="B128" s="2" t="s">
        <v>74</v>
      </c>
      <c r="C128" s="2" t="s">
        <v>2339</v>
      </c>
    </row>
    <row r="129" ht="15.75" customHeight="1">
      <c r="A129" s="2" t="s">
        <v>2341</v>
      </c>
      <c r="B129" s="2" t="s">
        <v>74</v>
      </c>
      <c r="C129" s="2" t="s">
        <v>2358</v>
      </c>
    </row>
    <row r="130" ht="15.75" customHeight="1">
      <c r="A130" s="2" t="s">
        <v>108</v>
      </c>
      <c r="B130" s="2" t="s">
        <v>74</v>
      </c>
      <c r="C130" s="2" t="s">
        <v>2372</v>
      </c>
    </row>
    <row r="131" ht="15.75" customHeight="1">
      <c r="A131" s="2" t="s">
        <v>2375</v>
      </c>
      <c r="B131" s="2" t="s">
        <v>74</v>
      </c>
      <c r="C131" s="2" t="s">
        <v>2379</v>
      </c>
    </row>
    <row r="132" ht="15.75" customHeight="1">
      <c r="A132" s="2" t="s">
        <v>2381</v>
      </c>
      <c r="B132" s="2" t="s">
        <v>74</v>
      </c>
      <c r="C132" s="2" t="s">
        <v>2407</v>
      </c>
    </row>
    <row r="133" ht="15.75" customHeight="1">
      <c r="A133" s="2" t="s">
        <v>2409</v>
      </c>
      <c r="B133" s="2" t="s">
        <v>74</v>
      </c>
      <c r="C133" s="2" t="s">
        <v>2419</v>
      </c>
    </row>
    <row r="134" ht="15.75" customHeight="1">
      <c r="A134" s="2" t="s">
        <v>2421</v>
      </c>
      <c r="B134" s="2" t="s">
        <v>270</v>
      </c>
      <c r="C134" s="2" t="s">
        <v>2433</v>
      </c>
    </row>
    <row r="135" ht="15.75" customHeight="1">
      <c r="A135" s="2" t="s">
        <v>2434</v>
      </c>
      <c r="B135" s="2" t="s">
        <v>519</v>
      </c>
      <c r="C135" s="2" t="s">
        <v>2439</v>
      </c>
    </row>
    <row r="136" ht="15.75" customHeight="1">
      <c r="A136" s="2" t="s">
        <v>2441</v>
      </c>
      <c r="B136" s="2" t="s">
        <v>694</v>
      </c>
      <c r="C136" s="2" t="s">
        <v>2450</v>
      </c>
    </row>
    <row r="137" ht="15.75" customHeight="1">
      <c r="A137" s="2" t="s">
        <v>2451</v>
      </c>
      <c r="B137" s="2" t="s">
        <v>694</v>
      </c>
      <c r="C137" s="2" t="s">
        <v>2458</v>
      </c>
    </row>
    <row r="138" ht="15.75" customHeight="1">
      <c r="A138" s="2" t="s">
        <v>2459</v>
      </c>
      <c r="B138" s="2" t="s">
        <v>694</v>
      </c>
      <c r="C138" s="2" t="s">
        <v>2468</v>
      </c>
    </row>
    <row r="139" ht="15.75" customHeight="1">
      <c r="A139" s="2" t="s">
        <v>2469</v>
      </c>
      <c r="B139" s="2" t="s">
        <v>694</v>
      </c>
      <c r="C139" s="2" t="s">
        <v>2479</v>
      </c>
    </row>
    <row r="140" ht="15.75" customHeight="1">
      <c r="A140" s="2" t="s">
        <v>2480</v>
      </c>
      <c r="B140" s="2" t="s">
        <v>694</v>
      </c>
      <c r="C140" s="2" t="s">
        <v>2458</v>
      </c>
    </row>
    <row r="141" ht="15.75" customHeight="1">
      <c r="A141" s="2" t="s">
        <v>2487</v>
      </c>
      <c r="B141" s="2" t="s">
        <v>694</v>
      </c>
      <c r="C141" s="2" t="s">
        <v>2498</v>
      </c>
    </row>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141"/>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2026-09-07T15:13:27Z</dcterms:created>
  <dc:creator>openpyxl</dc:creator>
</cp:coreProperties>
</file>